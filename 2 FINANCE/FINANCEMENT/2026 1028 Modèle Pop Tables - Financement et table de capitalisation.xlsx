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s\Documents\Claude\Projects\HEC-GEMM-Groupe-7\2 FINANCE\FINANCEMENT\"/>
    </mc:Choice>
  </mc:AlternateContent>
  <xr:revisionPtr revIDLastSave="0" documentId="13_ncr:1_{ECED950A-C313-44C3-9081-37566536AF70}" xr6:coauthVersionLast="47" xr6:coauthVersionMax="47" xr10:uidLastSave="{00000000-0000-0000-0000-000000000000}"/>
  <bookViews>
    <workbookView xWindow="-110" yWindow="-110" windowWidth="25820" windowHeight="13900" xr2:uid="{C6848D91-B8BF-4AD6-8B0B-F91FE7845E07}"/>
  </bookViews>
  <sheets>
    <sheet name="Mode d'emploi" sheetId="1" r:id="rId1"/>
    <sheet name="Suivi des financements" sheetId="2" r:id="rId2"/>
    <sheet name="Prêts" sheetId="3" r:id="rId3"/>
    <sheet name="Table de capitalisation" sheetId="4" r:id="rId4"/>
    <sheet name="Après levé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7" i="5" l="1"/>
  <c r="B15" i="5"/>
  <c r="B16" i="5"/>
  <c r="D16" i="5" s="1"/>
  <c r="B17" i="5"/>
  <c r="D17" i="5" s="1"/>
  <c r="B18" i="5"/>
  <c r="D18" i="5" s="1"/>
  <c r="B19" i="5"/>
  <c r="D19" i="5" s="1"/>
  <c r="B20" i="5"/>
  <c r="D20" i="5" s="1"/>
  <c r="B21" i="5"/>
  <c r="D21" i="5" s="1"/>
  <c r="B22" i="5"/>
  <c r="D22" i="5" s="1"/>
  <c r="B23" i="5"/>
  <c r="D23" i="5" s="1"/>
  <c r="B24" i="5"/>
  <c r="D24" i="5" s="1"/>
  <c r="B25" i="5"/>
  <c r="D25" i="5" s="1"/>
  <c r="A15" i="5"/>
  <c r="A16" i="5"/>
  <c r="A17" i="5"/>
  <c r="A18" i="5"/>
  <c r="A19" i="5"/>
  <c r="A20" i="5"/>
  <c r="A21" i="5"/>
  <c r="A22" i="5"/>
  <c r="A23" i="5"/>
  <c r="A24" i="5"/>
  <c r="A25" i="5"/>
  <c r="B11" i="5"/>
  <c r="B12" i="5" s="1"/>
  <c r="F18" i="4"/>
  <c r="C19" i="4"/>
  <c r="C18" i="4"/>
  <c r="C15" i="3"/>
  <c r="F5" i="3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E31" i="2"/>
  <c r="E30" i="2"/>
  <c r="E29" i="2"/>
  <c r="E28" i="2"/>
  <c r="B26" i="5" l="1"/>
  <c r="E7" i="4"/>
  <c r="E9" i="4"/>
  <c r="E10" i="4"/>
  <c r="E12" i="4"/>
  <c r="E13" i="4"/>
  <c r="E14" i="4"/>
  <c r="E15" i="4"/>
  <c r="E16" i="4"/>
  <c r="E17" i="4"/>
  <c r="E6" i="4"/>
  <c r="D15" i="5"/>
  <c r="F15" i="3"/>
  <c r="G5" i="3"/>
  <c r="G15" i="3" s="1"/>
  <c r="D6" i="4"/>
  <c r="D8" i="4"/>
  <c r="D9" i="4"/>
  <c r="D10" i="4"/>
  <c r="D12" i="4"/>
  <c r="D13" i="4"/>
  <c r="D14" i="4"/>
  <c r="D16" i="4"/>
  <c r="D7" i="4"/>
  <c r="D11" i="4"/>
  <c r="D15" i="4"/>
  <c r="D17" i="4"/>
  <c r="E8" i="4"/>
  <c r="E11" i="4"/>
  <c r="D26" i="5" l="1"/>
  <c r="B28" i="5"/>
  <c r="B8" i="5"/>
  <c r="E18" i="4"/>
  <c r="D18" i="4"/>
  <c r="C18" i="5" l="1"/>
  <c r="C23" i="5"/>
  <c r="C26" i="5"/>
  <c r="C22" i="5"/>
  <c r="C25" i="5"/>
  <c r="C21" i="5"/>
  <c r="C20" i="5"/>
  <c r="C19" i="5"/>
  <c r="C17" i="5"/>
  <c r="C16" i="5"/>
  <c r="C15" i="5"/>
  <c r="B9" i="5"/>
  <c r="B10" i="5" s="1"/>
  <c r="D27" i="5" s="1"/>
  <c r="D28" i="5" s="1"/>
  <c r="C24" i="5"/>
  <c r="C28" i="5" l="1"/>
  <c r="E27" i="5"/>
  <c r="E17" i="5"/>
  <c r="E18" i="5"/>
  <c r="E16" i="5"/>
  <c r="E19" i="5"/>
  <c r="E20" i="5"/>
  <c r="E21" i="5"/>
  <c r="E15" i="5"/>
  <c r="E22" i="5"/>
  <c r="E23" i="5"/>
  <c r="E24" i="5"/>
  <c r="E25" i="5"/>
  <c r="E26" i="5"/>
  <c r="E28" i="5" l="1"/>
</calcChain>
</file>

<file path=xl/sharedStrings.xml><?xml version="1.0" encoding="utf-8"?>
<sst xmlns="http://schemas.openxmlformats.org/spreadsheetml/2006/main" count="211" uniqueCount="154">
  <si>
    <t>Financement — levées de fonds, prêts, subventions, table de capitalisation</t>
  </si>
  <si>
    <t>Rubrique</t>
  </si>
  <si>
    <t>Contenu</t>
  </si>
  <si>
    <t>Objet</t>
  </si>
  <si>
    <t>Suivre les levées de fonds, prêts et subventions, et tenir la table de capitalisation (2 FINANCE/FINANCEMENT/LISEZ-MOI.md).</t>
  </si>
  <si>
    <t>Onglets</t>
  </si>
  <si>
    <t>« Suivi des financements » : chaque financement, du projet aux fonds reçus. « Prêts » : mensualités et coût des emprunts. « Table de capitalisation » : la répartition du capital à une date donnée (un état). « Après levée » : la répartition après une levée envisagée (une projection).</t>
  </si>
  <si>
    <t>Demandé, accordé, reçu</t>
  </si>
  <si>
    <t>Un montant demandé n'est pas un montant obtenu. Seuls les financements au statut « Fonds reçus » entrent dans le total reçu ; la colonne « Pièce prouvant les fonds reçus » est obligatoire pour ce statut (relevé bancaire, attestation de dépôt des fonds).</t>
  </si>
  <si>
    <t>Proposition de termes</t>
  </si>
  <si>
    <t>Une proposition de termes non signée n'est pas une levée réalisée : la noter au statut « Accordé, non signé » tant que les fonds ne sont pas reçus ou les titres émis.</t>
  </si>
  <si>
    <t>Droits particuliers</t>
  </si>
  <si>
    <t>Actions de préférence, préférence de liquidation, anti-dilution, BSA ou BSPCE changent ce que chaque associé reçoit : les noter dans la colonne « Droits particuliers » et les lire avant de calculer une part.</t>
  </si>
  <si>
    <t>Après levée</t>
  </si>
  <si>
    <t>Une table de capitalisation « après » une levée est une projection, pas un état. L'onglet le rappelle en titre.</t>
  </si>
  <si>
    <t>Légende des cellules</t>
  </si>
  <si>
    <t>Cellule jaune, texte bleu : donnée à saisir. Cellule grise : formule, ne pas modifier. Texte vert : valeur reprise d'un autre onglet. Ligne verte « Exemple » : montre le format attendu, à remplacer ou supprimer.</t>
  </si>
  <si>
    <t>Colonne « Nature »</t>
  </si>
  <si>
    <t>F = fait constaté dans une pièce citée · I = inférence · P = proposition · H = hypothèse à valider (voir RULES.md). Si la pièce ne dit pas le chiffre : « non établi par les sources ».</t>
  </si>
  <si>
    <t>Colonne « Source »</t>
  </si>
  <si>
    <t>La pièce et l'endroit exact (ex. : S04, § Contexte, ou le nom de la note du dépôt). Signaler un chiffre tiré d'un argumentaire (plan d'affaires, présentation) plutôt que d'un document de gestion (facture, relevé, procès-verbal).</t>
  </si>
  <si>
    <t>Unités</t>
  </si>
  <si>
    <t>Montants en euros hors taxes, sauf mention contraire. Pourcentages saisis en % (ex. : 15 %).</t>
  </si>
  <si>
    <t>Cadre du projet</t>
  </si>
  <si>
    <t>Références</t>
  </si>
  <si>
    <t>2 FINANCE/FINANCEMENT/LISEZ-MOI.md · 2 FINANCE/AGENT.md (règles propres à la finance) · RULES.md</t>
  </si>
  <si>
    <t>Suivi des financements</t>
  </si>
  <si>
    <t>Un financement par ligne, mis à jour à chaque changement de statut. Désigner une personne extérieure par son rôle entre crochets.</t>
  </si>
  <si>
    <t>N°</t>
  </si>
  <si>
    <t>Type</t>
  </si>
  <si>
    <t>Financeur (organisme ou rôle)</t>
  </si>
  <si>
    <t>Date de la demande</t>
  </si>
  <si>
    <t>Montant demandé (€)</t>
  </si>
  <si>
    <t>Statut</t>
  </si>
  <si>
    <t>Montant accordé (€)</t>
  </si>
  <si>
    <t>Montant reçu (€)</t>
  </si>
  <si>
    <t>Date de réception</t>
  </si>
  <si>
    <t>Pièce prouvant les fonds reçus</t>
  </si>
  <si>
    <t>Conditions (taux, durée, contreparties)</t>
  </si>
  <si>
    <t>Nature</t>
  </si>
  <si>
    <t>Source</t>
  </si>
  <si>
    <t>Remarques</t>
  </si>
  <si>
    <t>Ex.</t>
  </si>
  <si>
    <t>Prêt d'honneur</t>
  </si>
  <si>
    <t>[réseau d'accompagnement]</t>
  </si>
  <si>
    <t>jj/mm/aaaa</t>
  </si>
  <si>
    <t>montant en €</t>
  </si>
  <si>
    <t>Envisagé</t>
  </si>
  <si>
    <t>à préciser</t>
  </si>
  <si>
    <t>H</t>
  </si>
  <si>
    <t>Note du dépôt où la piste est décrite</t>
  </si>
  <si>
    <t>Ligne d'exemple : à remplacer</t>
  </si>
  <si>
    <t>Totaux (calculés)</t>
  </si>
  <si>
    <t>Total demandé (hors refusés)</t>
  </si>
  <si>
    <t>Total accordé ou signé, pas encore reçu</t>
  </si>
  <si>
    <t>Total reçu (statut « Fonds reçus »)</t>
  </si>
  <si>
    <t>Lignes « Fonds reçus » sans pièce justificative</t>
  </si>
  <si>
    <t>Par type de financement</t>
  </si>
  <si>
    <t>Demandé (€, hors refusés)</t>
  </si>
  <si>
    <t>Reçu (€)</t>
  </si>
  <si>
    <t>Apport des associés</t>
  </si>
  <si>
    <t>Levée de fonds</t>
  </si>
  <si>
    <t>Prêt bancaire</t>
  </si>
  <si>
    <t>Subvention</t>
  </si>
  <si>
    <t>Avance remboursable</t>
  </si>
  <si>
    <t>Autre</t>
  </si>
  <si>
    <t>Prêts et avances remboursables</t>
  </si>
  <si>
    <t>Un prêt par ligne, reporté du suivi des financements une fois signé. Mensualité calculée à taux fixe, sans différé ni assurance.</t>
  </si>
  <si>
    <t>N° du suivi</t>
  </si>
  <si>
    <t>Prêteur</t>
  </si>
  <si>
    <t>Montant emprunté (€)</t>
  </si>
  <si>
    <t>Taux annuel (%)</t>
  </si>
  <si>
    <t>Durée de remboursement (mois)</t>
  </si>
  <si>
    <t>Mensualité (€)</t>
  </si>
  <si>
    <t>Coût total des intérêts (€)</t>
  </si>
  <si>
    <t>Date de la première échéance</t>
  </si>
  <si>
    <t>Pièce (contrat signé)</t>
  </si>
  <si>
    <t>Total</t>
  </si>
  <si>
    <t>Le total des mensualités est à reporter en décaissement dans le suivi de trésorerie (2 FINANCE/TRESORERIE).</t>
  </si>
  <si>
    <t>Table de capitalisation — état à une date</t>
  </si>
  <si>
    <t>Un état daté, fondé sur une pièce (statuts, registre des mouvements de titres, procès-verbal d'assemblée).</t>
  </si>
  <si>
    <t>Date de l'état :</t>
  </si>
  <si>
    <t>Pièce :</t>
  </si>
  <si>
    <t>Associé ou porteur (nom ou rôle)</t>
  </si>
  <si>
    <t>Catégorie de titres</t>
  </si>
  <si>
    <t>Nombre de titres</t>
  </si>
  <si>
    <t>% du capital</t>
  </si>
  <si>
    <t>% totalement dilué</t>
  </si>
  <si>
    <t>Apport (€)</t>
  </si>
  <si>
    <t>Date d'entrée</t>
  </si>
  <si>
    <t>Pièce</t>
  </si>
  <si>
    <t>Total des titres (y compris BSA et BSPCE)</t>
  </si>
  <si>
    <t>dont BSA ou BSPCE non exercés</t>
  </si>
  <si>
    <t>Simule une levée envisagée à partir de la table de capitalisation. Ne prouve ni l'accord des investisseurs, ni l'émission des titres.</t>
  </si>
  <si>
    <t>Paramètre</t>
  </si>
  <si>
    <t>Valeur</t>
  </si>
  <si>
    <t>Valorisation avant levée (€)</t>
  </si>
  <si>
    <t>Montant levé (€)</t>
  </si>
  <si>
    <t>Nom ou rôle du ou des investisseurs</t>
  </si>
  <si>
    <t>Prix par titre (€)</t>
  </si>
  <si>
    <t>Nouveaux titres émis</t>
  </si>
  <si>
    <t>Valorisation après levée (€)</t>
  </si>
  <si>
    <t>Part des investisseurs après levée</t>
  </si>
  <si>
    <t>Associé ou porteur</t>
  </si>
  <si>
    <t>Titres avant</t>
  </si>
  <si>
    <t>% avant (totalement dilué)</t>
  </si>
  <si>
    <t>Titres après</t>
  </si>
  <si>
    <t>% après (totalement dilué)</t>
  </si>
  <si>
    <t>Non modélisé : préférence de liquidation, anti-dilution, création d'un nouveau plan de BSPCE. Les lire dans les pièces avant de calculer ce que chaque associé reçoit.</t>
  </si>
  <si>
    <t>État du fichier</t>
  </si>
  <si>
    <t>[réseau d'accompagnement à la création]</t>
  </si>
  <si>
    <t>Prêt personnel aux fondateurs, taux zéro, 5 ans (H)</t>
  </si>
  <si>
    <t>Hypothèse temporaire ; couvre le besoin de l'année 1 du plan financier (2 FINANCE/PREVISIONS)</t>
  </si>
  <si>
    <t>[concours ou incubateur]</t>
  </si>
  <si>
    <t>À identifier</t>
  </si>
  <si>
    <t>Hypothèse temporaire ; aucun dispositif identifié dans le dépôt</t>
  </si>
  <si>
    <t>Aucune : prêt non signé, simulation</t>
  </si>
  <si>
    <t>Hypothèse temporaire (ligne 2 du suivi des financements)</t>
  </si>
  <si>
    <t>Associé fondateur (Direction)</t>
  </si>
  <si>
    <t>Actions ordinaires</t>
  </si>
  <si>
    <t>Aucun</t>
  </si>
  <si>
    <t>Aucune</t>
  </si>
  <si>
    <t>Associé fondateur (Finance)</t>
  </si>
  <si>
    <t>Associé fondateur (Marketing)</t>
  </si>
  <si>
    <t>Associé fondateur (Ventes)</t>
  </si>
  <si>
    <t>Associé fondateur (Produit)</t>
  </si>
  <si>
    <t>Associé fondateur (Opérations)</t>
  </si>
  <si>
    <t>Associé fondateur (Juridique)</t>
  </si>
  <si>
    <t>1 DIRECTION/STRATEGIE/2026 1027 Fiche de synthèse du projet, § Associé gastronomique (proposition)</t>
  </si>
  <si>
    <t>P</t>
  </si>
  <si>
    <t>2 FINANCE/FINANCEMENT/2026 1028 Note pour décision - levée de fonds Pop Tables, § 5 et 6</t>
  </si>
  <si>
    <t>Idem</t>
  </si>
  <si>
    <t>[associé gastronomique, à identifier]</t>
  </si>
  <si>
    <t>Décision D-17 du 28/10/2026 ; part proposée dans l'onglet « Après levée »</t>
  </si>
  <si>
    <t>Part proposée pour l'associé gastronomique, avant la levée</t>
  </si>
  <si>
    <t>Proposition de la Finance (D-17 : entrée au capital en contrepartie d'un apport non monétaire) ; acquisition par jalons à prévoir par le Juridique</t>
  </si>
  <si>
    <t>Associé gastronomique (apport en industrie, D-17)</t>
  </si>
  <si>
    <t>Titres avant levée, totalement dilués (associé gastronomique compris)</t>
  </si>
  <si>
    <t>Après levée : PROJECTION (pas un état)</t>
  </si>
  <si>
    <t>Pop Tables (D-02 à D-26). Sources : 1 DIRECTION/STRATEGIE/2026 1028 Pop Tables - Cadre de référence, Business Model Canvas V6 (D-24) et relevé du 29/10 (matin).</t>
  </si>
  <si>
    <t>Pop Tables · Pôle Finance · Version du 28/10/2026 (soir). Remplace le modèle du 27/10 (rangé dans 2 FINANCE/OLD).</t>
  </si>
  <si>
    <t>Aucune : société non créée. Projet : SAS au capital de 70 000 €, 7 fondateurs à parts égales (10 000 actions de 1 € chacun), dont 2 fondateurs exécutifs ; choix du responsable Finance du 29/10/2026, statuts à rédiger par le Juridique</t>
  </si>
  <si>
    <t>[7 fondateurs, à parts égales : 10 000 € chacun]</t>
  </si>
  <si>
    <t>Capital initial de la SAS à sa création (novembre 2026) ; précise D-26 (mise de fonds de 70 000 €) : apport en capital des fondateurs, pas de BSA AIR. Aucun fonds versé</t>
  </si>
  <si>
    <t>Choix du responsable Finance (29/10/2026) ; 1 DIRECTION/STRATEGIE/2026 1029 Relevé de décisions du 29 octobre (matin), D-26</t>
  </si>
  <si>
    <t>[à décider : prêt bancaire ou apport complémentaire des fondateurs]</t>
  </si>
  <si>
    <t>Complément de la réserve de l'année 1 (contingence et trésorerie de sécurité) ; remplace les 45 000 € de BSA AIR. Source à décider par la Direction</t>
  </si>
  <si>
    <t>[augmentation de capital, investisseurs à identifier]</t>
  </si>
  <si>
    <t>Tranche 2 conditionnelle (D-23) : non nécessaire dans le plan ; à décider en mai 2028 au vu des privatisations constatées. Environ 215 000 € si elles restent proches de 8 par ville et par an (note, § 4)</t>
  </si>
  <si>
    <t>Apport en industrie (D-17) : actions en contrepartie de son réseau, de sa sélection et de son image ; aucune trésorerie ; forme à définir par le Juridique</t>
  </si>
  <si>
    <t>Pas de levée en fonds propres dans le plan : pas de BSA AIR (choix du responsable Finance, 29/10/2026). Une augmentation de capital ne serait envisagée qu'en cas de tranche 2 (décision en mai 2028)</t>
  </si>
  <si>
    <t/>
  </si>
  <si>
    <t>H non justifiée : aucune évaluation. Ne sert qu'en cas d'augmentation de capital (tranche 2)</t>
  </si>
  <si>
    <t>Mis à jour le 29/10/2026 : SAS au capital de 70 000 €, apporté à parts égales par les 7 fondateurs (D-26, forme précisée par le responsable Finance) ; pas de BSA AIR ; complément de 45 000 € à décider (prêt bancaire ou apport complémentaire) ; tranche 2 conditionnelle en augmentation de capital ; associé gastronomique en apport en industrie (D-17). Aucun financement reçu ; tout reste au statut « Envisagé 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</si>
</sst>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;\-#,##0\ &quot;€&quot;;&quot;-&quot;"/>
    <numFmt numFmtId="165" formatCode="#,##0;\-#,##0;&quot;-&quot;"/>
    <numFmt numFmtId="166" formatCode="#,##0.00\ &quot;€&quot;;\-#,##0.00\ &quot;€&quot;;&quot;-&quot;"/>
    <numFmt numFmtId="167" formatCode="0.0%;\-0.0%;&quot;-&quot;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7" fillId="4" borderId="1" xfId="0" applyFont="1" applyFill="1" applyBorder="1"/>
    <xf numFmtId="14" fontId="7" fillId="4" borderId="1" xfId="0" applyNumberFormat="1" applyFont="1" applyFill="1" applyBorder="1"/>
    <xf numFmtId="164" fontId="7" fillId="4" borderId="1" xfId="0" applyNumberFormat="1" applyFont="1" applyFill="1" applyBorder="1"/>
    <xf numFmtId="0" fontId="2" fillId="5" borderId="0" xfId="0" applyFont="1" applyFill="1"/>
    <xf numFmtId="0" fontId="8" fillId="6" borderId="1" xfId="0" applyFont="1" applyFill="1" applyBorder="1"/>
    <xf numFmtId="164" fontId="8" fillId="6" borderId="1" xfId="0" applyNumberFormat="1" applyFont="1" applyFill="1" applyBorder="1"/>
    <xf numFmtId="165" fontId="8" fillId="6" borderId="1" xfId="0" applyNumberFormat="1" applyFont="1" applyFill="1" applyBorder="1"/>
    <xf numFmtId="164" fontId="9" fillId="6" borderId="1" xfId="0" applyNumberFormat="1" applyFont="1" applyFill="1" applyBorder="1"/>
    <xf numFmtId="165" fontId="9" fillId="6" borderId="1" xfId="0" applyNumberFormat="1" applyFont="1" applyFill="1" applyBorder="1"/>
    <xf numFmtId="0" fontId="6" fillId="3" borderId="0" xfId="0" applyFont="1" applyFill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14" fontId="7" fillId="4" borderId="1" xfId="0" applyNumberFormat="1" applyFont="1" applyFill="1" applyBorder="1" applyAlignment="1">
      <alignment vertical="top" wrapText="1"/>
    </xf>
    <xf numFmtId="164" fontId="7" fillId="4" borderId="1" xfId="0" applyNumberFormat="1" applyFont="1" applyFill="1" applyBorder="1" applyAlignment="1">
      <alignment vertical="top" wrapText="1"/>
    </xf>
    <xf numFmtId="10" fontId="7" fillId="4" borderId="1" xfId="0" applyNumberFormat="1" applyFont="1" applyFill="1" applyBorder="1"/>
    <xf numFmtId="165" fontId="7" fillId="4" borderId="1" xfId="0" applyNumberFormat="1" applyFont="1" applyFill="1" applyBorder="1"/>
    <xf numFmtId="166" fontId="8" fillId="6" borderId="1" xfId="0" applyNumberFormat="1" applyFont="1" applyFill="1" applyBorder="1"/>
    <xf numFmtId="166" fontId="9" fillId="6" borderId="1" xfId="0" applyNumberFormat="1" applyFont="1" applyFill="1" applyBorder="1"/>
    <xf numFmtId="0" fontId="2" fillId="0" borderId="0" xfId="0" applyFont="1" applyAlignment="1">
      <alignment horizontal="right"/>
    </xf>
    <xf numFmtId="167" fontId="8" fillId="6" borderId="1" xfId="0" applyNumberFormat="1" applyFont="1" applyFill="1" applyBorder="1"/>
    <xf numFmtId="167" fontId="9" fillId="6" borderId="1" xfId="0" applyNumberFormat="1" applyFont="1" applyFill="1" applyBorder="1"/>
    <xf numFmtId="0" fontId="10" fillId="0" borderId="0" xfId="0" applyFont="1"/>
    <xf numFmtId="49" fontId="7" fillId="4" borderId="1" xfId="0" applyNumberFormat="1" applyFont="1" applyFill="1" applyBorder="1"/>
    <xf numFmtId="0" fontId="6" fillId="6" borderId="1" xfId="0" applyFont="1" applyFill="1" applyBorder="1"/>
    <xf numFmtId="165" fontId="6" fillId="6" borderId="1" xfId="0" applyNumberFormat="1" applyFont="1" applyFill="1" applyBorder="1"/>
    <xf numFmtId="0" fontId="9" fillId="6" borderId="1" xfId="0" applyFont="1" applyFill="1" applyBorder="1"/>
    <xf numFmtId="167" fontId="7" fillId="4" borderId="1" xfId="0" applyNumberFormat="1" applyFont="1" applyFill="1" applyBorder="1"/>
    <xf numFmtId="0" fontId="7" fillId="4" borderId="2" xfId="0" applyFont="1" applyFill="1" applyBorder="1"/>
    <xf numFmtId="0" fontId="7" fillId="4" borderId="3" xfId="0" applyFont="1" applyFill="1" applyBorder="1"/>
    <xf numFmtId="0" fontId="7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E698-D5A6-4B60-8701-006A5958E622}">
  <dimension ref="A1:B17"/>
  <sheetViews>
    <sheetView tabSelected="1" zoomScaleNormal="100" workbookViewId="0"/>
  </sheetViews>
  <sheetFormatPr baseColWidth="10" defaultRowHeight="12.5" x14ac:dyDescent="0.25"/>
  <cols>
    <col min="1" max="1" width="26.6328125" style="1" customWidth="1"/>
    <col min="2" max="2" width="110.6328125" style="1" customWidth="1"/>
    <col min="3" max="16384" width="10.90625" style="1"/>
  </cols>
  <sheetData>
    <row r="1" spans="1:2" ht="18" x14ac:dyDescent="0.4">
      <c r="A1" s="3" t="s">
        <v>0</v>
      </c>
    </row>
    <row r="2" spans="1:2" ht="13" x14ac:dyDescent="0.3">
      <c r="A2" s="4" t="s">
        <v>140</v>
      </c>
    </row>
    <row r="4" spans="1:2" ht="13" x14ac:dyDescent="0.25">
      <c r="A4" s="5" t="s">
        <v>1</v>
      </c>
      <c r="B4" s="5" t="s">
        <v>2</v>
      </c>
    </row>
    <row r="5" spans="1:2" ht="13" x14ac:dyDescent="0.25">
      <c r="A5" s="6" t="s">
        <v>3</v>
      </c>
      <c r="B5" s="7" t="s">
        <v>4</v>
      </c>
    </row>
    <row r="6" spans="1:2" ht="37.5" x14ac:dyDescent="0.25">
      <c r="A6" s="6" t="s">
        <v>5</v>
      </c>
      <c r="B6" s="7" t="s">
        <v>6</v>
      </c>
    </row>
    <row r="7" spans="1:2" ht="25" x14ac:dyDescent="0.25">
      <c r="A7" s="6" t="s">
        <v>7</v>
      </c>
      <c r="B7" s="7" t="s">
        <v>8</v>
      </c>
    </row>
    <row r="8" spans="1:2" ht="25" x14ac:dyDescent="0.25">
      <c r="A8" s="6" t="s">
        <v>9</v>
      </c>
      <c r="B8" s="7" t="s">
        <v>10</v>
      </c>
    </row>
    <row r="9" spans="1:2" ht="25" x14ac:dyDescent="0.25">
      <c r="A9" s="6" t="s">
        <v>11</v>
      </c>
      <c r="B9" s="7" t="s">
        <v>12</v>
      </c>
    </row>
    <row r="10" spans="1:2" ht="13" x14ac:dyDescent="0.25">
      <c r="A10" s="6" t="s">
        <v>13</v>
      </c>
      <c r="B10" s="7" t="s">
        <v>14</v>
      </c>
    </row>
    <row r="11" spans="1:2" ht="25" x14ac:dyDescent="0.25">
      <c r="A11" s="6" t="s">
        <v>15</v>
      </c>
      <c r="B11" s="7" t="s">
        <v>16</v>
      </c>
    </row>
    <row r="12" spans="1:2" ht="25" x14ac:dyDescent="0.25">
      <c r="A12" s="6" t="s">
        <v>17</v>
      </c>
      <c r="B12" s="7" t="s">
        <v>18</v>
      </c>
    </row>
    <row r="13" spans="1:2" ht="25" x14ac:dyDescent="0.25">
      <c r="A13" s="6" t="s">
        <v>19</v>
      </c>
      <c r="B13" s="7" t="s">
        <v>20</v>
      </c>
    </row>
    <row r="14" spans="1:2" ht="13" x14ac:dyDescent="0.25">
      <c r="A14" s="6" t="s">
        <v>21</v>
      </c>
      <c r="B14" s="7" t="s">
        <v>22</v>
      </c>
    </row>
    <row r="15" spans="1:2" ht="25" x14ac:dyDescent="0.25">
      <c r="A15" s="6" t="s">
        <v>23</v>
      </c>
      <c r="B15" s="7" t="s">
        <v>139</v>
      </c>
    </row>
    <row r="16" spans="1:2" ht="13" x14ac:dyDescent="0.25">
      <c r="A16" s="6" t="s">
        <v>24</v>
      </c>
      <c r="B16" s="7" t="s">
        <v>25</v>
      </c>
    </row>
    <row r="17" spans="1:2" ht="50" x14ac:dyDescent="0.25">
      <c r="A17" s="6" t="s">
        <v>109</v>
      </c>
      <c r="B17" s="7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6310-93EE-460C-BC08-1A0F0ABE0BE2}">
  <dimension ref="A1:N41"/>
  <sheetViews>
    <sheetView zoomScaleNormal="100" workbookViewId="0">
      <pane ySplit="4" topLeftCell="A5" activePane="bottomLeft" state="frozenSplit"/>
      <selection pane="bottomLeft"/>
    </sheetView>
  </sheetViews>
  <sheetFormatPr baseColWidth="10" defaultRowHeight="12.5" x14ac:dyDescent="0.25"/>
  <cols>
    <col min="1" max="1" width="5.6328125" style="1" customWidth="1"/>
    <col min="2" max="2" width="24.6328125" style="1" customWidth="1"/>
    <col min="3" max="3" width="28.6328125" style="1" customWidth="1"/>
    <col min="4" max="4" width="13.6328125" style="1" customWidth="1"/>
    <col min="5" max="5" width="15.6328125" style="1" customWidth="1"/>
    <col min="6" max="6" width="18.6328125" style="1" customWidth="1"/>
    <col min="7" max="8" width="15.6328125" style="1" customWidth="1"/>
    <col min="9" max="9" width="13.6328125" style="1" customWidth="1"/>
    <col min="10" max="11" width="30.6328125" style="1" customWidth="1"/>
    <col min="12" max="12" width="8.6328125" style="1" customWidth="1"/>
    <col min="13" max="13" width="30.6328125" style="1" customWidth="1"/>
    <col min="14" max="14" width="28.6328125" style="1" customWidth="1"/>
    <col min="15" max="16384" width="10.90625" style="1"/>
  </cols>
  <sheetData>
    <row r="1" spans="1:14" ht="18" x14ac:dyDescent="0.4">
      <c r="A1" s="3" t="s">
        <v>26</v>
      </c>
    </row>
    <row r="2" spans="1:14" ht="13" x14ac:dyDescent="0.3">
      <c r="A2" s="4" t="s">
        <v>27</v>
      </c>
    </row>
    <row r="4" spans="1:14" ht="30" customHeight="1" x14ac:dyDescent="0.25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41</v>
      </c>
    </row>
    <row r="5" spans="1:14" x14ac:dyDescent="0.25">
      <c r="A5" s="17" t="s">
        <v>42</v>
      </c>
      <c r="B5" s="17" t="s">
        <v>43</v>
      </c>
      <c r="C5" s="17" t="s">
        <v>44</v>
      </c>
      <c r="D5" s="17" t="s">
        <v>45</v>
      </c>
      <c r="E5" s="17" t="s">
        <v>46</v>
      </c>
      <c r="F5" s="17" t="s">
        <v>47</v>
      </c>
      <c r="G5" s="17"/>
      <c r="H5" s="17"/>
      <c r="I5" s="17"/>
      <c r="J5" s="17"/>
      <c r="K5" s="17" t="s">
        <v>48</v>
      </c>
      <c r="L5" s="17" t="s">
        <v>49</v>
      </c>
      <c r="M5" s="17" t="s">
        <v>50</v>
      </c>
      <c r="N5" s="17" t="s">
        <v>51</v>
      </c>
    </row>
    <row r="6" spans="1:14" ht="62.5" x14ac:dyDescent="0.25">
      <c r="A6" s="7">
        <v>1</v>
      </c>
      <c r="B6" s="18" t="s">
        <v>60</v>
      </c>
      <c r="C6" s="18" t="s">
        <v>142</v>
      </c>
      <c r="D6" s="19"/>
      <c r="E6" s="20">
        <v>70000</v>
      </c>
      <c r="F6" s="18" t="s">
        <v>47</v>
      </c>
      <c r="G6" s="20"/>
      <c r="H6" s="20"/>
      <c r="I6" s="19"/>
      <c r="J6" s="18"/>
      <c r="K6" s="18" t="s">
        <v>143</v>
      </c>
      <c r="L6" s="18" t="s">
        <v>129</v>
      </c>
      <c r="M6" s="18" t="s">
        <v>144</v>
      </c>
      <c r="N6" s="18"/>
    </row>
    <row r="7" spans="1:14" ht="37.5" x14ac:dyDescent="0.25">
      <c r="A7" s="7">
        <v>2</v>
      </c>
      <c r="B7" s="18" t="s">
        <v>43</v>
      </c>
      <c r="C7" s="18" t="s">
        <v>110</v>
      </c>
      <c r="D7" s="19"/>
      <c r="E7" s="20">
        <v>20000</v>
      </c>
      <c r="F7" s="18" t="s">
        <v>47</v>
      </c>
      <c r="G7" s="20"/>
      <c r="H7" s="20"/>
      <c r="I7" s="19"/>
      <c r="J7" s="18"/>
      <c r="K7" s="18" t="s">
        <v>111</v>
      </c>
      <c r="L7" s="18" t="s">
        <v>49</v>
      </c>
      <c r="M7" s="18" t="s">
        <v>112</v>
      </c>
      <c r="N7" s="18"/>
    </row>
    <row r="8" spans="1:14" ht="25" x14ac:dyDescent="0.25">
      <c r="A8" s="7">
        <v>3</v>
      </c>
      <c r="B8" s="18" t="s">
        <v>63</v>
      </c>
      <c r="C8" s="18" t="s">
        <v>113</v>
      </c>
      <c r="D8" s="19"/>
      <c r="E8" s="20">
        <v>5000</v>
      </c>
      <c r="F8" s="18" t="s">
        <v>47</v>
      </c>
      <c r="G8" s="20"/>
      <c r="H8" s="20"/>
      <c r="I8" s="19"/>
      <c r="J8" s="18"/>
      <c r="K8" s="18" t="s">
        <v>114</v>
      </c>
      <c r="L8" s="18" t="s">
        <v>49</v>
      </c>
      <c r="M8" s="18" t="s">
        <v>115</v>
      </c>
      <c r="N8" s="18"/>
    </row>
    <row r="9" spans="1:14" ht="62.5" x14ac:dyDescent="0.25">
      <c r="A9" s="7">
        <v>4</v>
      </c>
      <c r="B9" s="18" t="s">
        <v>65</v>
      </c>
      <c r="C9" s="18" t="s">
        <v>145</v>
      </c>
      <c r="D9" s="19"/>
      <c r="E9" s="20">
        <v>45000</v>
      </c>
      <c r="F9" s="18" t="s">
        <v>47</v>
      </c>
      <c r="G9" s="20"/>
      <c r="H9" s="20"/>
      <c r="I9" s="19"/>
      <c r="J9" s="18"/>
      <c r="K9" s="18" t="s">
        <v>146</v>
      </c>
      <c r="L9" s="18" t="s">
        <v>129</v>
      </c>
      <c r="M9" s="18" t="s">
        <v>130</v>
      </c>
      <c r="N9" s="18"/>
    </row>
    <row r="10" spans="1:14" ht="75" x14ac:dyDescent="0.25">
      <c r="A10" s="7">
        <v>5</v>
      </c>
      <c r="B10" s="18" t="s">
        <v>61</v>
      </c>
      <c r="C10" s="18" t="s">
        <v>147</v>
      </c>
      <c r="D10" s="19"/>
      <c r="E10" s="20">
        <v>0</v>
      </c>
      <c r="F10" s="18" t="s">
        <v>47</v>
      </c>
      <c r="G10" s="20"/>
      <c r="H10" s="20"/>
      <c r="I10" s="19"/>
      <c r="J10" s="18"/>
      <c r="K10" s="18" t="s">
        <v>148</v>
      </c>
      <c r="L10" s="18" t="s">
        <v>129</v>
      </c>
      <c r="M10" s="18" t="s">
        <v>131</v>
      </c>
      <c r="N10" s="18"/>
    </row>
    <row r="11" spans="1:14" ht="62.5" x14ac:dyDescent="0.25">
      <c r="A11" s="7">
        <v>6</v>
      </c>
      <c r="B11" s="18" t="s">
        <v>60</v>
      </c>
      <c r="C11" s="18" t="s">
        <v>132</v>
      </c>
      <c r="D11" s="19"/>
      <c r="E11" s="20">
        <v>0</v>
      </c>
      <c r="F11" s="18" t="s">
        <v>47</v>
      </c>
      <c r="G11" s="20"/>
      <c r="H11" s="20"/>
      <c r="I11" s="19"/>
      <c r="J11" s="18"/>
      <c r="K11" s="18" t="s">
        <v>149</v>
      </c>
      <c r="L11" s="18" t="s">
        <v>129</v>
      </c>
      <c r="M11" s="18" t="s">
        <v>133</v>
      </c>
      <c r="N11" s="18"/>
    </row>
    <row r="12" spans="1:14" x14ac:dyDescent="0.25">
      <c r="A12" s="7">
        <v>7</v>
      </c>
      <c r="B12" s="18"/>
      <c r="C12" s="18"/>
      <c r="D12" s="19"/>
      <c r="E12" s="20"/>
      <c r="F12" s="18"/>
      <c r="G12" s="20"/>
      <c r="H12" s="20"/>
      <c r="I12" s="19"/>
      <c r="J12" s="18"/>
      <c r="K12" s="18"/>
      <c r="L12" s="18"/>
      <c r="M12" s="18"/>
      <c r="N12" s="18"/>
    </row>
    <row r="13" spans="1:14" x14ac:dyDescent="0.25">
      <c r="A13" s="7">
        <v>8</v>
      </c>
      <c r="B13" s="18"/>
      <c r="C13" s="18"/>
      <c r="D13" s="19"/>
      <c r="E13" s="20"/>
      <c r="F13" s="18"/>
      <c r="G13" s="20"/>
      <c r="H13" s="20"/>
      <c r="I13" s="19"/>
      <c r="J13" s="18"/>
      <c r="K13" s="18"/>
      <c r="L13" s="18"/>
      <c r="M13" s="18"/>
      <c r="N13" s="18"/>
    </row>
    <row r="14" spans="1:14" x14ac:dyDescent="0.25">
      <c r="A14" s="7">
        <v>9</v>
      </c>
      <c r="B14" s="18"/>
      <c r="C14" s="18"/>
      <c r="D14" s="19"/>
      <c r="E14" s="20"/>
      <c r="F14" s="18"/>
      <c r="G14" s="20"/>
      <c r="H14" s="20"/>
      <c r="I14" s="19"/>
      <c r="J14" s="18"/>
      <c r="K14" s="18"/>
      <c r="L14" s="18"/>
      <c r="M14" s="18"/>
      <c r="N14" s="18"/>
    </row>
    <row r="15" spans="1:14" x14ac:dyDescent="0.25">
      <c r="A15" s="7">
        <v>10</v>
      </c>
      <c r="B15" s="18"/>
      <c r="C15" s="18"/>
      <c r="D15" s="19"/>
      <c r="E15" s="20"/>
      <c r="F15" s="18"/>
      <c r="G15" s="20"/>
      <c r="H15" s="20"/>
      <c r="I15" s="19"/>
      <c r="J15" s="18"/>
      <c r="K15" s="18"/>
      <c r="L15" s="18"/>
      <c r="M15" s="18"/>
      <c r="N15" s="18"/>
    </row>
    <row r="16" spans="1:14" x14ac:dyDescent="0.25">
      <c r="A16" s="7">
        <v>11</v>
      </c>
      <c r="B16" s="18"/>
      <c r="C16" s="18"/>
      <c r="D16" s="19"/>
      <c r="E16" s="20"/>
      <c r="F16" s="18"/>
      <c r="G16" s="20"/>
      <c r="H16" s="20"/>
      <c r="I16" s="19"/>
      <c r="J16" s="18"/>
      <c r="K16" s="18"/>
      <c r="L16" s="18"/>
      <c r="M16" s="18"/>
      <c r="N16" s="18"/>
    </row>
    <row r="17" spans="1:14" x14ac:dyDescent="0.25">
      <c r="A17" s="7">
        <v>12</v>
      </c>
      <c r="B17" s="18"/>
      <c r="C17" s="18"/>
      <c r="D17" s="19"/>
      <c r="E17" s="20"/>
      <c r="F17" s="18"/>
      <c r="G17" s="20"/>
      <c r="H17" s="20"/>
      <c r="I17" s="19"/>
      <c r="J17" s="18"/>
      <c r="K17" s="18"/>
      <c r="L17" s="18"/>
      <c r="M17" s="18"/>
      <c r="N17" s="18"/>
    </row>
    <row r="18" spans="1:14" x14ac:dyDescent="0.25">
      <c r="A18" s="7">
        <v>13</v>
      </c>
      <c r="B18" s="18"/>
      <c r="C18" s="18"/>
      <c r="D18" s="19"/>
      <c r="E18" s="20"/>
      <c r="F18" s="18"/>
      <c r="G18" s="20"/>
      <c r="H18" s="20"/>
      <c r="I18" s="19"/>
      <c r="J18" s="18"/>
      <c r="K18" s="18"/>
      <c r="L18" s="18"/>
      <c r="M18" s="18"/>
      <c r="N18" s="18"/>
    </row>
    <row r="19" spans="1:14" x14ac:dyDescent="0.25">
      <c r="A19" s="7">
        <v>14</v>
      </c>
      <c r="B19" s="18"/>
      <c r="C19" s="18"/>
      <c r="D19" s="19"/>
      <c r="E19" s="20"/>
      <c r="F19" s="18"/>
      <c r="G19" s="20"/>
      <c r="H19" s="20"/>
      <c r="I19" s="19"/>
      <c r="J19" s="18"/>
      <c r="K19" s="18"/>
      <c r="L19" s="18"/>
      <c r="M19" s="18"/>
      <c r="N19" s="18"/>
    </row>
    <row r="20" spans="1:14" x14ac:dyDescent="0.25">
      <c r="A20" s="7">
        <v>15</v>
      </c>
      <c r="B20" s="18"/>
      <c r="C20" s="18"/>
      <c r="D20" s="19"/>
      <c r="E20" s="20"/>
      <c r="F20" s="18"/>
      <c r="G20" s="20"/>
      <c r="H20" s="20"/>
      <c r="I20" s="19"/>
      <c r="J20" s="18"/>
      <c r="K20" s="18"/>
      <c r="L20" s="18"/>
      <c r="M20" s="18"/>
      <c r="N20" s="18"/>
    </row>
    <row r="21" spans="1:14" x14ac:dyDescent="0.25">
      <c r="A21" s="7">
        <v>16</v>
      </c>
      <c r="B21" s="18"/>
      <c r="C21" s="18"/>
      <c r="D21" s="19"/>
      <c r="E21" s="20"/>
      <c r="F21" s="18"/>
      <c r="G21" s="20"/>
      <c r="H21" s="20"/>
      <c r="I21" s="19"/>
      <c r="J21" s="18"/>
      <c r="K21" s="18"/>
      <c r="L21" s="18"/>
      <c r="M21" s="18"/>
      <c r="N21" s="18"/>
    </row>
    <row r="22" spans="1:14" x14ac:dyDescent="0.25">
      <c r="A22" s="7">
        <v>17</v>
      </c>
      <c r="B22" s="18"/>
      <c r="C22" s="18"/>
      <c r="D22" s="19"/>
      <c r="E22" s="20"/>
      <c r="F22" s="18"/>
      <c r="G22" s="20"/>
      <c r="H22" s="20"/>
      <c r="I22" s="19"/>
      <c r="J22" s="18"/>
      <c r="K22" s="18"/>
      <c r="L22" s="18"/>
      <c r="M22" s="18"/>
      <c r="N22" s="18"/>
    </row>
    <row r="23" spans="1:14" x14ac:dyDescent="0.25">
      <c r="A23" s="7">
        <v>18</v>
      </c>
      <c r="B23" s="18"/>
      <c r="C23" s="18"/>
      <c r="D23" s="19"/>
      <c r="E23" s="20"/>
      <c r="F23" s="18"/>
      <c r="G23" s="20"/>
      <c r="H23" s="20"/>
      <c r="I23" s="19"/>
      <c r="J23" s="18"/>
      <c r="K23" s="18"/>
      <c r="L23" s="18"/>
      <c r="M23" s="18"/>
      <c r="N23" s="18"/>
    </row>
    <row r="24" spans="1:14" x14ac:dyDescent="0.25">
      <c r="A24" s="7">
        <v>19</v>
      </c>
      <c r="B24" s="18"/>
      <c r="C24" s="18"/>
      <c r="D24" s="19"/>
      <c r="E24" s="20"/>
      <c r="F24" s="18"/>
      <c r="G24" s="20"/>
      <c r="H24" s="20"/>
      <c r="I24" s="19"/>
      <c r="J24" s="18"/>
      <c r="K24" s="18"/>
      <c r="L24" s="18"/>
      <c r="M24" s="18"/>
      <c r="N24" s="18"/>
    </row>
    <row r="25" spans="1:14" x14ac:dyDescent="0.25">
      <c r="A25" s="7">
        <v>20</v>
      </c>
      <c r="B25" s="18"/>
      <c r="C25" s="18"/>
      <c r="D25" s="19"/>
      <c r="E25" s="20"/>
      <c r="F25" s="18"/>
      <c r="G25" s="20"/>
      <c r="H25" s="20"/>
      <c r="I25" s="19"/>
      <c r="J25" s="18"/>
      <c r="K25" s="18"/>
      <c r="L25" s="18"/>
      <c r="M25" s="18"/>
      <c r="N25" s="18"/>
    </row>
    <row r="27" spans="1:14" ht="13" x14ac:dyDescent="0.3">
      <c r="A27" s="11" t="s">
        <v>52</v>
      </c>
      <c r="B27" s="11"/>
      <c r="C27" s="11"/>
      <c r="D27" s="11"/>
      <c r="E27" s="11"/>
      <c r="F27" s="11"/>
      <c r="G27" s="11"/>
      <c r="H27" s="11"/>
    </row>
    <row r="28" spans="1:14" ht="13" x14ac:dyDescent="0.3">
      <c r="B28" s="2" t="s">
        <v>53</v>
      </c>
      <c r="C28" s="2"/>
      <c r="D28" s="2"/>
      <c r="E28" s="15">
        <f>SUMIFS(E6:E25,F6:F25,"&lt;&gt;Refusé")</f>
        <v>140000</v>
      </c>
    </row>
    <row r="29" spans="1:14" ht="13" x14ac:dyDescent="0.3">
      <c r="B29" s="2" t="s">
        <v>54</v>
      </c>
      <c r="C29" s="2"/>
      <c r="D29" s="2"/>
      <c r="E29" s="15">
        <f>SUMIFS(G6:G25,F6:F25,"Accordé, non signé")+SUMIFS(G6:G25,F6:F25,"Signé")</f>
        <v>0</v>
      </c>
    </row>
    <row r="30" spans="1:14" ht="13" x14ac:dyDescent="0.3">
      <c r="B30" s="2" t="s">
        <v>55</v>
      </c>
      <c r="C30" s="2"/>
      <c r="D30" s="2"/>
      <c r="E30" s="15">
        <f>SUMIFS(H6:H25,F6:F25,"Fonds reçus")</f>
        <v>0</v>
      </c>
    </row>
    <row r="31" spans="1:14" ht="13" x14ac:dyDescent="0.3">
      <c r="B31" s="2" t="s">
        <v>56</v>
      </c>
      <c r="C31" s="2"/>
      <c r="D31" s="2"/>
      <c r="E31" s="16">
        <f>COUNTIFS(F6:F25,"Fonds reçus",J6:J25,"")</f>
        <v>0</v>
      </c>
    </row>
    <row r="33" spans="1:8" ht="13" x14ac:dyDescent="0.3">
      <c r="A33" s="11" t="s">
        <v>57</v>
      </c>
      <c r="B33" s="11"/>
      <c r="C33" s="11"/>
      <c r="D33" s="11"/>
      <c r="E33" s="11"/>
      <c r="F33" s="11"/>
      <c r="G33" s="11"/>
      <c r="H33" s="11"/>
    </row>
    <row r="34" spans="1:8" ht="30" customHeight="1" x14ac:dyDescent="0.25">
      <c r="B34" s="5" t="s">
        <v>29</v>
      </c>
      <c r="C34" s="5" t="s">
        <v>58</v>
      </c>
      <c r="D34" s="5" t="s">
        <v>59</v>
      </c>
    </row>
    <row r="35" spans="1:8" x14ac:dyDescent="0.25">
      <c r="B35" s="1" t="s">
        <v>60</v>
      </c>
      <c r="C35" s="13">
        <f t="shared" ref="C35:C41" si="0">SUMIFS($E$6:$E$25,$B$6:$B$25,B35,$F$6:$F$25,"&lt;&gt;Refusé")</f>
        <v>70000</v>
      </c>
      <c r="D35" s="13">
        <f t="shared" ref="D35:D41" si="1">SUMIFS($H$6:$H$25,$B$6:$B$25,B35,$F$6:$F$25,"Fonds reçus")</f>
        <v>0</v>
      </c>
    </row>
    <row r="36" spans="1:8" x14ac:dyDescent="0.25">
      <c r="B36" s="1" t="s">
        <v>61</v>
      </c>
      <c r="C36" s="13">
        <f t="shared" si="0"/>
        <v>0</v>
      </c>
      <c r="D36" s="13">
        <f t="shared" si="1"/>
        <v>0</v>
      </c>
    </row>
    <row r="37" spans="1:8" x14ac:dyDescent="0.25">
      <c r="B37" s="1" t="s">
        <v>62</v>
      </c>
      <c r="C37" s="13">
        <f t="shared" si="0"/>
        <v>0</v>
      </c>
      <c r="D37" s="13">
        <f t="shared" si="1"/>
        <v>0</v>
      </c>
    </row>
    <row r="38" spans="1:8" x14ac:dyDescent="0.25">
      <c r="B38" s="1" t="s">
        <v>43</v>
      </c>
      <c r="C38" s="13">
        <f t="shared" si="0"/>
        <v>20000</v>
      </c>
      <c r="D38" s="13">
        <f t="shared" si="1"/>
        <v>0</v>
      </c>
    </row>
    <row r="39" spans="1:8" x14ac:dyDescent="0.25">
      <c r="B39" s="1" t="s">
        <v>63</v>
      </c>
      <c r="C39" s="13">
        <f t="shared" si="0"/>
        <v>5000</v>
      </c>
      <c r="D39" s="13">
        <f t="shared" si="1"/>
        <v>0</v>
      </c>
    </row>
    <row r="40" spans="1:8" x14ac:dyDescent="0.25">
      <c r="B40" s="1" t="s">
        <v>64</v>
      </c>
      <c r="C40" s="13">
        <f t="shared" si="0"/>
        <v>0</v>
      </c>
      <c r="D40" s="13">
        <f t="shared" si="1"/>
        <v>0</v>
      </c>
    </row>
    <row r="41" spans="1:8" x14ac:dyDescent="0.25">
      <c r="B41" s="1" t="s">
        <v>65</v>
      </c>
      <c r="C41" s="13">
        <f t="shared" si="0"/>
        <v>45000</v>
      </c>
      <c r="D41" s="13">
        <f t="shared" si="1"/>
        <v>0</v>
      </c>
    </row>
  </sheetData>
  <dataValidations count="3">
    <dataValidation type="list" allowBlank="1" showInputMessage="1" showErrorMessage="1" sqref="B5:B25" xr:uid="{B472E456-3A9C-4819-93C1-FFD9562C3C73}">
      <formula1>"Apport des associés,Levée de fonds,Prêt bancaire,Prêt d'honneur,Subvention,Avance remboursable,Autre"</formula1>
    </dataValidation>
    <dataValidation type="list" allowBlank="1" showInputMessage="1" showErrorMessage="1" sqref="F5:F25" xr:uid="{932C4C7E-F57A-4F12-9C3A-2E796832D08E}">
      <mc:AlternateContent xmlns:x12ac="http://schemas.microsoft.com/office/spreadsheetml/2011/1/ac" xmlns:mc="http://schemas.openxmlformats.org/markup-compatibility/2006">
        <mc:Choice Requires="x12ac">
          <x12ac:list>Envisagé,Demandé,"Accordé, non signé",Signé,Fonds reçus,Refusé</x12ac:list>
        </mc:Choice>
        <mc:Fallback>
          <formula1>"Envisagé,Demandé,Accordé, non signé,Signé,Fonds reçus,Refusé"</formula1>
        </mc:Fallback>
      </mc:AlternateContent>
    </dataValidation>
    <dataValidation type="list" allowBlank="1" showInputMessage="1" showErrorMessage="1" sqref="L5:L25" xr:uid="{842DB669-594A-4D0C-B492-9555BAA9E634}">
      <formula1>"F,I,P,H"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4CC2-4B92-47CA-8F29-F14844C4ED28}">
  <dimension ref="A1:K17"/>
  <sheetViews>
    <sheetView zoomScaleNormal="100" workbookViewId="0"/>
  </sheetViews>
  <sheetFormatPr baseColWidth="10" defaultRowHeight="12.5" x14ac:dyDescent="0.25"/>
  <cols>
    <col min="1" max="1" width="10.6328125" style="1" customWidth="1"/>
    <col min="2" max="2" width="26.6328125" style="1" customWidth="1"/>
    <col min="3" max="3" width="16.6328125" style="1" customWidth="1"/>
    <col min="4" max="4" width="12.6328125" style="1" customWidth="1"/>
    <col min="5" max="5" width="15.6328125" style="1" customWidth="1"/>
    <col min="6" max="6" width="14.6328125" style="1" customWidth="1"/>
    <col min="7" max="7" width="16.6328125" style="1" customWidth="1"/>
    <col min="8" max="8" width="15.6328125" style="1" customWidth="1"/>
    <col min="9" max="9" width="30.6328125" style="1" customWidth="1"/>
    <col min="10" max="10" width="8.6328125" style="1" customWidth="1"/>
    <col min="11" max="11" width="30.6328125" style="1" customWidth="1"/>
    <col min="12" max="16384" width="10.90625" style="1"/>
  </cols>
  <sheetData>
    <row r="1" spans="1:11" ht="18" x14ac:dyDescent="0.4">
      <c r="A1" s="3" t="s">
        <v>66</v>
      </c>
    </row>
    <row r="2" spans="1:11" ht="13" x14ac:dyDescent="0.3">
      <c r="A2" s="4" t="s">
        <v>67</v>
      </c>
    </row>
    <row r="4" spans="1:11" ht="30" customHeight="1" x14ac:dyDescent="0.25">
      <c r="A4" s="5" t="s">
        <v>68</v>
      </c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  <c r="G4" s="5" t="s">
        <v>74</v>
      </c>
      <c r="H4" s="5" t="s">
        <v>75</v>
      </c>
      <c r="I4" s="5" t="s">
        <v>76</v>
      </c>
      <c r="J4" s="5" t="s">
        <v>39</v>
      </c>
      <c r="K4" s="5" t="s">
        <v>40</v>
      </c>
    </row>
    <row r="5" spans="1:11" x14ac:dyDescent="0.25">
      <c r="A5" s="8">
        <v>2</v>
      </c>
      <c r="B5" s="8" t="s">
        <v>110</v>
      </c>
      <c r="C5" s="10">
        <v>20000</v>
      </c>
      <c r="D5" s="21">
        <v>0</v>
      </c>
      <c r="E5" s="22">
        <v>60</v>
      </c>
      <c r="F5" s="23">
        <f t="shared" ref="F5:F14" si="0">IF(AND(C5&gt;0,E5&gt;0),IF(D5=0,C5/E5,PMT(D5/12,E5,-C5)),0)</f>
        <v>333.33333333333331</v>
      </c>
      <c r="G5" s="23">
        <f t="shared" ref="G5:G14" si="1">IF(F5&gt;0,F5*E5-C5,0)</f>
        <v>0</v>
      </c>
      <c r="H5" s="9"/>
      <c r="I5" s="8" t="s">
        <v>116</v>
      </c>
      <c r="J5" s="8" t="s">
        <v>49</v>
      </c>
      <c r="K5" s="8" t="s">
        <v>117</v>
      </c>
    </row>
    <row r="6" spans="1:11" x14ac:dyDescent="0.25">
      <c r="A6" s="8"/>
      <c r="B6" s="8"/>
      <c r="C6" s="10"/>
      <c r="D6" s="21"/>
      <c r="E6" s="22"/>
      <c r="F6" s="23">
        <f t="shared" si="0"/>
        <v>0</v>
      </c>
      <c r="G6" s="23">
        <f t="shared" si="1"/>
        <v>0</v>
      </c>
      <c r="H6" s="9"/>
      <c r="I6" s="8"/>
      <c r="J6" s="8"/>
      <c r="K6" s="8"/>
    </row>
    <row r="7" spans="1:11" x14ac:dyDescent="0.25">
      <c r="A7" s="8"/>
      <c r="B7" s="8"/>
      <c r="C7" s="10"/>
      <c r="D7" s="21"/>
      <c r="E7" s="22"/>
      <c r="F7" s="23">
        <f t="shared" si="0"/>
        <v>0</v>
      </c>
      <c r="G7" s="23">
        <f t="shared" si="1"/>
        <v>0</v>
      </c>
      <c r="H7" s="9"/>
      <c r="I7" s="8"/>
      <c r="J7" s="8"/>
      <c r="K7" s="8"/>
    </row>
    <row r="8" spans="1:11" x14ac:dyDescent="0.25">
      <c r="A8" s="8"/>
      <c r="B8" s="8"/>
      <c r="C8" s="10"/>
      <c r="D8" s="21"/>
      <c r="E8" s="22"/>
      <c r="F8" s="23">
        <f t="shared" si="0"/>
        <v>0</v>
      </c>
      <c r="G8" s="23">
        <f t="shared" si="1"/>
        <v>0</v>
      </c>
      <c r="H8" s="9"/>
      <c r="I8" s="8"/>
      <c r="J8" s="8"/>
      <c r="K8" s="8"/>
    </row>
    <row r="9" spans="1:11" x14ac:dyDescent="0.25">
      <c r="A9" s="8"/>
      <c r="B9" s="8"/>
      <c r="C9" s="10"/>
      <c r="D9" s="21"/>
      <c r="E9" s="22"/>
      <c r="F9" s="23">
        <f t="shared" si="0"/>
        <v>0</v>
      </c>
      <c r="G9" s="23">
        <f t="shared" si="1"/>
        <v>0</v>
      </c>
      <c r="H9" s="9"/>
      <c r="I9" s="8"/>
      <c r="J9" s="8"/>
      <c r="K9" s="8"/>
    </row>
    <row r="10" spans="1:11" x14ac:dyDescent="0.25">
      <c r="A10" s="8"/>
      <c r="B10" s="8"/>
      <c r="C10" s="10"/>
      <c r="D10" s="21"/>
      <c r="E10" s="22"/>
      <c r="F10" s="23">
        <f t="shared" si="0"/>
        <v>0</v>
      </c>
      <c r="G10" s="23">
        <f t="shared" si="1"/>
        <v>0</v>
      </c>
      <c r="H10" s="9"/>
      <c r="I10" s="8"/>
      <c r="J10" s="8"/>
      <c r="K10" s="8"/>
    </row>
    <row r="11" spans="1:11" x14ac:dyDescent="0.25">
      <c r="A11" s="8"/>
      <c r="B11" s="8"/>
      <c r="C11" s="10"/>
      <c r="D11" s="21"/>
      <c r="E11" s="22"/>
      <c r="F11" s="23">
        <f t="shared" si="0"/>
        <v>0</v>
      </c>
      <c r="G11" s="23">
        <f t="shared" si="1"/>
        <v>0</v>
      </c>
      <c r="H11" s="9"/>
      <c r="I11" s="8"/>
      <c r="J11" s="8"/>
      <c r="K11" s="8"/>
    </row>
    <row r="12" spans="1:11" x14ac:dyDescent="0.25">
      <c r="A12" s="8"/>
      <c r="B12" s="8"/>
      <c r="C12" s="10"/>
      <c r="D12" s="21"/>
      <c r="E12" s="22"/>
      <c r="F12" s="23">
        <f t="shared" si="0"/>
        <v>0</v>
      </c>
      <c r="G12" s="23">
        <f t="shared" si="1"/>
        <v>0</v>
      </c>
      <c r="H12" s="9"/>
      <c r="I12" s="8"/>
      <c r="J12" s="8"/>
      <c r="K12" s="8"/>
    </row>
    <row r="13" spans="1:11" x14ac:dyDescent="0.25">
      <c r="A13" s="8"/>
      <c r="B13" s="8"/>
      <c r="C13" s="10"/>
      <c r="D13" s="21"/>
      <c r="E13" s="22"/>
      <c r="F13" s="23">
        <f t="shared" si="0"/>
        <v>0</v>
      </c>
      <c r="G13" s="23">
        <f t="shared" si="1"/>
        <v>0</v>
      </c>
      <c r="H13" s="9"/>
      <c r="I13" s="8"/>
      <c r="J13" s="8"/>
      <c r="K13" s="8"/>
    </row>
    <row r="14" spans="1:11" x14ac:dyDescent="0.25">
      <c r="A14" s="8"/>
      <c r="B14" s="8"/>
      <c r="C14" s="10"/>
      <c r="D14" s="21"/>
      <c r="E14" s="22"/>
      <c r="F14" s="23">
        <f t="shared" si="0"/>
        <v>0</v>
      </c>
      <c r="G14" s="23">
        <f t="shared" si="1"/>
        <v>0</v>
      </c>
      <c r="H14" s="9"/>
      <c r="I14" s="8"/>
      <c r="J14" s="8"/>
      <c r="K14" s="8"/>
    </row>
    <row r="15" spans="1:11" ht="13" x14ac:dyDescent="0.3">
      <c r="A15" s="2"/>
      <c r="B15" s="2" t="s">
        <v>77</v>
      </c>
      <c r="C15" s="15">
        <f>SUM(C5:C14)</f>
        <v>20000</v>
      </c>
      <c r="D15" s="2"/>
      <c r="E15" s="2"/>
      <c r="F15" s="24">
        <f>SUM(F5:F14)</f>
        <v>333.33333333333331</v>
      </c>
      <c r="G15" s="24">
        <f>SUM(G5:G14)</f>
        <v>0</v>
      </c>
      <c r="H15" s="2"/>
      <c r="I15" s="2"/>
      <c r="J15" s="2"/>
      <c r="K15" s="2"/>
    </row>
    <row r="17" spans="1:1" ht="13" x14ac:dyDescent="0.3">
      <c r="A17" s="4" t="s">
        <v>78</v>
      </c>
    </row>
  </sheetData>
  <dataValidations count="1">
    <dataValidation type="list" allowBlank="1" showInputMessage="1" showErrorMessage="1" sqref="J5:J14" xr:uid="{EE1A7A03-5AC2-4842-9259-B09DBC24CC11}">
      <formula1>"F,I,P,H"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3944-DE23-4979-93BC-4ECD8D1057D8}">
  <dimension ref="A1:J19"/>
  <sheetViews>
    <sheetView zoomScaleNormal="100" workbookViewId="0"/>
  </sheetViews>
  <sheetFormatPr baseColWidth="10" defaultRowHeight="12.5" x14ac:dyDescent="0.25"/>
  <cols>
    <col min="1" max="1" width="34.6328125" style="1" customWidth="1"/>
    <col min="2" max="2" width="24.6328125" style="1" customWidth="1"/>
    <col min="3" max="3" width="14.6328125" style="1" customWidth="1"/>
    <col min="4" max="4" width="12.6328125" style="1" customWidth="1"/>
    <col min="5" max="5" width="13.6328125" style="1" customWidth="1"/>
    <col min="6" max="6" width="14.6328125" style="1" customWidth="1"/>
    <col min="7" max="7" width="13.6328125" style="1" customWidth="1"/>
    <col min="8" max="8" width="34.6328125" style="1" customWidth="1"/>
    <col min="9" max="9" width="30.6328125" style="1" customWidth="1"/>
    <col min="10" max="10" width="8.6328125" style="1" customWidth="1"/>
    <col min="11" max="16384" width="10.90625" style="1"/>
  </cols>
  <sheetData>
    <row r="1" spans="1:10" ht="18" x14ac:dyDescent="0.4">
      <c r="A1" s="3" t="s">
        <v>79</v>
      </c>
    </row>
    <row r="2" spans="1:10" ht="13" x14ac:dyDescent="0.3">
      <c r="A2" s="4" t="s">
        <v>80</v>
      </c>
    </row>
    <row r="3" spans="1:10" ht="13" x14ac:dyDescent="0.3">
      <c r="A3" s="2" t="s">
        <v>81</v>
      </c>
      <c r="B3" s="9">
        <v>46327</v>
      </c>
      <c r="C3" s="25" t="s">
        <v>82</v>
      </c>
      <c r="D3" s="34" t="s">
        <v>141</v>
      </c>
      <c r="E3" s="35"/>
      <c r="F3" s="35"/>
      <c r="G3" s="35"/>
      <c r="H3" s="36"/>
    </row>
    <row r="5" spans="1:10" ht="30" customHeight="1" x14ac:dyDescent="0.25">
      <c r="A5" s="5" t="s">
        <v>83</v>
      </c>
      <c r="B5" s="5" t="s">
        <v>84</v>
      </c>
      <c r="C5" s="5" t="s">
        <v>85</v>
      </c>
      <c r="D5" s="5" t="s">
        <v>86</v>
      </c>
      <c r="E5" s="5" t="s">
        <v>87</v>
      </c>
      <c r="F5" s="5" t="s">
        <v>88</v>
      </c>
      <c r="G5" s="5" t="s">
        <v>89</v>
      </c>
      <c r="H5" s="5" t="s">
        <v>11</v>
      </c>
      <c r="I5" s="5" t="s">
        <v>90</v>
      </c>
      <c r="J5" s="5" t="s">
        <v>39</v>
      </c>
    </row>
    <row r="6" spans="1:10" x14ac:dyDescent="0.25">
      <c r="A6" s="8" t="s">
        <v>118</v>
      </c>
      <c r="B6" s="8" t="s">
        <v>119</v>
      </c>
      <c r="C6" s="22">
        <v>10000</v>
      </c>
      <c r="D6" s="26">
        <f t="shared" ref="D6:D17" si="0">IF(OR(B6="BSA ou BSPCE non exercés",$C$18-$C$19=0),0,C6/($C$18-$C$19))</f>
        <v>0.14285714285714285</v>
      </c>
      <c r="E6" s="26">
        <f t="shared" ref="E6:E17" si="1">IF($C$18=0,0,C6/$C$18)</f>
        <v>0.14285714285714285</v>
      </c>
      <c r="F6" s="10">
        <v>10000</v>
      </c>
      <c r="G6" s="9">
        <v>46327</v>
      </c>
      <c r="H6" s="8" t="s">
        <v>120</v>
      </c>
      <c r="I6" s="8" t="s">
        <v>121</v>
      </c>
      <c r="J6" s="8" t="s">
        <v>129</v>
      </c>
    </row>
    <row r="7" spans="1:10" x14ac:dyDescent="0.25">
      <c r="A7" s="8" t="s">
        <v>122</v>
      </c>
      <c r="B7" s="8" t="s">
        <v>119</v>
      </c>
      <c r="C7" s="22">
        <v>10000</v>
      </c>
      <c r="D7" s="26">
        <f t="shared" si="0"/>
        <v>0.14285714285714285</v>
      </c>
      <c r="E7" s="26">
        <f t="shared" si="1"/>
        <v>0.14285714285714285</v>
      </c>
      <c r="F7" s="10">
        <v>10000</v>
      </c>
      <c r="G7" s="9">
        <v>46327</v>
      </c>
      <c r="H7" s="8" t="s">
        <v>120</v>
      </c>
      <c r="I7" s="8" t="s">
        <v>121</v>
      </c>
      <c r="J7" s="8" t="s">
        <v>129</v>
      </c>
    </row>
    <row r="8" spans="1:10" x14ac:dyDescent="0.25">
      <c r="A8" s="8" t="s">
        <v>123</v>
      </c>
      <c r="B8" s="8" t="s">
        <v>119</v>
      </c>
      <c r="C8" s="22">
        <v>10000</v>
      </c>
      <c r="D8" s="26">
        <f t="shared" si="0"/>
        <v>0.14285714285714285</v>
      </c>
      <c r="E8" s="26">
        <f t="shared" si="1"/>
        <v>0.14285714285714285</v>
      </c>
      <c r="F8" s="10">
        <v>10000</v>
      </c>
      <c r="G8" s="9">
        <v>46327</v>
      </c>
      <c r="H8" s="8" t="s">
        <v>120</v>
      </c>
      <c r="I8" s="8" t="s">
        <v>121</v>
      </c>
      <c r="J8" s="8" t="s">
        <v>129</v>
      </c>
    </row>
    <row r="9" spans="1:10" x14ac:dyDescent="0.25">
      <c r="A9" s="8" t="s">
        <v>124</v>
      </c>
      <c r="B9" s="8" t="s">
        <v>119</v>
      </c>
      <c r="C9" s="22">
        <v>10000</v>
      </c>
      <c r="D9" s="26">
        <f t="shared" si="0"/>
        <v>0.14285714285714285</v>
      </c>
      <c r="E9" s="26">
        <f t="shared" si="1"/>
        <v>0.14285714285714285</v>
      </c>
      <c r="F9" s="10">
        <v>10000</v>
      </c>
      <c r="G9" s="9">
        <v>46327</v>
      </c>
      <c r="H9" s="8" t="s">
        <v>120</v>
      </c>
      <c r="I9" s="8" t="s">
        <v>121</v>
      </c>
      <c r="J9" s="8" t="s">
        <v>129</v>
      </c>
    </row>
    <row r="10" spans="1:10" x14ac:dyDescent="0.25">
      <c r="A10" s="8" t="s">
        <v>125</v>
      </c>
      <c r="B10" s="8" t="s">
        <v>119</v>
      </c>
      <c r="C10" s="22">
        <v>10000</v>
      </c>
      <c r="D10" s="26">
        <f t="shared" si="0"/>
        <v>0.14285714285714285</v>
      </c>
      <c r="E10" s="26">
        <f t="shared" si="1"/>
        <v>0.14285714285714285</v>
      </c>
      <c r="F10" s="10">
        <v>10000</v>
      </c>
      <c r="G10" s="9">
        <v>46327</v>
      </c>
      <c r="H10" s="8" t="s">
        <v>120</v>
      </c>
      <c r="I10" s="8" t="s">
        <v>121</v>
      </c>
      <c r="J10" s="8" t="s">
        <v>129</v>
      </c>
    </row>
    <row r="11" spans="1:10" x14ac:dyDescent="0.25">
      <c r="A11" s="8" t="s">
        <v>126</v>
      </c>
      <c r="B11" s="8" t="s">
        <v>119</v>
      </c>
      <c r="C11" s="22">
        <v>10000</v>
      </c>
      <c r="D11" s="26">
        <f t="shared" si="0"/>
        <v>0.14285714285714285</v>
      </c>
      <c r="E11" s="26">
        <f t="shared" si="1"/>
        <v>0.14285714285714285</v>
      </c>
      <c r="F11" s="10">
        <v>10000</v>
      </c>
      <c r="G11" s="9">
        <v>46327</v>
      </c>
      <c r="H11" s="8" t="s">
        <v>120</v>
      </c>
      <c r="I11" s="8" t="s">
        <v>121</v>
      </c>
      <c r="J11" s="8" t="s">
        <v>129</v>
      </c>
    </row>
    <row r="12" spans="1:10" x14ac:dyDescent="0.25">
      <c r="A12" s="8" t="s">
        <v>127</v>
      </c>
      <c r="B12" s="8" t="s">
        <v>119</v>
      </c>
      <c r="C12" s="22">
        <v>10000</v>
      </c>
      <c r="D12" s="26">
        <f t="shared" si="0"/>
        <v>0.14285714285714285</v>
      </c>
      <c r="E12" s="26">
        <f t="shared" si="1"/>
        <v>0.14285714285714285</v>
      </c>
      <c r="F12" s="10">
        <v>10000</v>
      </c>
      <c r="G12" s="9">
        <v>46327</v>
      </c>
      <c r="H12" s="8" t="s">
        <v>120</v>
      </c>
      <c r="I12" s="8" t="s">
        <v>121</v>
      </c>
      <c r="J12" s="8" t="s">
        <v>129</v>
      </c>
    </row>
    <row r="13" spans="1:10" x14ac:dyDescent="0.25">
      <c r="A13" s="8"/>
      <c r="B13" s="8"/>
      <c r="C13" s="22"/>
      <c r="D13" s="26">
        <f t="shared" si="0"/>
        <v>0</v>
      </c>
      <c r="E13" s="26">
        <f t="shared" si="1"/>
        <v>0</v>
      </c>
      <c r="F13" s="10"/>
      <c r="G13" s="9"/>
      <c r="H13" s="8"/>
      <c r="I13" s="8"/>
      <c r="J13" s="8"/>
    </row>
    <row r="14" spans="1:10" x14ac:dyDescent="0.25">
      <c r="A14" s="8"/>
      <c r="B14" s="8"/>
      <c r="C14" s="22"/>
      <c r="D14" s="26">
        <f t="shared" si="0"/>
        <v>0</v>
      </c>
      <c r="E14" s="26">
        <f t="shared" si="1"/>
        <v>0</v>
      </c>
      <c r="F14" s="10"/>
      <c r="G14" s="9"/>
      <c r="H14" s="8"/>
      <c r="I14" s="8"/>
      <c r="J14" s="8"/>
    </row>
    <row r="15" spans="1:10" x14ac:dyDescent="0.25">
      <c r="A15" s="8"/>
      <c r="B15" s="8"/>
      <c r="C15" s="22"/>
      <c r="D15" s="26">
        <f t="shared" si="0"/>
        <v>0</v>
      </c>
      <c r="E15" s="26">
        <f t="shared" si="1"/>
        <v>0</v>
      </c>
      <c r="F15" s="10"/>
      <c r="G15" s="9"/>
      <c r="H15" s="8"/>
      <c r="I15" s="8"/>
      <c r="J15" s="8"/>
    </row>
    <row r="16" spans="1:10" x14ac:dyDescent="0.25">
      <c r="A16" s="8"/>
      <c r="B16" s="8"/>
      <c r="C16" s="22"/>
      <c r="D16" s="26">
        <f t="shared" si="0"/>
        <v>0</v>
      </c>
      <c r="E16" s="26">
        <f t="shared" si="1"/>
        <v>0</v>
      </c>
      <c r="F16" s="10"/>
      <c r="G16" s="9"/>
      <c r="H16" s="8"/>
      <c r="I16" s="8"/>
      <c r="J16" s="8"/>
    </row>
    <row r="17" spans="1:10" x14ac:dyDescent="0.25">
      <c r="A17" s="8"/>
      <c r="B17" s="8"/>
      <c r="C17" s="22"/>
      <c r="D17" s="26">
        <f t="shared" si="0"/>
        <v>0</v>
      </c>
      <c r="E17" s="26">
        <f t="shared" si="1"/>
        <v>0</v>
      </c>
      <c r="F17" s="10"/>
      <c r="G17" s="9"/>
      <c r="H17" s="8"/>
      <c r="I17" s="8"/>
      <c r="J17" s="8"/>
    </row>
    <row r="18" spans="1:10" ht="13" x14ac:dyDescent="0.3">
      <c r="A18" s="2" t="s">
        <v>91</v>
      </c>
      <c r="B18" s="2"/>
      <c r="C18" s="16">
        <f>SUM(C6:C17)</f>
        <v>70000</v>
      </c>
      <c r="D18" s="27">
        <f>SUM(D6:D17)</f>
        <v>0.99999999999999978</v>
      </c>
      <c r="E18" s="27">
        <f>SUM(E6:E17)</f>
        <v>0.99999999999999978</v>
      </c>
      <c r="F18" s="15">
        <f>SUM(F6:F17)</f>
        <v>70000</v>
      </c>
    </row>
    <row r="19" spans="1:10" ht="13" x14ac:dyDescent="0.3">
      <c r="A19" s="2" t="s">
        <v>92</v>
      </c>
      <c r="B19" s="2"/>
      <c r="C19" s="16">
        <f>SUMIFS(C6:C17,B6:B17,"BSA ou BSPCE non exercés")</f>
        <v>0</v>
      </c>
      <c r="D19" s="2"/>
      <c r="E19" s="2"/>
      <c r="F19" s="2"/>
    </row>
  </sheetData>
  <mergeCells count="1">
    <mergeCell ref="D3:H3"/>
  </mergeCells>
  <dataValidations count="2">
    <dataValidation type="list" allowBlank="1" showInputMessage="1" showErrorMessage="1" sqref="B6:B17" xr:uid="{35298457-C3E9-465B-B168-F96F3B9FE7F5}">
      <formula1>"Actions ordinaires,Actions de préférence,BSA ou BSPCE non exercés"</formula1>
    </dataValidation>
    <dataValidation type="list" allowBlank="1" showInputMessage="1" showErrorMessage="1" sqref="J6:J17" xr:uid="{6664E631-1571-4C66-948C-14C332D2F4A5}">
      <formula1>"F,I,P,H"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CDB6-0E1D-47B0-BC22-D0CFA2778A34}">
  <dimension ref="A1:E30"/>
  <sheetViews>
    <sheetView zoomScaleNormal="100" workbookViewId="0"/>
  </sheetViews>
  <sheetFormatPr baseColWidth="10" defaultRowHeight="12.5" x14ac:dyDescent="0.25"/>
  <cols>
    <col min="1" max="1" width="40.6328125" style="1" customWidth="1"/>
    <col min="2" max="5" width="16.6328125" style="1" customWidth="1"/>
    <col min="6" max="16384" width="10.90625" style="1"/>
  </cols>
  <sheetData>
    <row r="1" spans="1:5" ht="18" x14ac:dyDescent="0.4">
      <c r="A1" s="3" t="s">
        <v>138</v>
      </c>
    </row>
    <row r="2" spans="1:5" ht="13" x14ac:dyDescent="0.3">
      <c r="A2" s="28" t="s">
        <v>93</v>
      </c>
    </row>
    <row r="4" spans="1:5" ht="13" x14ac:dyDescent="0.25">
      <c r="A4" s="5" t="s">
        <v>94</v>
      </c>
      <c r="B4" s="5" t="s">
        <v>95</v>
      </c>
      <c r="C4" s="5" t="s">
        <v>39</v>
      </c>
      <c r="D4" s="5" t="s">
        <v>40</v>
      </c>
    </row>
    <row r="5" spans="1:5" x14ac:dyDescent="0.25">
      <c r="A5" s="1" t="s">
        <v>96</v>
      </c>
      <c r="B5" s="10">
        <v>400000</v>
      </c>
      <c r="C5" s="8" t="s">
        <v>49</v>
      </c>
      <c r="D5" s="8" t="s">
        <v>152</v>
      </c>
    </row>
    <row r="6" spans="1:5" x14ac:dyDescent="0.25">
      <c r="A6" s="1" t="s">
        <v>97</v>
      </c>
      <c r="B6" s="10">
        <v>0</v>
      </c>
      <c r="C6" s="8" t="s">
        <v>129</v>
      </c>
      <c r="D6" s="8" t="s">
        <v>150</v>
      </c>
    </row>
    <row r="7" spans="1:5" x14ac:dyDescent="0.25">
      <c r="A7" s="1" t="s">
        <v>98</v>
      </c>
      <c r="B7" s="29" t="s">
        <v>151</v>
      </c>
      <c r="C7" s="8" t="s">
        <v>49</v>
      </c>
      <c r="D7" s="8" t="s">
        <v>128</v>
      </c>
    </row>
    <row r="8" spans="1:5" x14ac:dyDescent="0.25">
      <c r="A8" s="1" t="s">
        <v>137</v>
      </c>
      <c r="B8" s="31">
        <f>'Table de capitalisation'!C18+B26</f>
        <v>73684</v>
      </c>
    </row>
    <row r="9" spans="1:5" x14ac:dyDescent="0.25">
      <c r="A9" s="1" t="s">
        <v>99</v>
      </c>
      <c r="B9" s="23">
        <f>IF(B8&gt;0,B5/B8,0)</f>
        <v>5.4285869388198256</v>
      </c>
    </row>
    <row r="10" spans="1:5" x14ac:dyDescent="0.25">
      <c r="A10" s="1" t="s">
        <v>100</v>
      </c>
      <c r="B10" s="14">
        <f>IF(B9&gt;0,ROUND(B6/B9,0),0)</f>
        <v>0</v>
      </c>
    </row>
    <row r="11" spans="1:5" x14ac:dyDescent="0.25">
      <c r="A11" s="1" t="s">
        <v>101</v>
      </c>
      <c r="B11" s="13">
        <f>B5+B6</f>
        <v>400000</v>
      </c>
    </row>
    <row r="12" spans="1:5" x14ac:dyDescent="0.25">
      <c r="A12" s="1" t="s">
        <v>102</v>
      </c>
      <c r="B12" s="26">
        <f>IF(B11&gt;0,B6/B11,0)</f>
        <v>0</v>
      </c>
    </row>
    <row r="13" spans="1:5" x14ac:dyDescent="0.25">
      <c r="A13" s="1" t="s">
        <v>134</v>
      </c>
      <c r="B13" s="33">
        <v>0.05</v>
      </c>
      <c r="C13" s="1" t="s">
        <v>129</v>
      </c>
      <c r="D13" s="1" t="s">
        <v>135</v>
      </c>
    </row>
    <row r="14" spans="1:5" ht="30" customHeight="1" x14ac:dyDescent="0.25">
      <c r="A14" s="5" t="s">
        <v>103</v>
      </c>
      <c r="B14" s="5" t="s">
        <v>104</v>
      </c>
      <c r="C14" s="5" t="s">
        <v>105</v>
      </c>
      <c r="D14" s="5" t="s">
        <v>106</v>
      </c>
      <c r="E14" s="5" t="s">
        <v>107</v>
      </c>
    </row>
    <row r="15" spans="1:5" x14ac:dyDescent="0.25">
      <c r="A15" s="30" t="str">
        <f>IF('Table de capitalisation'!A6="","",'Table de capitalisation'!A6)</f>
        <v>Associé fondateur (Direction)</v>
      </c>
      <c r="B15" s="31">
        <f>'Table de capitalisation'!C6</f>
        <v>10000</v>
      </c>
      <c r="C15" s="26">
        <f t="shared" ref="C15:C25" si="0">IF($B$8=0,0,B15/$B$8)</f>
        <v>0.13571467347049562</v>
      </c>
      <c r="D15" s="14">
        <f t="shared" ref="D15:D25" si="1">B15</f>
        <v>10000</v>
      </c>
      <c r="E15" s="26">
        <f t="shared" ref="E15:E26" si="2">IF($D$28=0,0,D15/$D$28)</f>
        <v>0.13571467347049562</v>
      </c>
    </row>
    <row r="16" spans="1:5" x14ac:dyDescent="0.25">
      <c r="A16" s="30" t="str">
        <f>IF('Table de capitalisation'!A7="","",'Table de capitalisation'!A7)</f>
        <v>Associé fondateur (Finance)</v>
      </c>
      <c r="B16" s="31">
        <f>'Table de capitalisation'!C7</f>
        <v>10000</v>
      </c>
      <c r="C16" s="26">
        <f t="shared" si="0"/>
        <v>0.13571467347049562</v>
      </c>
      <c r="D16" s="14">
        <f t="shared" si="1"/>
        <v>10000</v>
      </c>
      <c r="E16" s="26">
        <f t="shared" si="2"/>
        <v>0.13571467347049562</v>
      </c>
    </row>
    <row r="17" spans="1:5" x14ac:dyDescent="0.25">
      <c r="A17" s="30" t="str">
        <f>IF('Table de capitalisation'!A8="","",'Table de capitalisation'!A8)</f>
        <v>Associé fondateur (Marketing)</v>
      </c>
      <c r="B17" s="31">
        <f>'Table de capitalisation'!C8</f>
        <v>10000</v>
      </c>
      <c r="C17" s="26">
        <f t="shared" si="0"/>
        <v>0.13571467347049562</v>
      </c>
      <c r="D17" s="14">
        <f t="shared" si="1"/>
        <v>10000</v>
      </c>
      <c r="E17" s="26">
        <f t="shared" si="2"/>
        <v>0.13571467347049562</v>
      </c>
    </row>
    <row r="18" spans="1:5" x14ac:dyDescent="0.25">
      <c r="A18" s="30" t="str">
        <f>IF('Table de capitalisation'!A9="","",'Table de capitalisation'!A9)</f>
        <v>Associé fondateur (Ventes)</v>
      </c>
      <c r="B18" s="31">
        <f>'Table de capitalisation'!C9</f>
        <v>10000</v>
      </c>
      <c r="C18" s="26">
        <f t="shared" si="0"/>
        <v>0.13571467347049562</v>
      </c>
      <c r="D18" s="14">
        <f t="shared" si="1"/>
        <v>10000</v>
      </c>
      <c r="E18" s="26">
        <f t="shared" si="2"/>
        <v>0.13571467347049562</v>
      </c>
    </row>
    <row r="19" spans="1:5" x14ac:dyDescent="0.25">
      <c r="A19" s="30" t="str">
        <f>IF('Table de capitalisation'!A10="","",'Table de capitalisation'!A10)</f>
        <v>Associé fondateur (Produit)</v>
      </c>
      <c r="B19" s="31">
        <f>'Table de capitalisation'!C10</f>
        <v>10000</v>
      </c>
      <c r="C19" s="26">
        <f t="shared" si="0"/>
        <v>0.13571467347049562</v>
      </c>
      <c r="D19" s="14">
        <f t="shared" si="1"/>
        <v>10000</v>
      </c>
      <c r="E19" s="26">
        <f t="shared" si="2"/>
        <v>0.13571467347049562</v>
      </c>
    </row>
    <row r="20" spans="1:5" x14ac:dyDescent="0.25">
      <c r="A20" s="30" t="str">
        <f>IF('Table de capitalisation'!A11="","",'Table de capitalisation'!A11)</f>
        <v>Associé fondateur (Opérations)</v>
      </c>
      <c r="B20" s="31">
        <f>'Table de capitalisation'!C11</f>
        <v>10000</v>
      </c>
      <c r="C20" s="26">
        <f t="shared" si="0"/>
        <v>0.13571467347049562</v>
      </c>
      <c r="D20" s="14">
        <f t="shared" si="1"/>
        <v>10000</v>
      </c>
      <c r="E20" s="26">
        <f t="shared" si="2"/>
        <v>0.13571467347049562</v>
      </c>
    </row>
    <row r="21" spans="1:5" x14ac:dyDescent="0.25">
      <c r="A21" s="30" t="str">
        <f>IF('Table de capitalisation'!A12="","",'Table de capitalisation'!A12)</f>
        <v>Associé fondateur (Juridique)</v>
      </c>
      <c r="B21" s="31">
        <f>'Table de capitalisation'!C12</f>
        <v>10000</v>
      </c>
      <c r="C21" s="26">
        <f t="shared" si="0"/>
        <v>0.13571467347049562</v>
      </c>
      <c r="D21" s="14">
        <f t="shared" si="1"/>
        <v>10000</v>
      </c>
      <c r="E21" s="26">
        <f t="shared" si="2"/>
        <v>0.13571467347049562</v>
      </c>
    </row>
    <row r="22" spans="1:5" x14ac:dyDescent="0.25">
      <c r="A22" s="30" t="str">
        <f>IF('Table de capitalisation'!A13="","",'Table de capitalisation'!A13)</f>
        <v/>
      </c>
      <c r="B22" s="31">
        <f>'Table de capitalisation'!C13</f>
        <v>0</v>
      </c>
      <c r="C22" s="26">
        <f t="shared" si="0"/>
        <v>0</v>
      </c>
      <c r="D22" s="14">
        <f t="shared" si="1"/>
        <v>0</v>
      </c>
      <c r="E22" s="26">
        <f t="shared" si="2"/>
        <v>0</v>
      </c>
    </row>
    <row r="23" spans="1:5" x14ac:dyDescent="0.25">
      <c r="A23" s="30" t="str">
        <f>IF('Table de capitalisation'!A14="","",'Table de capitalisation'!A14)</f>
        <v/>
      </c>
      <c r="B23" s="31">
        <f>'Table de capitalisation'!C14</f>
        <v>0</v>
      </c>
      <c r="C23" s="26">
        <f t="shared" si="0"/>
        <v>0</v>
      </c>
      <c r="D23" s="14">
        <f t="shared" si="1"/>
        <v>0</v>
      </c>
      <c r="E23" s="26">
        <f t="shared" si="2"/>
        <v>0</v>
      </c>
    </row>
    <row r="24" spans="1:5" x14ac:dyDescent="0.25">
      <c r="A24" s="30" t="str">
        <f>IF('Table de capitalisation'!A15="","",'Table de capitalisation'!A15)</f>
        <v/>
      </c>
      <c r="B24" s="31">
        <f>'Table de capitalisation'!C15</f>
        <v>0</v>
      </c>
      <c r="C24" s="26">
        <f t="shared" si="0"/>
        <v>0</v>
      </c>
      <c r="D24" s="14">
        <f t="shared" si="1"/>
        <v>0</v>
      </c>
      <c r="E24" s="26">
        <f t="shared" si="2"/>
        <v>0</v>
      </c>
    </row>
    <row r="25" spans="1:5" x14ac:dyDescent="0.25">
      <c r="A25" s="30" t="str">
        <f>IF('Table de capitalisation'!A16="","",'Table de capitalisation'!A16)</f>
        <v/>
      </c>
      <c r="B25" s="31">
        <f>'Table de capitalisation'!C16</f>
        <v>0</v>
      </c>
      <c r="C25" s="26">
        <f t="shared" si="0"/>
        <v>0</v>
      </c>
      <c r="D25" s="14">
        <f t="shared" si="1"/>
        <v>0</v>
      </c>
      <c r="E25" s="26">
        <f t="shared" si="2"/>
        <v>0</v>
      </c>
    </row>
    <row r="26" spans="1:5" x14ac:dyDescent="0.25">
      <c r="A26" s="30" t="s">
        <v>136</v>
      </c>
      <c r="B26" s="31">
        <f>ROUND('Table de capitalisation'!C18*B13/(1-B13),0)</f>
        <v>3684</v>
      </c>
      <c r="C26" s="26">
        <f>IF($B$8=0,0,B26/$B$8)</f>
        <v>4.9997285706530593E-2</v>
      </c>
      <c r="D26" s="14">
        <f>B26</f>
        <v>3684</v>
      </c>
      <c r="E26" s="26">
        <f t="shared" si="2"/>
        <v>4.9997285706530593E-2</v>
      </c>
    </row>
    <row r="27" spans="1:5" x14ac:dyDescent="0.25">
      <c r="A27" s="12" t="str">
        <f>IF(B7="","Nouveaux investisseurs",B7)</f>
        <v>Nouveaux investisseurs</v>
      </c>
      <c r="B27" s="14">
        <v>0</v>
      </c>
      <c r="C27" s="26">
        <v>0</v>
      </c>
      <c r="D27" s="14">
        <f>B10</f>
        <v>0</v>
      </c>
      <c r="E27" s="26">
        <f>IF($D$28=0,0,D27/$D$28)</f>
        <v>0</v>
      </c>
    </row>
    <row r="28" spans="1:5" ht="13" x14ac:dyDescent="0.3">
      <c r="A28" s="32" t="s">
        <v>77</v>
      </c>
      <c r="B28" s="16">
        <f>SUM(B15:B27)</f>
        <v>73684</v>
      </c>
      <c r="C28" s="27">
        <f>SUM(C15:C27)</f>
        <v>0.99999999999999989</v>
      </c>
      <c r="D28" s="16">
        <f>SUM(D15:D27)</f>
        <v>73684</v>
      </c>
      <c r="E28" s="27">
        <f>SUM(E15:E27)</f>
        <v>0.99999999999999989</v>
      </c>
    </row>
    <row r="30" spans="1:5" ht="13" x14ac:dyDescent="0.3">
      <c r="A30" s="4" t="s">
        <v>108</v>
      </c>
    </row>
  </sheetData>
  <dataValidations count="1">
    <dataValidation type="list" allowBlank="1" showInputMessage="1" showErrorMessage="1" sqref="C5:C7" xr:uid="{579BC2DE-7C5B-40B5-8D60-58F4C3BC1221}">
      <formula1>"F,I,P,H"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d'emploi</vt:lpstr>
      <vt:lpstr>Suivi des financements</vt:lpstr>
      <vt:lpstr>Prêts</vt:lpstr>
      <vt:lpstr>Table de capitalisation</vt:lpstr>
      <vt:lpstr>Après levée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vautier</dc:creator>
  <cp:lastModifiedBy>vianney vautier</cp:lastModifiedBy>
  <dcterms:created xsi:type="dcterms:W3CDTF">2026-10-27T18:19:20Z</dcterms:created>
  <dcterms:modified xsi:type="dcterms:W3CDTF">2026-10-29T10:21:16Z</dcterms:modified>
</cp:coreProperties>
</file>