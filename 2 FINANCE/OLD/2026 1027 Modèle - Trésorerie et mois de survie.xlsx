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ans\Documents\Claude\Projects\HEC-GEMM-Groupe-7\2 FINANCE\TRESORERIE\"/>
    </mc:Choice>
  </mc:AlternateContent>
  <xr:revisionPtr revIDLastSave="0" documentId="13_ncr:1_{A0BA43A9-B9B0-46B0-965B-AAFF6C535A4E}" xr6:coauthVersionLast="47" xr6:coauthVersionMax="47" xr10:uidLastSave="{00000000-0000-0000-0000-000000000000}"/>
  <bookViews>
    <workbookView xWindow="-110" yWindow="-110" windowWidth="25820" windowHeight="13900" xr2:uid="{2D54D8BB-BD50-4D46-AD8E-735E0D6561AC}"/>
  </bookViews>
  <sheets>
    <sheet name="Mode d'emploi" sheetId="1" r:id="rId1"/>
    <sheet name="États de trésorerie" sheetId="2" r:id="rId2"/>
    <sheet name="Suivi mensuel" sheetId="3" r:id="rId3"/>
    <sheet name="Mois de survi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4" l="1"/>
  <c r="B6" i="4" s="1"/>
  <c r="B10" i="4" s="1"/>
  <c r="B7" i="3"/>
  <c r="B25" i="3"/>
  <c r="B24" i="3"/>
  <c r="B23" i="3"/>
  <c r="B22" i="3"/>
  <c r="B21" i="3"/>
  <c r="B20" i="3"/>
  <c r="B19" i="3"/>
  <c r="B18" i="3"/>
  <c r="B17" i="3"/>
  <c r="B14" i="3"/>
  <c r="B13" i="3"/>
  <c r="B12" i="3"/>
  <c r="B11" i="3"/>
  <c r="B10" i="3"/>
  <c r="B9" i="3"/>
  <c r="C31" i="3"/>
  <c r="D31" i="3"/>
  <c r="E31" i="3"/>
  <c r="F31" i="3"/>
  <c r="G31" i="3"/>
  <c r="H31" i="3"/>
  <c r="I31" i="3"/>
  <c r="J31" i="3"/>
  <c r="K31" i="3"/>
  <c r="L31" i="3"/>
  <c r="M31" i="3"/>
  <c r="N31" i="3"/>
  <c r="C26" i="3"/>
  <c r="D26" i="3"/>
  <c r="D34" i="3" s="1"/>
  <c r="E26" i="3"/>
  <c r="E34" i="3" s="1"/>
  <c r="F26" i="3"/>
  <c r="F34" i="3" s="1"/>
  <c r="G26" i="3"/>
  <c r="G34" i="3" s="1"/>
  <c r="H26" i="3"/>
  <c r="H34" i="3" s="1"/>
  <c r="I26" i="3"/>
  <c r="I34" i="3" s="1"/>
  <c r="J26" i="3"/>
  <c r="J34" i="3" s="1"/>
  <c r="K26" i="3"/>
  <c r="K34" i="3" s="1"/>
  <c r="L26" i="3"/>
  <c r="L34" i="3" s="1"/>
  <c r="M26" i="3"/>
  <c r="M34" i="3" s="1"/>
  <c r="N26" i="3"/>
  <c r="N34" i="3" s="1"/>
  <c r="C15" i="3"/>
  <c r="D15" i="3"/>
  <c r="E15" i="3"/>
  <c r="F15" i="3"/>
  <c r="G15" i="3"/>
  <c r="H15" i="3"/>
  <c r="I15" i="3"/>
  <c r="J15" i="3"/>
  <c r="K15" i="3"/>
  <c r="L15" i="3"/>
  <c r="M15" i="3"/>
  <c r="N15" i="3"/>
  <c r="C5" i="3"/>
  <c r="D5" i="3"/>
  <c r="E5" i="3"/>
  <c r="F5" i="3"/>
  <c r="G5" i="3"/>
  <c r="H5" i="3"/>
  <c r="I5" i="3"/>
  <c r="J5" i="3"/>
  <c r="K5" i="3"/>
  <c r="L5" i="3"/>
  <c r="M5" i="3"/>
  <c r="N5" i="3"/>
  <c r="I28" i="3" l="1"/>
  <c r="H28" i="3"/>
  <c r="F28" i="3"/>
  <c r="N28" i="3"/>
  <c r="M28" i="3"/>
  <c r="L28" i="3"/>
  <c r="K28" i="3"/>
  <c r="J28" i="3"/>
  <c r="G28" i="3"/>
  <c r="E28" i="3"/>
  <c r="D28" i="3"/>
  <c r="B11" i="4"/>
  <c r="B26" i="3"/>
  <c r="C34" i="3"/>
  <c r="B15" i="3"/>
  <c r="C28" i="3"/>
  <c r="B34" i="3" l="1"/>
  <c r="B9" i="4"/>
  <c r="C29" i="3"/>
  <c r="B28" i="3"/>
  <c r="D7" i="3" l="1"/>
  <c r="D29" i="3" s="1"/>
  <c r="C35" i="3"/>
  <c r="E7" i="3" l="1"/>
  <c r="E29" i="3" s="1"/>
  <c r="D35" i="3"/>
  <c r="F7" i="3" l="1"/>
  <c r="F29" i="3" s="1"/>
  <c r="E35" i="3"/>
  <c r="G7" i="3" l="1"/>
  <c r="G29" i="3" s="1"/>
  <c r="F35" i="3"/>
  <c r="H7" i="3" l="1"/>
  <c r="H29" i="3" s="1"/>
  <c r="G35" i="3"/>
  <c r="I7" i="3" l="1"/>
  <c r="I29" i="3" s="1"/>
  <c r="H35" i="3"/>
  <c r="J7" i="3" l="1"/>
  <c r="J29" i="3" s="1"/>
  <c r="I35" i="3"/>
  <c r="K7" i="3" l="1"/>
  <c r="K29" i="3" s="1"/>
  <c r="J35" i="3"/>
  <c r="L7" i="3" l="1"/>
  <c r="L29" i="3" s="1"/>
  <c r="K35" i="3"/>
  <c r="M7" i="3" l="1"/>
  <c r="M29" i="3" s="1"/>
  <c r="L35" i="3"/>
  <c r="N7" i="3" l="1"/>
  <c r="N29" i="3" s="1"/>
  <c r="M35" i="3"/>
  <c r="B29" i="3" l="1"/>
  <c r="N35" i="3"/>
</calcChain>
</file>

<file path=xl/sharedStrings.xml><?xml version="1.0" encoding="utf-8"?>
<sst xmlns="http://schemas.openxmlformats.org/spreadsheetml/2006/main" count="104" uniqueCount="103">
  <si>
    <t>Trésorerie — trésorerie disponible, consommation mensuelle, mois de survie</t>
  </si>
  <si>
    <t>HEC GEMM Groupe 7 · Pôle Finance · Modèle vide créé le 27/10/2026, données à compléter</t>
  </si>
  <si>
    <t>Rubrique</t>
  </si>
  <si>
    <t>Contenu</t>
  </si>
  <si>
    <t>Objet</t>
  </si>
  <si>
    <t>Trésorerie disponible, consommation mensuelle, mois de survie (2 FINANCE/TRESORERIE/LISEZ-MOI.md).</t>
  </si>
  <si>
    <t>Onglets</t>
  </si>
  <si>
    <t>« États de trésorerie » : les soldes constatés, compte par compte, chacun daté et sourcé. « Suivi mensuel » : encaissements et décaissements de chaque mois, trésorerie de fin de mois rapprochée du relevé. « Mois de survie » : le calcul à la date du dernier état.</t>
  </si>
  <si>
    <t>États datés et sourcés</t>
  </si>
  <si>
    <t>Chaque état de trésorerie est daté et cite sa source (relevé bancaire, date). Un solde sans pièce n'est pas un état : le noter H.</t>
  </si>
  <si>
    <t>Mois de survie</t>
  </si>
  <si>
    <t>Mois de survie = trésorerie disponible ÷ consommation mensuelle. Citer les deux chiffres et leur source (2 FINANCE/AGENT.md).</t>
  </si>
  <si>
    <t>Consommation mensuelle</t>
  </si>
  <si>
    <t>Décaissements du mois moins encaissements d'activité (ventes, partenariats, autres). Les apports, levées, prêts et subventions n'en sont pas déduits : ils augmentent la trésorerie, pas l'activité.</t>
  </si>
  <si>
    <t>Prévu et encaissé</t>
  </si>
  <si>
    <t>Un montant prévu n'est pas un montant encaissé : le suivi mensuel ne reçoit que des montants constatés. Les prévisions sont dans 2 FINANCE/PREVISIONS.</t>
  </si>
  <si>
    <t>Légende des cellules</t>
  </si>
  <si>
    <t>Cellule jaune, texte bleu : donnée à saisir. Cellule grise : formule, ne pas modifier. Texte vert : valeur reprise d'un autre onglet. Ligne verte « Exemple » : montre le format attendu, à remplacer ou supprimer.</t>
  </si>
  <si>
    <t>Colonne « Nature »</t>
  </si>
  <si>
    <t>F = fait constaté dans une pièce citée · I = inférence · P = proposition · H = hypothèse à valider (voir RULES.md). Si la pièce ne dit pas le chiffre : « non établi par les sources ».</t>
  </si>
  <si>
    <t>Colonne « Source »</t>
  </si>
  <si>
    <t>La pièce et l'endroit exact (ex. : S04, § Contexte, ou le nom de la note du dépôt). Signaler un chiffre tiré d'un argumentaire (plan d'affaires, présentation) plutôt que d'un document de gestion (facture, relevé, procès-verbal).</t>
  </si>
  <si>
    <t>Unités</t>
  </si>
  <si>
    <t>Montants en euros hors taxes, sauf mention contraire. Pourcentages saisis en % (ex. : 15 %).</t>
  </si>
  <si>
    <t>Cadre du projet</t>
  </si>
  <si>
    <t>Société d'événementiel : périodes vacantes de restaurants et de lieux avec cuisine, vivier de chefs d'exception, événements pour des communautés de foodies et pour des entreprises (privés éventuellement). Source : 1 DIRECTION/STRATEGIE/2026 1027 Descriptif du projet - Cadre de référence, décision D-01 du 27/10/2026.</t>
  </si>
  <si>
    <t>Références</t>
  </si>
  <si>
    <t>2 FINANCE/TRESORERIE/LISEZ-MOI.md · 2 FINANCE/AGENT.md (règles propres à la finance) · RULES.md</t>
  </si>
  <si>
    <t>États de trésorerie</t>
  </si>
  <si>
    <t>Un solde par compte et par date. Plusieurs comptes à la même date : une ligne chacun.</t>
  </si>
  <si>
    <t>Date de l'état</t>
  </si>
  <si>
    <t>Compte (banque, caisse)</t>
  </si>
  <si>
    <t>Solde (€)</t>
  </si>
  <si>
    <t>Pièce (relevé, date)</t>
  </si>
  <si>
    <t>Nature</t>
  </si>
  <si>
    <t>Remarques</t>
  </si>
  <si>
    <t>jj/mm/aaaa</t>
  </si>
  <si>
    <t>Compte courant (exemple)</t>
  </si>
  <si>
    <t>montant en €</t>
  </si>
  <si>
    <t>Relevé bancaire du jj/mm/aaaa</t>
  </si>
  <si>
    <t>F</t>
  </si>
  <si>
    <t>Ligne d'exemple : à remplacer</t>
  </si>
  <si>
    <t>Suivi mensuel de la trésorerie</t>
  </si>
  <si>
    <t>Premier mois suivi (date) :</t>
  </si>
  <si>
    <t>Poste</t>
  </si>
  <si>
    <t>Total</t>
  </si>
  <si>
    <t>Trésorerie</t>
  </si>
  <si>
    <t>Trésorerie en début de mois</t>
  </si>
  <si>
    <t>Encaissements</t>
  </si>
  <si>
    <t>Ventes d'événements</t>
  </si>
  <si>
    <t>Partenariats et revenus complémentaires</t>
  </si>
  <si>
    <t>Apports des associés et levées de fonds</t>
  </si>
  <si>
    <t>Prêts reçus</t>
  </si>
  <si>
    <t>Subventions</t>
  </si>
  <si>
    <t>Autres encaissements</t>
  </si>
  <si>
    <t>Total des encaissements</t>
  </si>
  <si>
    <t>Décaissements</t>
  </si>
  <si>
    <t>Lieux (mise à disposition)</t>
  </si>
  <si>
    <t>Chefs</t>
  </si>
  <si>
    <t>Matières, boissons et personnel d'extra</t>
  </si>
  <si>
    <t>Salaires et charges sociales</t>
  </si>
  <si>
    <t>Charges fixes (locaux, outils, assurances, honoraires)</t>
  </si>
  <si>
    <t>Marketing</t>
  </si>
  <si>
    <t>Remboursements d'emprunts</t>
  </si>
  <si>
    <t>Impôts et TVA</t>
  </si>
  <si>
    <t>Autres décaissements</t>
  </si>
  <si>
    <t>Total des décaissements</t>
  </si>
  <si>
    <t>Solde et rapprochement</t>
  </si>
  <si>
    <t>Flux net du mois</t>
  </si>
  <si>
    <t>Trésorerie en fin de mois (calculée)</t>
  </si>
  <si>
    <t>Trésorerie en fin de mois selon relevé</t>
  </si>
  <si>
    <t>Écart calculé − relevé</t>
  </si>
  <si>
    <t>Pièce (relevé bancaire, date)</t>
  </si>
  <si>
    <t>Consommation et mois de survie</t>
  </si>
  <si>
    <t>Consommation mensuelle (décaissements − encaissements d'activité)</t>
  </si>
  <si>
    <t>Mois de survie en fin de mois</t>
  </si>
  <si>
    <t>Colonne « Total » : somme des mois ; trésorerie de début = premier mois, de fin = dernier mois. Mois de survie « - » : consommation nulle ou négative (le mois a dégagé de la trésorerie).</t>
  </si>
  <si>
    <t>Mois de survie à la date du dernier état</t>
  </si>
  <si>
    <t>Mois de survie = trésorerie disponible ÷ consommation mensuelle. Citer les deux chiffres et leur source.</t>
  </si>
  <si>
    <t>Élément</t>
  </si>
  <si>
    <t>Valeur</t>
  </si>
  <si>
    <t>Source ou méthode</t>
  </si>
  <si>
    <t>Date du dernier état de trésorerie</t>
  </si>
  <si>
    <t>Date la plus récente de l'onglet États de trésorerie</t>
  </si>
  <si>
    <t>Trésorerie disponible à cette date (€)</t>
  </si>
  <si>
    <t>Somme des soldes de tous les comptes à cette date</t>
  </si>
  <si>
    <t>Pièce(s) de la trésorerie disponible</t>
  </si>
  <si>
    <t>Consommation mensuelle retenue (€ par mois)</t>
  </si>
  <si>
    <t>Aide : consommation moyenne des mois suivis (€ par mois)</t>
  </si>
  <si>
    <t>Moyenne des mois à consommation positive de l'onglet Suivi mensuel ; à reprendre ou non dans la ligne 8, en citant la méthode</t>
  </si>
  <si>
    <t>Ligne 6 ÷ ligne 8</t>
  </si>
  <si>
    <t>Date estimée d'épuisement de la trésorerie</t>
  </si>
  <si>
    <t>Date du dernier état + mois de survie (arrondi au mois inférieur)</t>
  </si>
  <si>
    <t>Phrase type à reprendre : « Au [date], la trésorerie disponible est de [ligne 6] € ([pièce]) ; la consommation mensuelle est de [ligne 8] € ([source]) ; soit [ligne 10] mois de survie. »</t>
  </si>
  <si>
    <t>État du fichier</t>
  </si>
  <si>
    <t>Mis à jour le 27/10/2026 : la société n'est pas créée, aucun relevé n'existe. L'état de départ et le suivi mensuel sont une SIMULATION (H) tirée du budget prévisionnel de 2 FINANCE/PREVISIONS (novembre 2026 à octobre 2027) et de l'apport envisagé dans 2 FINANCE/FINANCEMENT. À remplacer par les montants constatés dès l'ouverture du compte. Voir 2 FINANCE/2026 1027 Données financières manquantes et hypothèses temporaires.md.</t>
  </si>
  <si>
    <t>Compte professionnel à ouvrir (apports en capital)</t>
  </si>
  <si>
    <t>Aucune : société non créée, hypothèse temporaire</t>
  </si>
  <si>
    <t>H</t>
  </si>
  <si>
    <t>Apport envisagé (2 FINANCE/FINANCEMENT, ligne 1)</t>
  </si>
  <si>
    <t>Aucune : apport envisagé, société non créée (H)</t>
  </si>
  <si>
    <t>H : moyenne des mois à consommation positive de la simulation (ligne 9), à remplacer par la consommation constatée</t>
  </si>
  <si>
    <t>SIMULATION mise à jour le 28/10/2026 : flux repris du budget prévisionnel (H), avec les hypothèses modifiées le 28/10/2026 par le responsable Finance (jauges 40 / 35 / 30 / 20, salle pleine, équipe à 15 ou 20 % du chiffre d'affaires, sans photographe ; surcoût d'équipe des pilotes dans « Matières, boissons et extras ») et les investissements de l'année 1 (en novembre, dans « Autres décaissements »), avec la TVA (onglet TVA du modèle Prévisions : ventes encaissées TTC ; TVA payée aux fournisseurs et reversée à l'État dans « Impôts et TVA » ; crédit de TVA reporté, sans demande de remboursement), sans délais de paiement. À remplacer par les montants constatés.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</si>
</sst>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\ &quot;€&quot;;\-#,##0.00\ &quot;€&quot;;&quot;-&quot;"/>
    <numFmt numFmtId="165" formatCode="mmm\ yyyy"/>
    <numFmt numFmtId="166" formatCode="#,##0\ &quot;€&quot;;\-#,##0\ &quot;€&quot;;&quot;-&quot;"/>
    <numFmt numFmtId="167" formatCode="#,##0.0;\-#,##0.0;&quot;-&quot;"/>
  </numFmts>
  <fonts count="11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i/>
      <sz val="10"/>
      <color theme="1"/>
      <name val="Arial"/>
      <family val="2"/>
    </font>
    <font>
      <b/>
      <sz val="10"/>
      <color rgb="FFFFFFFF"/>
      <name val="Arial"/>
      <family val="2"/>
    </font>
    <font>
      <sz val="10"/>
      <color rgb="FF008000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i/>
      <sz val="10"/>
      <color rgb="FFC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5" fillId="2" borderId="0" xfId="0" applyFont="1" applyFill="1" applyAlignment="1">
      <alignment vertical="center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6" fillId="3" borderId="0" xfId="0" applyFont="1" applyFill="1"/>
    <xf numFmtId="0" fontId="7" fillId="4" borderId="1" xfId="0" applyFont="1" applyFill="1" applyBorder="1"/>
    <xf numFmtId="14" fontId="7" fillId="4" borderId="1" xfId="0" applyNumberFormat="1" applyFont="1" applyFill="1" applyBorder="1"/>
    <xf numFmtId="164" fontId="7" fillId="4" borderId="1" xfId="0" applyNumberFormat="1" applyFont="1" applyFill="1" applyBorder="1"/>
    <xf numFmtId="165" fontId="7" fillId="4" borderId="1" xfId="0" applyNumberFormat="1" applyFont="1" applyFill="1" applyBorder="1"/>
    <xf numFmtId="165" fontId="5" fillId="2" borderId="0" xfId="0" applyNumberFormat="1" applyFont="1" applyFill="1" applyAlignment="1">
      <alignment horizontal="right"/>
    </xf>
    <xf numFmtId="0" fontId="2" fillId="5" borderId="0" xfId="0" applyFont="1" applyFill="1"/>
    <xf numFmtId="166" fontId="7" fillId="4" borderId="1" xfId="0" applyNumberFormat="1" applyFont="1" applyFill="1" applyBorder="1"/>
    <xf numFmtId="166" fontId="8" fillId="6" borderId="1" xfId="0" applyNumberFormat="1" applyFont="1" applyFill="1" applyBorder="1"/>
    <xf numFmtId="166" fontId="9" fillId="6" borderId="1" xfId="0" applyNumberFormat="1" applyFont="1" applyFill="1" applyBorder="1"/>
    <xf numFmtId="0" fontId="7" fillId="4" borderId="1" xfId="0" applyFont="1" applyFill="1" applyBorder="1" applyAlignment="1">
      <alignment wrapText="1"/>
    </xf>
    <xf numFmtId="167" fontId="9" fillId="6" borderId="1" xfId="0" applyNumberFormat="1" applyFont="1" applyFill="1" applyBorder="1"/>
    <xf numFmtId="0" fontId="2" fillId="5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vertical="top"/>
    </xf>
    <xf numFmtId="14" fontId="6" fillId="6" borderId="1" xfId="0" applyNumberFormat="1" applyFont="1" applyFill="1" applyBorder="1" applyAlignment="1">
      <alignment vertical="top"/>
    </xf>
    <xf numFmtId="166" fontId="6" fillId="6" borderId="1" xfId="0" applyNumberFormat="1" applyFont="1" applyFill="1" applyBorder="1" applyAlignment="1">
      <alignment vertical="top"/>
    </xf>
    <xf numFmtId="166" fontId="7" fillId="4" borderId="1" xfId="0" applyNumberFormat="1" applyFont="1" applyFill="1" applyBorder="1" applyAlignment="1">
      <alignment vertical="top"/>
    </xf>
    <xf numFmtId="0" fontId="7" fillId="4" borderId="1" xfId="0" applyFont="1" applyFill="1" applyBorder="1" applyAlignment="1">
      <alignment vertical="top" wrapText="1"/>
    </xf>
    <xf numFmtId="167" fontId="9" fillId="6" borderId="1" xfId="0" applyNumberFormat="1" applyFont="1" applyFill="1" applyBorder="1" applyAlignment="1">
      <alignment vertical="top"/>
    </xf>
    <xf numFmtId="14" fontId="8" fillId="6" borderId="1" xfId="0" applyNumberFormat="1" applyFont="1" applyFill="1" applyBorder="1" applyAlignment="1">
      <alignment vertical="top"/>
    </xf>
    <xf numFmtId="0" fontId="10" fillId="0" borderId="0" xfId="0" applyFont="1"/>
    <xf numFmtId="0" fontId="7" fillId="4" borderId="2" xfId="0" applyFont="1" applyFill="1" applyBorder="1" applyAlignment="1">
      <alignment vertical="top"/>
    </xf>
    <xf numFmtId="0" fontId="7" fillId="4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D9264-03D7-4A56-BBF2-4B1A5EDDE9D5}">
  <dimension ref="A1:B17"/>
  <sheetViews>
    <sheetView tabSelected="1" zoomScaleNormal="100" workbookViewId="0"/>
  </sheetViews>
  <sheetFormatPr baseColWidth="10" defaultRowHeight="12.5" x14ac:dyDescent="0.25"/>
  <cols>
    <col min="1" max="1" width="26.6328125" style="1" customWidth="1"/>
    <col min="2" max="2" width="110.6328125" style="1" customWidth="1"/>
    <col min="3" max="16384" width="10.90625" style="1"/>
  </cols>
  <sheetData>
    <row r="1" spans="1:2" ht="18" x14ac:dyDescent="0.4">
      <c r="A1" s="3" t="s">
        <v>0</v>
      </c>
    </row>
    <row r="2" spans="1:2" ht="13" x14ac:dyDescent="0.3">
      <c r="A2" s="4" t="s">
        <v>1</v>
      </c>
    </row>
    <row r="4" spans="1:2" ht="13" x14ac:dyDescent="0.25">
      <c r="A4" s="6" t="s">
        <v>2</v>
      </c>
      <c r="B4" s="6" t="s">
        <v>3</v>
      </c>
    </row>
    <row r="5" spans="1:2" ht="13" x14ac:dyDescent="0.25">
      <c r="A5" s="8" t="s">
        <v>4</v>
      </c>
      <c r="B5" s="9" t="s">
        <v>5</v>
      </c>
    </row>
    <row r="6" spans="1:2" ht="25" x14ac:dyDescent="0.25">
      <c r="A6" s="8" t="s">
        <v>6</v>
      </c>
      <c r="B6" s="9" t="s">
        <v>7</v>
      </c>
    </row>
    <row r="7" spans="1:2" ht="13" x14ac:dyDescent="0.25">
      <c r="A7" s="8" t="s">
        <v>8</v>
      </c>
      <c r="B7" s="9" t="s">
        <v>9</v>
      </c>
    </row>
    <row r="8" spans="1:2" ht="13" x14ac:dyDescent="0.25">
      <c r="A8" s="8" t="s">
        <v>10</v>
      </c>
      <c r="B8" s="9" t="s">
        <v>11</v>
      </c>
    </row>
    <row r="9" spans="1:2" ht="25" x14ac:dyDescent="0.25">
      <c r="A9" s="8" t="s">
        <v>12</v>
      </c>
      <c r="B9" s="9" t="s">
        <v>13</v>
      </c>
    </row>
    <row r="10" spans="1:2" ht="25" x14ac:dyDescent="0.25">
      <c r="A10" s="8" t="s">
        <v>14</v>
      </c>
      <c r="B10" s="9" t="s">
        <v>15</v>
      </c>
    </row>
    <row r="11" spans="1:2" ht="25" x14ac:dyDescent="0.25">
      <c r="A11" s="8" t="s">
        <v>16</v>
      </c>
      <c r="B11" s="9" t="s">
        <v>17</v>
      </c>
    </row>
    <row r="12" spans="1:2" ht="25" x14ac:dyDescent="0.25">
      <c r="A12" s="8" t="s">
        <v>18</v>
      </c>
      <c r="B12" s="9" t="s">
        <v>19</v>
      </c>
    </row>
    <row r="13" spans="1:2" ht="25" x14ac:dyDescent="0.25">
      <c r="A13" s="8" t="s">
        <v>20</v>
      </c>
      <c r="B13" s="9" t="s">
        <v>21</v>
      </c>
    </row>
    <row r="14" spans="1:2" ht="13" x14ac:dyDescent="0.25">
      <c r="A14" s="8" t="s">
        <v>22</v>
      </c>
      <c r="B14" s="9" t="s">
        <v>23</v>
      </c>
    </row>
    <row r="15" spans="1:2" ht="37.5" x14ac:dyDescent="0.25">
      <c r="A15" s="8" t="s">
        <v>24</v>
      </c>
      <c r="B15" s="9" t="s">
        <v>25</v>
      </c>
    </row>
    <row r="16" spans="1:2" ht="13" x14ac:dyDescent="0.25">
      <c r="A16" s="8" t="s">
        <v>26</v>
      </c>
      <c r="B16" s="9" t="s">
        <v>27</v>
      </c>
    </row>
    <row r="17" spans="1:2" ht="50" x14ac:dyDescent="0.25">
      <c r="A17" s="8" t="s">
        <v>94</v>
      </c>
      <c r="B17" s="9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0369F-120D-412E-8D56-3601141B8C3C}">
  <dimension ref="A1:F35"/>
  <sheetViews>
    <sheetView zoomScaleNormal="100" workbookViewId="0">
      <pane ySplit="4" topLeftCell="A5" activePane="bottomLeft" state="frozenSplit"/>
      <selection pane="bottomLeft"/>
    </sheetView>
  </sheetViews>
  <sheetFormatPr baseColWidth="10" defaultRowHeight="12.5" x14ac:dyDescent="0.25"/>
  <cols>
    <col min="1" max="1" width="14.6328125" style="1" customWidth="1"/>
    <col min="2" max="2" width="30.6328125" style="1" customWidth="1"/>
    <col min="3" max="3" width="16.6328125" style="1" customWidth="1"/>
    <col min="4" max="4" width="36.6328125" style="1" customWidth="1"/>
    <col min="5" max="5" width="8.6328125" style="1" customWidth="1"/>
    <col min="6" max="6" width="36.6328125" style="1" customWidth="1"/>
    <col min="7" max="16384" width="10.90625" style="1"/>
  </cols>
  <sheetData>
    <row r="1" spans="1:6" ht="18" x14ac:dyDescent="0.4">
      <c r="A1" s="3" t="s">
        <v>28</v>
      </c>
    </row>
    <row r="2" spans="1:6" ht="13" x14ac:dyDescent="0.3">
      <c r="A2" s="4" t="s">
        <v>29</v>
      </c>
    </row>
    <row r="4" spans="1:6" ht="30" customHeight="1" x14ac:dyDescent="0.25">
      <c r="A4" s="6" t="s">
        <v>30</v>
      </c>
      <c r="B4" s="6" t="s">
        <v>31</v>
      </c>
      <c r="C4" s="6" t="s">
        <v>32</v>
      </c>
      <c r="D4" s="6" t="s">
        <v>33</v>
      </c>
      <c r="E4" s="6" t="s">
        <v>34</v>
      </c>
      <c r="F4" s="6" t="s">
        <v>35</v>
      </c>
    </row>
    <row r="5" spans="1:6" x14ac:dyDescent="0.25">
      <c r="A5" s="10" t="s">
        <v>36</v>
      </c>
      <c r="B5" s="10" t="s">
        <v>37</v>
      </c>
      <c r="C5" s="10" t="s">
        <v>38</v>
      </c>
      <c r="D5" s="10" t="s">
        <v>39</v>
      </c>
      <c r="E5" s="10" t="s">
        <v>40</v>
      </c>
      <c r="F5" s="10" t="s">
        <v>41</v>
      </c>
    </row>
    <row r="6" spans="1:6" x14ac:dyDescent="0.25">
      <c r="A6" s="12">
        <v>46327</v>
      </c>
      <c r="B6" s="11" t="s">
        <v>96</v>
      </c>
      <c r="C6" s="13">
        <v>7000</v>
      </c>
      <c r="D6" s="11" t="s">
        <v>97</v>
      </c>
      <c r="E6" s="11" t="s">
        <v>98</v>
      </c>
      <c r="F6" s="11" t="s">
        <v>99</v>
      </c>
    </row>
    <row r="7" spans="1:6" x14ac:dyDescent="0.25">
      <c r="A7" s="12"/>
      <c r="B7" s="11"/>
      <c r="C7" s="13"/>
      <c r="D7" s="11"/>
      <c r="E7" s="11"/>
      <c r="F7" s="11"/>
    </row>
    <row r="8" spans="1:6" x14ac:dyDescent="0.25">
      <c r="A8" s="12"/>
      <c r="B8" s="11"/>
      <c r="C8" s="13"/>
      <c r="D8" s="11"/>
      <c r="E8" s="11"/>
      <c r="F8" s="11"/>
    </row>
    <row r="9" spans="1:6" x14ac:dyDescent="0.25">
      <c r="A9" s="12"/>
      <c r="B9" s="11"/>
      <c r="C9" s="13"/>
      <c r="D9" s="11"/>
      <c r="E9" s="11"/>
      <c r="F9" s="11"/>
    </row>
    <row r="10" spans="1:6" x14ac:dyDescent="0.25">
      <c r="A10" s="12"/>
      <c r="B10" s="11"/>
      <c r="C10" s="13"/>
      <c r="D10" s="11"/>
      <c r="E10" s="11"/>
      <c r="F10" s="11"/>
    </row>
    <row r="11" spans="1:6" x14ac:dyDescent="0.25">
      <c r="A11" s="12"/>
      <c r="B11" s="11"/>
      <c r="C11" s="13"/>
      <c r="D11" s="11"/>
      <c r="E11" s="11"/>
      <c r="F11" s="11"/>
    </row>
    <row r="12" spans="1:6" x14ac:dyDescent="0.25">
      <c r="A12" s="12"/>
      <c r="B12" s="11"/>
      <c r="C12" s="13"/>
      <c r="D12" s="11"/>
      <c r="E12" s="11"/>
      <c r="F12" s="11"/>
    </row>
    <row r="13" spans="1:6" x14ac:dyDescent="0.25">
      <c r="A13" s="12"/>
      <c r="B13" s="11"/>
      <c r="C13" s="13"/>
      <c r="D13" s="11"/>
      <c r="E13" s="11"/>
      <c r="F13" s="11"/>
    </row>
    <row r="14" spans="1:6" x14ac:dyDescent="0.25">
      <c r="A14" s="12"/>
      <c r="B14" s="11"/>
      <c r="C14" s="13"/>
      <c r="D14" s="11"/>
      <c r="E14" s="11"/>
      <c r="F14" s="11"/>
    </row>
    <row r="15" spans="1:6" x14ac:dyDescent="0.25">
      <c r="A15" s="12"/>
      <c r="B15" s="11"/>
      <c r="C15" s="13"/>
      <c r="D15" s="11"/>
      <c r="E15" s="11"/>
      <c r="F15" s="11"/>
    </row>
    <row r="16" spans="1:6" x14ac:dyDescent="0.25">
      <c r="A16" s="12"/>
      <c r="B16" s="11"/>
      <c r="C16" s="13"/>
      <c r="D16" s="11"/>
      <c r="E16" s="11"/>
      <c r="F16" s="11"/>
    </row>
    <row r="17" spans="1:6" x14ac:dyDescent="0.25">
      <c r="A17" s="12"/>
      <c r="B17" s="11"/>
      <c r="C17" s="13"/>
      <c r="D17" s="11"/>
      <c r="E17" s="11"/>
      <c r="F17" s="11"/>
    </row>
    <row r="18" spans="1:6" x14ac:dyDescent="0.25">
      <c r="A18" s="12"/>
      <c r="B18" s="11"/>
      <c r="C18" s="13"/>
      <c r="D18" s="11"/>
      <c r="E18" s="11"/>
      <c r="F18" s="11"/>
    </row>
    <row r="19" spans="1:6" x14ac:dyDescent="0.25">
      <c r="A19" s="12"/>
      <c r="B19" s="11"/>
      <c r="C19" s="13"/>
      <c r="D19" s="11"/>
      <c r="E19" s="11"/>
      <c r="F19" s="11"/>
    </row>
    <row r="20" spans="1:6" x14ac:dyDescent="0.25">
      <c r="A20" s="12"/>
      <c r="B20" s="11"/>
      <c r="C20" s="13"/>
      <c r="D20" s="11"/>
      <c r="E20" s="11"/>
      <c r="F20" s="11"/>
    </row>
    <row r="21" spans="1:6" x14ac:dyDescent="0.25">
      <c r="A21" s="12"/>
      <c r="B21" s="11"/>
      <c r="C21" s="13"/>
      <c r="D21" s="11"/>
      <c r="E21" s="11"/>
      <c r="F21" s="11"/>
    </row>
    <row r="22" spans="1:6" x14ac:dyDescent="0.25">
      <c r="A22" s="12"/>
      <c r="B22" s="11"/>
      <c r="C22" s="13"/>
      <c r="D22" s="11"/>
      <c r="E22" s="11"/>
      <c r="F22" s="11"/>
    </row>
    <row r="23" spans="1:6" x14ac:dyDescent="0.25">
      <c r="A23" s="12"/>
      <c r="B23" s="11"/>
      <c r="C23" s="13"/>
      <c r="D23" s="11"/>
      <c r="E23" s="11"/>
      <c r="F23" s="11"/>
    </row>
    <row r="24" spans="1:6" x14ac:dyDescent="0.25">
      <c r="A24" s="12"/>
      <c r="B24" s="11"/>
      <c r="C24" s="13"/>
      <c r="D24" s="11"/>
      <c r="E24" s="11"/>
      <c r="F24" s="11"/>
    </row>
    <row r="25" spans="1:6" x14ac:dyDescent="0.25">
      <c r="A25" s="12"/>
      <c r="B25" s="11"/>
      <c r="C25" s="13"/>
      <c r="D25" s="11"/>
      <c r="E25" s="11"/>
      <c r="F25" s="11"/>
    </row>
    <row r="26" spans="1:6" x14ac:dyDescent="0.25">
      <c r="A26" s="12"/>
      <c r="B26" s="11"/>
      <c r="C26" s="13"/>
      <c r="D26" s="11"/>
      <c r="E26" s="11"/>
      <c r="F26" s="11"/>
    </row>
    <row r="27" spans="1:6" x14ac:dyDescent="0.25">
      <c r="A27" s="12"/>
      <c r="B27" s="11"/>
      <c r="C27" s="13"/>
      <c r="D27" s="11"/>
      <c r="E27" s="11"/>
      <c r="F27" s="11"/>
    </row>
    <row r="28" spans="1:6" x14ac:dyDescent="0.25">
      <c r="A28" s="12"/>
      <c r="B28" s="11"/>
      <c r="C28" s="13"/>
      <c r="D28" s="11"/>
      <c r="E28" s="11"/>
      <c r="F28" s="11"/>
    </row>
    <row r="29" spans="1:6" x14ac:dyDescent="0.25">
      <c r="A29" s="12"/>
      <c r="B29" s="11"/>
      <c r="C29" s="13"/>
      <c r="D29" s="11"/>
      <c r="E29" s="11"/>
      <c r="F29" s="11"/>
    </row>
    <row r="30" spans="1:6" x14ac:dyDescent="0.25">
      <c r="A30" s="12"/>
      <c r="B30" s="11"/>
      <c r="C30" s="13"/>
      <c r="D30" s="11"/>
      <c r="E30" s="11"/>
      <c r="F30" s="11"/>
    </row>
    <row r="31" spans="1:6" x14ac:dyDescent="0.25">
      <c r="A31" s="12"/>
      <c r="B31" s="11"/>
      <c r="C31" s="13"/>
      <c r="D31" s="11"/>
      <c r="E31" s="11"/>
      <c r="F31" s="11"/>
    </row>
    <row r="32" spans="1:6" x14ac:dyDescent="0.25">
      <c r="A32" s="12"/>
      <c r="B32" s="11"/>
      <c r="C32" s="13"/>
      <c r="D32" s="11"/>
      <c r="E32" s="11"/>
      <c r="F32" s="11"/>
    </row>
    <row r="33" spans="1:6" x14ac:dyDescent="0.25">
      <c r="A33" s="12"/>
      <c r="B33" s="11"/>
      <c r="C33" s="13"/>
      <c r="D33" s="11"/>
      <c r="E33" s="11"/>
      <c r="F33" s="11"/>
    </row>
    <row r="34" spans="1:6" x14ac:dyDescent="0.25">
      <c r="A34" s="12"/>
      <c r="B34" s="11"/>
      <c r="C34" s="13"/>
      <c r="D34" s="11"/>
      <c r="E34" s="11"/>
      <c r="F34" s="11"/>
    </row>
    <row r="35" spans="1:6" x14ac:dyDescent="0.25">
      <c r="A35" s="12"/>
      <c r="B35" s="11"/>
      <c r="C35" s="13"/>
      <c r="D35" s="11"/>
      <c r="E35" s="11"/>
      <c r="F35" s="11"/>
    </row>
  </sheetData>
  <dataValidations count="1">
    <dataValidation type="list" allowBlank="1" showInputMessage="1" showErrorMessage="1" sqref="E5:E35" xr:uid="{10D772A1-CDD9-46A2-9FF9-8A81E8229CF8}">
      <formula1>"F,I,P,H"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33630-8092-413B-819E-5BDF84D9F3B1}">
  <dimension ref="A1:N37"/>
  <sheetViews>
    <sheetView zoomScaleNormal="100" workbookViewId="0">
      <pane xSplit="2" ySplit="5" topLeftCell="C6" activePane="bottomRight" state="frozenSplit"/>
      <selection pane="topRight" activeCell="C1" sqref="C1"/>
      <selection pane="bottomLeft" activeCell="A6" sqref="A6"/>
      <selection pane="bottomRight"/>
    </sheetView>
  </sheetViews>
  <sheetFormatPr baseColWidth="10" defaultRowHeight="12.5" x14ac:dyDescent="0.25"/>
  <cols>
    <col min="1" max="1" width="50.6328125" style="1" customWidth="1"/>
    <col min="2" max="2" width="13.6328125" style="1" customWidth="1"/>
    <col min="3" max="14" width="12.6328125" style="1" customWidth="1"/>
    <col min="15" max="16384" width="10.90625" style="1"/>
  </cols>
  <sheetData>
    <row r="1" spans="1:14" ht="18" x14ac:dyDescent="0.4">
      <c r="A1" s="3" t="s">
        <v>42</v>
      </c>
    </row>
    <row r="2" spans="1:14" ht="13" x14ac:dyDescent="0.3">
      <c r="A2" s="31" t="s">
        <v>102</v>
      </c>
    </row>
    <row r="3" spans="1:14" ht="13" x14ac:dyDescent="0.3">
      <c r="A3" s="2" t="s">
        <v>43</v>
      </c>
      <c r="C3" s="14">
        <v>46327</v>
      </c>
    </row>
    <row r="5" spans="1:14" ht="13" x14ac:dyDescent="0.3">
      <c r="A5" s="5" t="s">
        <v>44</v>
      </c>
      <c r="B5" s="5" t="s">
        <v>45</v>
      </c>
      <c r="C5" s="15">
        <f t="shared" ref="C5:N5" si="0">IF($C$3="","Mois "&amp;(COLUMN()-2),EDATE($C$3,COLUMN()-3))</f>
        <v>46327</v>
      </c>
      <c r="D5" s="15">
        <f t="shared" si="0"/>
        <v>46357</v>
      </c>
      <c r="E5" s="15">
        <f t="shared" si="0"/>
        <v>46388</v>
      </c>
      <c r="F5" s="15">
        <f t="shared" si="0"/>
        <v>46419</v>
      </c>
      <c r="G5" s="15">
        <f t="shared" si="0"/>
        <v>46447</v>
      </c>
      <c r="H5" s="15">
        <f t="shared" si="0"/>
        <v>46478</v>
      </c>
      <c r="I5" s="15">
        <f t="shared" si="0"/>
        <v>46508</v>
      </c>
      <c r="J5" s="15">
        <f t="shared" si="0"/>
        <v>46539</v>
      </c>
      <c r="K5" s="15">
        <f t="shared" si="0"/>
        <v>46569</v>
      </c>
      <c r="L5" s="15">
        <f t="shared" si="0"/>
        <v>46600</v>
      </c>
      <c r="M5" s="15">
        <f t="shared" si="0"/>
        <v>46631</v>
      </c>
      <c r="N5" s="15">
        <f t="shared" si="0"/>
        <v>46661</v>
      </c>
    </row>
    <row r="6" spans="1:14" ht="13" x14ac:dyDescent="0.3">
      <c r="A6" s="22" t="s">
        <v>46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</row>
    <row r="7" spans="1:14" ht="13" x14ac:dyDescent="0.3">
      <c r="A7" s="23" t="s">
        <v>47</v>
      </c>
      <c r="B7" s="18">
        <f>C7</f>
        <v>0</v>
      </c>
      <c r="C7" s="17">
        <v>0</v>
      </c>
      <c r="D7" s="18">
        <f t="shared" ref="D7:N7" si="1">IF(C30&lt;&gt;"",C30,C29)</f>
        <v>637</v>
      </c>
      <c r="E7" s="18">
        <f t="shared" si="1"/>
        <v>-1514</v>
      </c>
      <c r="F7" s="18">
        <f t="shared" si="1"/>
        <v>-2015.989999999998</v>
      </c>
      <c r="G7" s="18">
        <f t="shared" si="1"/>
        <v>-3893.2799999999988</v>
      </c>
      <c r="H7" s="18">
        <f t="shared" si="1"/>
        <v>-2830.5299999999988</v>
      </c>
      <c r="I7" s="18">
        <f t="shared" si="1"/>
        <v>1248.1900000000023</v>
      </c>
      <c r="J7" s="18">
        <f t="shared" si="1"/>
        <v>3657.6200000000026</v>
      </c>
      <c r="K7" s="18">
        <f t="shared" si="1"/>
        <v>7021.0900000000038</v>
      </c>
      <c r="L7" s="18">
        <f t="shared" si="1"/>
        <v>8799.1000000000058</v>
      </c>
      <c r="M7" s="18">
        <f t="shared" si="1"/>
        <v>8088.1000000000058</v>
      </c>
      <c r="N7" s="18">
        <f t="shared" si="1"/>
        <v>12798.240000000005</v>
      </c>
    </row>
    <row r="8" spans="1:14" ht="13" x14ac:dyDescent="0.3">
      <c r="A8" s="22" t="s">
        <v>48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</row>
    <row r="9" spans="1:14" x14ac:dyDescent="0.25">
      <c r="A9" s="7" t="s">
        <v>49</v>
      </c>
      <c r="B9" s="18">
        <f t="shared" ref="B9:B15" si="2">SUM(C9:N9)</f>
        <v>225000</v>
      </c>
      <c r="C9" s="17">
        <v>0</v>
      </c>
      <c r="D9" s="17">
        <v>0</v>
      </c>
      <c r="E9" s="17">
        <v>11600</v>
      </c>
      <c r="F9" s="17">
        <v>20700</v>
      </c>
      <c r="G9" s="17">
        <v>14700</v>
      </c>
      <c r="H9" s="17">
        <v>23600</v>
      </c>
      <c r="I9" s="17">
        <v>32700</v>
      </c>
      <c r="J9" s="17">
        <v>26700</v>
      </c>
      <c r="K9" s="17">
        <v>11600</v>
      </c>
      <c r="L9" s="17">
        <v>0</v>
      </c>
      <c r="M9" s="17">
        <v>44700</v>
      </c>
      <c r="N9" s="17">
        <v>38700</v>
      </c>
    </row>
    <row r="10" spans="1:14" x14ac:dyDescent="0.25">
      <c r="A10" s="7" t="s">
        <v>50</v>
      </c>
      <c r="B10" s="18">
        <f t="shared" si="2"/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</row>
    <row r="11" spans="1:14" x14ac:dyDescent="0.25">
      <c r="A11" s="7" t="s">
        <v>51</v>
      </c>
      <c r="B11" s="18">
        <f t="shared" si="2"/>
        <v>7000</v>
      </c>
      <c r="C11" s="17">
        <v>7000</v>
      </c>
      <c r="D11" s="17">
        <v>0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</row>
    <row r="12" spans="1:14" x14ac:dyDescent="0.25">
      <c r="A12" s="7" t="s">
        <v>52</v>
      </c>
      <c r="B12" s="18">
        <f t="shared" si="2"/>
        <v>0</v>
      </c>
      <c r="C12" s="17">
        <v>0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</row>
    <row r="13" spans="1:14" x14ac:dyDescent="0.25">
      <c r="A13" s="7" t="s">
        <v>53</v>
      </c>
      <c r="B13" s="18">
        <f t="shared" si="2"/>
        <v>0</v>
      </c>
      <c r="C13" s="17">
        <v>0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</row>
    <row r="14" spans="1:14" x14ac:dyDescent="0.25">
      <c r="A14" s="7" t="s">
        <v>54</v>
      </c>
      <c r="B14" s="18">
        <f t="shared" si="2"/>
        <v>0</v>
      </c>
      <c r="C14" s="17">
        <v>0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</row>
    <row r="15" spans="1:14" ht="13" x14ac:dyDescent="0.3">
      <c r="A15" s="23" t="s">
        <v>55</v>
      </c>
      <c r="B15" s="19">
        <f t="shared" si="2"/>
        <v>232000</v>
      </c>
      <c r="C15" s="19">
        <f t="shared" ref="C15:N15" si="3">SUM(C9:C14)</f>
        <v>7000</v>
      </c>
      <c r="D15" s="19">
        <f t="shared" si="3"/>
        <v>0</v>
      </c>
      <c r="E15" s="19">
        <f t="shared" si="3"/>
        <v>11600</v>
      </c>
      <c r="F15" s="19">
        <f t="shared" si="3"/>
        <v>20700</v>
      </c>
      <c r="G15" s="19">
        <f t="shared" si="3"/>
        <v>14700</v>
      </c>
      <c r="H15" s="19">
        <f t="shared" si="3"/>
        <v>23600</v>
      </c>
      <c r="I15" s="19">
        <f t="shared" si="3"/>
        <v>32700</v>
      </c>
      <c r="J15" s="19">
        <f t="shared" si="3"/>
        <v>26700</v>
      </c>
      <c r="K15" s="19">
        <f t="shared" si="3"/>
        <v>11600</v>
      </c>
      <c r="L15" s="19">
        <f t="shared" si="3"/>
        <v>0</v>
      </c>
      <c r="M15" s="19">
        <f t="shared" si="3"/>
        <v>44700</v>
      </c>
      <c r="N15" s="19">
        <f t="shared" si="3"/>
        <v>38700</v>
      </c>
    </row>
    <row r="16" spans="1:14" ht="13" x14ac:dyDescent="0.3">
      <c r="A16" s="22" t="s">
        <v>56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</row>
    <row r="17" spans="1:14" x14ac:dyDescent="0.25">
      <c r="A17" s="7" t="s">
        <v>57</v>
      </c>
      <c r="B17" s="18">
        <f t="shared" ref="B17:B26" si="4">SUM(C17:N17)</f>
        <v>30500</v>
      </c>
      <c r="C17" s="17">
        <v>0</v>
      </c>
      <c r="D17" s="17">
        <v>0</v>
      </c>
      <c r="E17" s="17">
        <v>1500</v>
      </c>
      <c r="F17" s="17">
        <v>2500</v>
      </c>
      <c r="G17" s="17">
        <v>1500</v>
      </c>
      <c r="H17" s="17">
        <v>3500</v>
      </c>
      <c r="I17" s="17">
        <v>4500</v>
      </c>
      <c r="J17" s="17">
        <v>3500</v>
      </c>
      <c r="K17" s="17">
        <v>1500</v>
      </c>
      <c r="L17" s="17">
        <v>0</v>
      </c>
      <c r="M17" s="17">
        <v>6500</v>
      </c>
      <c r="N17" s="17">
        <v>5500</v>
      </c>
    </row>
    <row r="18" spans="1:14" x14ac:dyDescent="0.25">
      <c r="A18" s="7" t="s">
        <v>58</v>
      </c>
      <c r="B18" s="18">
        <f t="shared" si="4"/>
        <v>32550</v>
      </c>
      <c r="C18" s="17">
        <v>0</v>
      </c>
      <c r="D18" s="17">
        <v>0</v>
      </c>
      <c r="E18" s="17">
        <v>950</v>
      </c>
      <c r="F18" s="17">
        <v>3700</v>
      </c>
      <c r="G18" s="17">
        <v>2000</v>
      </c>
      <c r="H18" s="17">
        <v>2750</v>
      </c>
      <c r="I18" s="17">
        <v>5500</v>
      </c>
      <c r="J18" s="17">
        <v>3800</v>
      </c>
      <c r="K18" s="17">
        <v>950</v>
      </c>
      <c r="L18" s="17">
        <v>0</v>
      </c>
      <c r="M18" s="17">
        <v>7300</v>
      </c>
      <c r="N18" s="17">
        <v>5600</v>
      </c>
    </row>
    <row r="19" spans="1:14" x14ac:dyDescent="0.25">
      <c r="A19" s="7" t="s">
        <v>59</v>
      </c>
      <c r="B19" s="18">
        <f t="shared" si="4"/>
        <v>84129.989999999991</v>
      </c>
      <c r="C19" s="17">
        <v>0</v>
      </c>
      <c r="D19" s="17">
        <v>0</v>
      </c>
      <c r="E19" s="17">
        <v>5653.57</v>
      </c>
      <c r="F19" s="17">
        <v>9131.43</v>
      </c>
      <c r="G19" s="17">
        <v>6545</v>
      </c>
      <c r="H19" s="17">
        <v>8160.71</v>
      </c>
      <c r="I19" s="17">
        <v>11883.57</v>
      </c>
      <c r="J19" s="17">
        <v>9752.14</v>
      </c>
      <c r="K19" s="17">
        <v>4953.57</v>
      </c>
      <c r="L19" s="17">
        <v>0</v>
      </c>
      <c r="M19" s="17">
        <v>15090.71</v>
      </c>
      <c r="N19" s="17">
        <v>12959.29</v>
      </c>
    </row>
    <row r="20" spans="1:14" x14ac:dyDescent="0.25">
      <c r="A20" s="7" t="s">
        <v>60</v>
      </c>
      <c r="B20" s="18">
        <f t="shared" si="4"/>
        <v>0</v>
      </c>
      <c r="C20" s="17">
        <v>0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</row>
    <row r="21" spans="1:14" x14ac:dyDescent="0.25">
      <c r="A21" s="7" t="s">
        <v>61</v>
      </c>
      <c r="B21" s="18">
        <f t="shared" si="4"/>
        <v>4872</v>
      </c>
      <c r="C21" s="17">
        <v>2012</v>
      </c>
      <c r="D21" s="17">
        <v>260</v>
      </c>
      <c r="E21" s="17">
        <v>260</v>
      </c>
      <c r="F21" s="17">
        <v>260</v>
      </c>
      <c r="G21" s="17">
        <v>260</v>
      </c>
      <c r="H21" s="17">
        <v>260</v>
      </c>
      <c r="I21" s="17">
        <v>260</v>
      </c>
      <c r="J21" s="17">
        <v>260</v>
      </c>
      <c r="K21" s="17">
        <v>260</v>
      </c>
      <c r="L21" s="17">
        <v>260</v>
      </c>
      <c r="M21" s="17">
        <v>260</v>
      </c>
      <c r="N21" s="17">
        <v>260</v>
      </c>
    </row>
    <row r="22" spans="1:14" x14ac:dyDescent="0.25">
      <c r="A22" s="7" t="s">
        <v>62</v>
      </c>
      <c r="B22" s="18">
        <f t="shared" si="4"/>
        <v>7200</v>
      </c>
      <c r="C22" s="17">
        <v>300</v>
      </c>
      <c r="D22" s="17">
        <v>1500</v>
      </c>
      <c r="E22" s="17">
        <v>1500</v>
      </c>
      <c r="F22" s="17">
        <v>1500</v>
      </c>
      <c r="G22" s="17">
        <v>300</v>
      </c>
      <c r="H22" s="17">
        <v>300</v>
      </c>
      <c r="I22" s="17">
        <v>300</v>
      </c>
      <c r="J22" s="17">
        <v>300</v>
      </c>
      <c r="K22" s="17">
        <v>300</v>
      </c>
      <c r="L22" s="17">
        <v>300</v>
      </c>
      <c r="M22" s="17">
        <v>300</v>
      </c>
      <c r="N22" s="17">
        <v>300</v>
      </c>
    </row>
    <row r="23" spans="1:14" x14ac:dyDescent="0.25">
      <c r="A23" s="7" t="s">
        <v>63</v>
      </c>
      <c r="B23" s="18">
        <f t="shared" si="4"/>
        <v>0</v>
      </c>
      <c r="C23" s="17">
        <v>0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</row>
    <row r="24" spans="1:14" x14ac:dyDescent="0.25">
      <c r="A24" s="7" t="s">
        <v>64</v>
      </c>
      <c r="B24" s="18">
        <f t="shared" si="4"/>
        <v>25557.919999999998</v>
      </c>
      <c r="C24" s="17">
        <v>1001</v>
      </c>
      <c r="D24" s="17">
        <v>341</v>
      </c>
      <c r="E24" s="17">
        <v>1522.71</v>
      </c>
      <c r="F24" s="17">
        <v>2691.93</v>
      </c>
      <c r="G24" s="17">
        <v>1566</v>
      </c>
      <c r="H24" s="17">
        <v>2313.4299999999998</v>
      </c>
      <c r="I24" s="17">
        <v>3531.64</v>
      </c>
      <c r="J24" s="17">
        <v>2736.71</v>
      </c>
      <c r="K24" s="17">
        <v>1142.71</v>
      </c>
      <c r="L24" s="17">
        <v>101</v>
      </c>
      <c r="M24" s="17">
        <v>4702.3599999999997</v>
      </c>
      <c r="N24" s="17">
        <v>3907.43</v>
      </c>
    </row>
    <row r="25" spans="1:14" x14ac:dyDescent="0.25">
      <c r="A25" s="7" t="s">
        <v>65</v>
      </c>
      <c r="B25" s="18">
        <f t="shared" si="4"/>
        <v>28727.68</v>
      </c>
      <c r="C25" s="17">
        <v>3050</v>
      </c>
      <c r="D25" s="17">
        <v>50</v>
      </c>
      <c r="E25" s="17">
        <v>715.71</v>
      </c>
      <c r="F25" s="17">
        <v>2793.93</v>
      </c>
      <c r="G25" s="17">
        <v>1466.25</v>
      </c>
      <c r="H25" s="17">
        <v>2237.14</v>
      </c>
      <c r="I25" s="17">
        <v>4315.3599999999997</v>
      </c>
      <c r="J25" s="17">
        <v>2987.68</v>
      </c>
      <c r="K25" s="17">
        <v>715.71</v>
      </c>
      <c r="L25" s="17">
        <v>50</v>
      </c>
      <c r="M25" s="17">
        <v>5836.79</v>
      </c>
      <c r="N25" s="17">
        <v>4509.1099999999997</v>
      </c>
    </row>
    <row r="26" spans="1:14" ht="13" x14ac:dyDescent="0.3">
      <c r="A26" s="23" t="s">
        <v>66</v>
      </c>
      <c r="B26" s="19">
        <f t="shared" si="4"/>
        <v>213537.59000000003</v>
      </c>
      <c r="C26" s="19">
        <f t="shared" ref="C26:N26" si="5">SUM(C17:C25)</f>
        <v>6363</v>
      </c>
      <c r="D26" s="19">
        <f t="shared" si="5"/>
        <v>2151</v>
      </c>
      <c r="E26" s="19">
        <f t="shared" si="5"/>
        <v>12101.989999999998</v>
      </c>
      <c r="F26" s="19">
        <f t="shared" si="5"/>
        <v>22577.29</v>
      </c>
      <c r="G26" s="19">
        <f t="shared" si="5"/>
        <v>13637.25</v>
      </c>
      <c r="H26" s="19">
        <f t="shared" si="5"/>
        <v>19521.28</v>
      </c>
      <c r="I26" s="19">
        <f t="shared" si="5"/>
        <v>30290.57</v>
      </c>
      <c r="J26" s="19">
        <f t="shared" si="5"/>
        <v>23336.53</v>
      </c>
      <c r="K26" s="19">
        <f t="shared" si="5"/>
        <v>9821.989999999998</v>
      </c>
      <c r="L26" s="19">
        <f t="shared" si="5"/>
        <v>711</v>
      </c>
      <c r="M26" s="19">
        <f t="shared" si="5"/>
        <v>39989.86</v>
      </c>
      <c r="N26" s="19">
        <f t="shared" si="5"/>
        <v>33035.83</v>
      </c>
    </row>
    <row r="27" spans="1:14" ht="13" x14ac:dyDescent="0.3">
      <c r="A27" s="22" t="s">
        <v>67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</row>
    <row r="28" spans="1:14" ht="13" x14ac:dyDescent="0.3">
      <c r="A28" s="23" t="s">
        <v>68</v>
      </c>
      <c r="B28" s="19">
        <f>SUM(C28:N28)</f>
        <v>18462.410000000003</v>
      </c>
      <c r="C28" s="19">
        <f t="shared" ref="C28:N28" si="6">C15-C26</f>
        <v>637</v>
      </c>
      <c r="D28" s="19">
        <f t="shared" si="6"/>
        <v>-2151</v>
      </c>
      <c r="E28" s="19">
        <f t="shared" si="6"/>
        <v>-501.98999999999796</v>
      </c>
      <c r="F28" s="19">
        <f t="shared" si="6"/>
        <v>-1877.2900000000009</v>
      </c>
      <c r="G28" s="19">
        <f t="shared" si="6"/>
        <v>1062.75</v>
      </c>
      <c r="H28" s="19">
        <f t="shared" si="6"/>
        <v>4078.7200000000012</v>
      </c>
      <c r="I28" s="19">
        <f t="shared" si="6"/>
        <v>2409.4300000000003</v>
      </c>
      <c r="J28" s="19">
        <f t="shared" si="6"/>
        <v>3363.4700000000012</v>
      </c>
      <c r="K28" s="19">
        <f t="shared" si="6"/>
        <v>1778.010000000002</v>
      </c>
      <c r="L28" s="19">
        <f t="shared" si="6"/>
        <v>-711</v>
      </c>
      <c r="M28" s="19">
        <f t="shared" si="6"/>
        <v>4710.1399999999994</v>
      </c>
      <c r="N28" s="19">
        <f t="shared" si="6"/>
        <v>5664.1699999999983</v>
      </c>
    </row>
    <row r="29" spans="1:14" ht="13" x14ac:dyDescent="0.3">
      <c r="A29" s="23" t="s">
        <v>69</v>
      </c>
      <c r="B29" s="19">
        <f>N29</f>
        <v>18462.410000000003</v>
      </c>
      <c r="C29" s="19">
        <f t="shared" ref="C29:N29" si="7">C7+C28</f>
        <v>637</v>
      </c>
      <c r="D29" s="19">
        <f t="shared" si="7"/>
        <v>-1514</v>
      </c>
      <c r="E29" s="19">
        <f t="shared" si="7"/>
        <v>-2015.989999999998</v>
      </c>
      <c r="F29" s="19">
        <f t="shared" si="7"/>
        <v>-3893.2799999999988</v>
      </c>
      <c r="G29" s="19">
        <f t="shared" si="7"/>
        <v>-2830.5299999999988</v>
      </c>
      <c r="H29" s="19">
        <f t="shared" si="7"/>
        <v>1248.1900000000023</v>
      </c>
      <c r="I29" s="19">
        <f t="shared" si="7"/>
        <v>3657.6200000000026</v>
      </c>
      <c r="J29" s="19">
        <f t="shared" si="7"/>
        <v>7021.0900000000038</v>
      </c>
      <c r="K29" s="19">
        <f t="shared" si="7"/>
        <v>8799.1000000000058</v>
      </c>
      <c r="L29" s="19">
        <f t="shared" si="7"/>
        <v>8088.1000000000058</v>
      </c>
      <c r="M29" s="19">
        <f t="shared" si="7"/>
        <v>12798.240000000005</v>
      </c>
      <c r="N29" s="19">
        <f t="shared" si="7"/>
        <v>18462.410000000003</v>
      </c>
    </row>
    <row r="30" spans="1:14" x14ac:dyDescent="0.25">
      <c r="A30" s="7" t="s">
        <v>70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</row>
    <row r="31" spans="1:14" ht="13" x14ac:dyDescent="0.3">
      <c r="A31" s="23" t="s">
        <v>71</v>
      </c>
      <c r="B31" s="2"/>
      <c r="C31" s="19">
        <f t="shared" ref="C31:N31" si="8">IF(C30="",0,C29-C30)</f>
        <v>0</v>
      </c>
      <c r="D31" s="19">
        <f t="shared" si="8"/>
        <v>0</v>
      </c>
      <c r="E31" s="19">
        <f t="shared" si="8"/>
        <v>0</v>
      </c>
      <c r="F31" s="19">
        <f t="shared" si="8"/>
        <v>0</v>
      </c>
      <c r="G31" s="19">
        <f t="shared" si="8"/>
        <v>0</v>
      </c>
      <c r="H31" s="19">
        <f t="shared" si="8"/>
        <v>0</v>
      </c>
      <c r="I31" s="19">
        <f t="shared" si="8"/>
        <v>0</v>
      </c>
      <c r="J31" s="19">
        <f t="shared" si="8"/>
        <v>0</v>
      </c>
      <c r="K31" s="19">
        <f t="shared" si="8"/>
        <v>0</v>
      </c>
      <c r="L31" s="19">
        <f t="shared" si="8"/>
        <v>0</v>
      </c>
      <c r="M31" s="19">
        <f t="shared" si="8"/>
        <v>0</v>
      </c>
      <c r="N31" s="19">
        <f t="shared" si="8"/>
        <v>0</v>
      </c>
    </row>
    <row r="32" spans="1:14" ht="30" customHeight="1" x14ac:dyDescent="0.25">
      <c r="A32" s="7" t="s">
        <v>72</v>
      </c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</row>
    <row r="33" spans="1:14" ht="13" x14ac:dyDescent="0.3">
      <c r="A33" s="22" t="s">
        <v>73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</row>
    <row r="34" spans="1:14" ht="26" x14ac:dyDescent="0.3">
      <c r="A34" s="23" t="s">
        <v>74</v>
      </c>
      <c r="B34" s="19">
        <f>SUM(C34:N34)</f>
        <v>-11462.410000000003</v>
      </c>
      <c r="C34" s="19">
        <f t="shared" ref="C34:N34" si="9">C26-C9-C10-C14</f>
        <v>6363</v>
      </c>
      <c r="D34" s="19">
        <f t="shared" si="9"/>
        <v>2151</v>
      </c>
      <c r="E34" s="19">
        <f t="shared" si="9"/>
        <v>501.98999999999796</v>
      </c>
      <c r="F34" s="19">
        <f t="shared" si="9"/>
        <v>1877.2900000000009</v>
      </c>
      <c r="G34" s="19">
        <f t="shared" si="9"/>
        <v>-1062.75</v>
      </c>
      <c r="H34" s="19">
        <f t="shared" si="9"/>
        <v>-4078.7200000000012</v>
      </c>
      <c r="I34" s="19">
        <f t="shared" si="9"/>
        <v>-2409.4300000000003</v>
      </c>
      <c r="J34" s="19">
        <f t="shared" si="9"/>
        <v>-3363.4700000000012</v>
      </c>
      <c r="K34" s="19">
        <f t="shared" si="9"/>
        <v>-1778.010000000002</v>
      </c>
      <c r="L34" s="19">
        <f t="shared" si="9"/>
        <v>711</v>
      </c>
      <c r="M34" s="19">
        <f t="shared" si="9"/>
        <v>-4710.1399999999994</v>
      </c>
      <c r="N34" s="19">
        <f t="shared" si="9"/>
        <v>-5664.1699999999983</v>
      </c>
    </row>
    <row r="35" spans="1:14" ht="13" x14ac:dyDescent="0.3">
      <c r="A35" s="23" t="s">
        <v>75</v>
      </c>
      <c r="B35" s="2"/>
      <c r="C35" s="21">
        <f t="shared" ref="C35:N35" si="10">IF(C34&gt;0,IF(C30&lt;&gt;"",C30,C29)/C34,0)</f>
        <v>0.1001100110011001</v>
      </c>
      <c r="D35" s="21">
        <f t="shared" si="10"/>
        <v>-0.70385867038586702</v>
      </c>
      <c r="E35" s="21">
        <f t="shared" si="10"/>
        <v>-4.0159963345883503</v>
      </c>
      <c r="F35" s="21">
        <f t="shared" si="10"/>
        <v>-2.073883097443654</v>
      </c>
      <c r="G35" s="21">
        <f t="shared" si="10"/>
        <v>0</v>
      </c>
      <c r="H35" s="21">
        <f t="shared" si="10"/>
        <v>0</v>
      </c>
      <c r="I35" s="21">
        <f t="shared" si="10"/>
        <v>0</v>
      </c>
      <c r="J35" s="21">
        <f t="shared" si="10"/>
        <v>0</v>
      </c>
      <c r="K35" s="21">
        <f t="shared" si="10"/>
        <v>0</v>
      </c>
      <c r="L35" s="21">
        <f t="shared" si="10"/>
        <v>11.375668073136437</v>
      </c>
      <c r="M35" s="21">
        <f t="shared" si="10"/>
        <v>0</v>
      </c>
      <c r="N35" s="21">
        <f t="shared" si="10"/>
        <v>0</v>
      </c>
    </row>
    <row r="37" spans="1:14" ht="13" x14ac:dyDescent="0.3">
      <c r="A37" s="4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B1E08-764D-4778-AF59-2CA8843CE321}">
  <dimension ref="A1:C13"/>
  <sheetViews>
    <sheetView zoomScaleNormal="100" workbookViewId="0"/>
  </sheetViews>
  <sheetFormatPr baseColWidth="10" defaultRowHeight="12.5" x14ac:dyDescent="0.25"/>
  <cols>
    <col min="1" max="1" width="50.6328125" style="1" customWidth="1"/>
    <col min="2" max="2" width="18.6328125" style="1" customWidth="1"/>
    <col min="3" max="3" width="70.6328125" style="1" customWidth="1"/>
    <col min="4" max="16384" width="10.90625" style="1"/>
  </cols>
  <sheetData>
    <row r="1" spans="1:3" ht="18" x14ac:dyDescent="0.4">
      <c r="A1" s="3" t="s">
        <v>77</v>
      </c>
    </row>
    <row r="2" spans="1:3" ht="13" x14ac:dyDescent="0.3">
      <c r="A2" s="4" t="s">
        <v>78</v>
      </c>
    </row>
    <row r="4" spans="1:3" ht="13" x14ac:dyDescent="0.25">
      <c r="A4" s="6" t="s">
        <v>79</v>
      </c>
      <c r="B4" s="6" t="s">
        <v>80</v>
      </c>
      <c r="C4" s="6" t="s">
        <v>81</v>
      </c>
    </row>
    <row r="5" spans="1:3" x14ac:dyDescent="0.25">
      <c r="A5" s="24" t="s">
        <v>82</v>
      </c>
      <c r="B5" s="25">
        <f>IF(COUNT('États de trésorerie'!A6:A35)=0,0,MAX('États de trésorerie'!A6:A35))</f>
        <v>46327</v>
      </c>
      <c r="C5" s="9" t="s">
        <v>83</v>
      </c>
    </row>
    <row r="6" spans="1:3" x14ac:dyDescent="0.25">
      <c r="A6" s="24" t="s">
        <v>84</v>
      </c>
      <c r="B6" s="26">
        <f>IF(B5=0,0,SUMIFS('États de trésorerie'!C6:C35,'États de trésorerie'!A6:A35,B5))</f>
        <v>7000</v>
      </c>
      <c r="C6" s="9" t="s">
        <v>85</v>
      </c>
    </row>
    <row r="7" spans="1:3" x14ac:dyDescent="0.25">
      <c r="A7" s="24" t="s">
        <v>86</v>
      </c>
      <c r="B7" s="32" t="s">
        <v>100</v>
      </c>
      <c r="C7" s="33"/>
    </row>
    <row r="8" spans="1:3" ht="25" x14ac:dyDescent="0.25">
      <c r="A8" s="24" t="s">
        <v>87</v>
      </c>
      <c r="B8" s="27">
        <v>2321</v>
      </c>
      <c r="C8" s="28" t="s">
        <v>101</v>
      </c>
    </row>
    <row r="9" spans="1:3" ht="25" x14ac:dyDescent="0.25">
      <c r="A9" s="24" t="s">
        <v>88</v>
      </c>
      <c r="B9" s="26">
        <f>IFERROR(AVERAGEIF('Suivi mensuel'!C34:N34,"&gt;0"),0)</f>
        <v>2320.8559999999998</v>
      </c>
      <c r="C9" s="9" t="s">
        <v>89</v>
      </c>
    </row>
    <row r="10" spans="1:3" ht="13" x14ac:dyDescent="0.25">
      <c r="A10" s="8" t="s">
        <v>10</v>
      </c>
      <c r="B10" s="29">
        <f>IF(B8&gt;0,B6/B8,0)</f>
        <v>3.015941404566997</v>
      </c>
      <c r="C10" s="9" t="s">
        <v>90</v>
      </c>
    </row>
    <row r="11" spans="1:3" x14ac:dyDescent="0.25">
      <c r="A11" s="24" t="s">
        <v>91</v>
      </c>
      <c r="B11" s="30">
        <f>IF(AND(B10&gt;0,B5&gt;0),EDATE(B5,INT(B10)),"")</f>
        <v>46419</v>
      </c>
      <c r="C11" s="9" t="s">
        <v>92</v>
      </c>
    </row>
    <row r="13" spans="1:3" ht="13" x14ac:dyDescent="0.3">
      <c r="A13" s="4" t="s">
        <v>93</v>
      </c>
    </row>
  </sheetData>
  <mergeCells count="1">
    <mergeCell ref="B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Mode d'emploi</vt:lpstr>
      <vt:lpstr>États de trésorerie</vt:lpstr>
      <vt:lpstr>Suivi mensuel</vt:lpstr>
      <vt:lpstr>Mois de survie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vianney vautier</dc:creator>
  <cp:lastModifiedBy>vianney vautier</cp:lastModifiedBy>
  <dcterms:created xsi:type="dcterms:W3CDTF">2026-10-27T18:21:48Z</dcterms:created>
  <dcterms:modified xsi:type="dcterms:W3CDTF">2026-10-28T13:32:58Z</dcterms:modified>
</cp:coreProperties>
</file>