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ans\Documents\Claude\Projects\HEC-GEMM-Groupe-7\2 FINANCE\PREVISIONS\"/>
    </mc:Choice>
  </mc:AlternateContent>
  <xr:revisionPtr revIDLastSave="0" documentId="13_ncr:1_{9CCD5C6A-B0F7-4AAD-B84C-98FD8DDC5033}" xr6:coauthVersionLast="47" xr6:coauthVersionMax="47" xr10:uidLastSave="{00000000-0000-0000-0000-000000000000}"/>
  <bookViews>
    <workbookView xWindow="-110" yWindow="-110" windowWidth="25820" windowHeight="13900" xr2:uid="{09426CC5-4BCC-48B7-8854-C5C8E2CE30D1}"/>
  </bookViews>
  <sheets>
    <sheet name="Mode d'emploi" sheetId="1" r:id="rId1"/>
    <sheet name="Prix et marges" sheetId="2" r:id="rId2"/>
    <sheet name="Staffing" sheetId="7" r:id="rId3"/>
    <sheet name="Budget mensuel" sheetId="3" r:id="rId4"/>
    <sheet name="Prévu et réel" sheetId="4" r:id="rId5"/>
    <sheet name="Plan financier 3 ans" sheetId="5" r:id="rId6"/>
    <sheet name="Frais généraux 3 ans" sheetId="6"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G21" i="7" l="1"/>
  <c r="F26" i="2" s="1"/>
  <c r="G20" i="7"/>
  <c r="G19" i="7"/>
  <c r="G18" i="7"/>
  <c r="F21" i="7"/>
  <c r="E26" i="2" s="1"/>
  <c r="F20" i="7"/>
  <c r="F19" i="7"/>
  <c r="F18" i="7"/>
  <c r="E21" i="7"/>
  <c r="D26" i="2" s="1"/>
  <c r="E20" i="7"/>
  <c r="E19" i="7"/>
  <c r="E18" i="7"/>
  <c r="D21" i="7"/>
  <c r="C26" i="2" s="1"/>
  <c r="D20" i="7"/>
  <c r="D19" i="7"/>
  <c r="D18" i="7"/>
  <c r="G25" i="6"/>
  <c r="E18" i="5" s="1"/>
  <c r="F25" i="6"/>
  <c r="D18" i="5" s="1"/>
  <c r="B13" i="6"/>
  <c r="G8" i="6"/>
  <c r="G9" i="6"/>
  <c r="G10" i="6"/>
  <c r="G11" i="6"/>
  <c r="G12" i="6"/>
  <c r="F8" i="6"/>
  <c r="F9" i="6"/>
  <c r="F10" i="6"/>
  <c r="F11" i="6"/>
  <c r="F12" i="6"/>
  <c r="C31" i="3"/>
  <c r="D31" i="3"/>
  <c r="E31" i="3"/>
  <c r="F31" i="3"/>
  <c r="G31" i="3"/>
  <c r="H31" i="3"/>
  <c r="I31" i="3"/>
  <c r="J31" i="3"/>
  <c r="K31" i="3"/>
  <c r="L31" i="3"/>
  <c r="M31" i="3"/>
  <c r="N31" i="3"/>
  <c r="C21" i="3"/>
  <c r="D21" i="3"/>
  <c r="D32" i="3" s="1"/>
  <c r="D17" i="4" s="1"/>
  <c r="E21" i="3"/>
  <c r="E32" i="3" s="1"/>
  <c r="E17" i="4" s="1"/>
  <c r="F21" i="3"/>
  <c r="F32" i="3" s="1"/>
  <c r="F17" i="4" s="1"/>
  <c r="G21" i="3"/>
  <c r="G32" i="3" s="1"/>
  <c r="G17" i="4" s="1"/>
  <c r="H21" i="3"/>
  <c r="H32" i="3" s="1"/>
  <c r="H17" i="4" s="1"/>
  <c r="I21" i="3"/>
  <c r="I32" i="3" s="1"/>
  <c r="I17" i="4" s="1"/>
  <c r="J21" i="3"/>
  <c r="J32" i="3" s="1"/>
  <c r="J17" i="4" s="1"/>
  <c r="K21" i="3"/>
  <c r="K32" i="3" s="1"/>
  <c r="K17" i="4" s="1"/>
  <c r="L21" i="3"/>
  <c r="L32" i="3" s="1"/>
  <c r="L17" i="4" s="1"/>
  <c r="M21" i="3"/>
  <c r="M32" i="3" s="1"/>
  <c r="M17" i="4" s="1"/>
  <c r="N21" i="3"/>
  <c r="N32" i="3" s="1"/>
  <c r="N17" i="4" s="1"/>
  <c r="B20" i="3"/>
  <c r="B19" i="3"/>
  <c r="B18" i="3"/>
  <c r="D11" i="5"/>
  <c r="E11" i="5"/>
  <c r="B23" i="4"/>
  <c r="C24" i="4"/>
  <c r="D24" i="4"/>
  <c r="E24" i="4"/>
  <c r="F24" i="4"/>
  <c r="G24" i="4"/>
  <c r="H24" i="4"/>
  <c r="I24" i="4"/>
  <c r="J24" i="4"/>
  <c r="K24" i="4"/>
  <c r="L24" i="4"/>
  <c r="M24" i="4"/>
  <c r="N24" i="4"/>
  <c r="B18" i="4"/>
  <c r="C19" i="4"/>
  <c r="D19" i="4"/>
  <c r="E19" i="4"/>
  <c r="F19" i="4"/>
  <c r="G19" i="4"/>
  <c r="H19" i="4"/>
  <c r="I19" i="4"/>
  <c r="J19" i="4"/>
  <c r="K19" i="4"/>
  <c r="L19" i="4"/>
  <c r="M19" i="4"/>
  <c r="N19" i="4"/>
  <c r="B13" i="4"/>
  <c r="C14" i="4"/>
  <c r="D14" i="4"/>
  <c r="E14" i="4"/>
  <c r="F14" i="4"/>
  <c r="G14" i="4"/>
  <c r="H14" i="4"/>
  <c r="I14" i="4"/>
  <c r="J14" i="4"/>
  <c r="K14" i="4"/>
  <c r="L14" i="4"/>
  <c r="M14" i="4"/>
  <c r="N14" i="4"/>
  <c r="B8" i="4"/>
  <c r="C9" i="4"/>
  <c r="D9" i="4"/>
  <c r="E9" i="4"/>
  <c r="F9" i="4"/>
  <c r="G9" i="4"/>
  <c r="H9" i="4"/>
  <c r="I9" i="4"/>
  <c r="J9" i="4"/>
  <c r="K9" i="4"/>
  <c r="L9" i="4"/>
  <c r="M9" i="4"/>
  <c r="N9" i="4"/>
  <c r="C5" i="4"/>
  <c r="D5" i="4"/>
  <c r="E5" i="4"/>
  <c r="F5" i="4"/>
  <c r="G5" i="4"/>
  <c r="H5" i="4"/>
  <c r="I5" i="4"/>
  <c r="J5" i="4"/>
  <c r="K5" i="4"/>
  <c r="L5" i="4"/>
  <c r="M5" i="4"/>
  <c r="N5" i="4"/>
  <c r="B30" i="3"/>
  <c r="B29" i="3"/>
  <c r="B28" i="3"/>
  <c r="B27" i="3"/>
  <c r="B26" i="3"/>
  <c r="B25" i="3"/>
  <c r="B24" i="3"/>
  <c r="B23" i="3"/>
  <c r="B17" i="3"/>
  <c r="C11" i="3"/>
  <c r="C7" i="4" s="1"/>
  <c r="D11" i="3"/>
  <c r="D7" i="4" s="1"/>
  <c r="E11" i="3"/>
  <c r="E7" i="4" s="1"/>
  <c r="F11" i="3"/>
  <c r="F7" i="4" s="1"/>
  <c r="G11" i="3"/>
  <c r="G7" i="4" s="1"/>
  <c r="H11" i="3"/>
  <c r="H7" i="4" s="1"/>
  <c r="I11" i="3"/>
  <c r="I7" i="4" s="1"/>
  <c r="J11" i="3"/>
  <c r="J7" i="4" s="1"/>
  <c r="K11" i="3"/>
  <c r="K7" i="4" s="1"/>
  <c r="L11" i="3"/>
  <c r="L7" i="4" s="1"/>
  <c r="M11" i="3"/>
  <c r="M7" i="4" s="1"/>
  <c r="N11" i="3"/>
  <c r="N7" i="4" s="1"/>
  <c r="B10" i="3"/>
  <c r="C10" i="5" s="1"/>
  <c r="B9" i="3"/>
  <c r="C9" i="5" s="1"/>
  <c r="B8" i="3"/>
  <c r="C8" i="5" s="1"/>
  <c r="B7" i="3"/>
  <c r="C7" i="5" s="1"/>
  <c r="C5" i="3"/>
  <c r="D5" i="3"/>
  <c r="E5" i="3"/>
  <c r="F5" i="3"/>
  <c r="G5" i="3"/>
  <c r="H5" i="3"/>
  <c r="I5" i="3"/>
  <c r="J5" i="3"/>
  <c r="K5" i="3"/>
  <c r="L5" i="3"/>
  <c r="M5" i="3"/>
  <c r="N5" i="3"/>
  <c r="C14" i="2"/>
  <c r="D14" i="2"/>
  <c r="E14" i="2"/>
  <c r="F14" i="2"/>
  <c r="C13" i="2"/>
  <c r="D13" i="2"/>
  <c r="E13" i="2"/>
  <c r="F13" i="2"/>
  <c r="C9" i="2"/>
  <c r="D9" i="2"/>
  <c r="E9" i="2"/>
  <c r="F9" i="2"/>
  <c r="F43" i="2" l="1"/>
  <c r="E43" i="2"/>
  <c r="D43" i="2"/>
  <c r="F13" i="6"/>
  <c r="G13" i="6"/>
  <c r="B31" i="3"/>
  <c r="C18" i="5" s="1"/>
  <c r="C43" i="2"/>
  <c r="C42" i="2"/>
  <c r="D17" i="5"/>
  <c r="D19" i="5" s="1"/>
  <c r="F27" i="6"/>
  <c r="G27" i="6"/>
  <c r="E17" i="5"/>
  <c r="E19" i="5" s="1"/>
  <c r="B21" i="3"/>
  <c r="C17" i="5" s="1"/>
  <c r="C19" i="5" s="1"/>
  <c r="C32" i="3"/>
  <c r="B24" i="4"/>
  <c r="B14" i="4"/>
  <c r="B19" i="4"/>
  <c r="B9" i="4"/>
  <c r="B7" i="4"/>
  <c r="C11" i="5"/>
  <c r="B11" i="3"/>
  <c r="F42" i="2"/>
  <c r="F25" i="2"/>
  <c r="F17" i="2"/>
  <c r="E17" i="2"/>
  <c r="E42" i="2"/>
  <c r="E25" i="2"/>
  <c r="D42" i="2"/>
  <c r="D25" i="2"/>
  <c r="D17" i="2"/>
  <c r="C17" i="2"/>
  <c r="C25" i="2"/>
  <c r="B32" i="3" l="1"/>
  <c r="C17" i="4"/>
  <c r="B17" i="4" s="1"/>
  <c r="C13" i="5"/>
  <c r="D13" i="5"/>
  <c r="E13" i="5"/>
  <c r="C13" i="3"/>
  <c r="E13" i="3"/>
  <c r="F13" i="3"/>
  <c r="H13" i="3"/>
  <c r="J13" i="3"/>
  <c r="L13" i="3"/>
  <c r="N13" i="3"/>
  <c r="D13" i="3"/>
  <c r="G13" i="3"/>
  <c r="I13" i="3"/>
  <c r="K13" i="3"/>
  <c r="M13" i="3"/>
  <c r="F39" i="2"/>
  <c r="F22" i="2"/>
  <c r="F40" i="2" s="1"/>
  <c r="F32" i="2"/>
  <c r="E32" i="2"/>
  <c r="E22" i="2"/>
  <c r="E39" i="2"/>
  <c r="D22" i="2"/>
  <c r="D40" i="2" s="1"/>
  <c r="D32" i="2"/>
  <c r="D39" i="2"/>
  <c r="C39" i="2"/>
  <c r="C32" i="2"/>
  <c r="C22" i="2"/>
  <c r="C40" i="2" s="1"/>
  <c r="B13" i="3" l="1"/>
  <c r="C12" i="4"/>
  <c r="E12" i="4"/>
  <c r="F12" i="4"/>
  <c r="H12" i="4"/>
  <c r="J12" i="4"/>
  <c r="L12" i="4"/>
  <c r="N12" i="4"/>
  <c r="D12" i="4"/>
  <c r="G12" i="4"/>
  <c r="I12" i="4"/>
  <c r="K12" i="4"/>
  <c r="M12" i="4"/>
  <c r="E34" i="2"/>
  <c r="E36" i="2" s="1"/>
  <c r="E40" i="2"/>
  <c r="D34" i="2"/>
  <c r="D36" i="2" s="1"/>
  <c r="F34" i="2"/>
  <c r="F36" i="2" s="1"/>
  <c r="C34" i="2"/>
  <c r="B12" i="4" l="1"/>
  <c r="C36" i="2"/>
  <c r="D14" i="5"/>
  <c r="D15" i="5" s="1"/>
  <c r="E14" i="5"/>
  <c r="E15" i="5" s="1"/>
  <c r="C14" i="3"/>
  <c r="E14" i="3"/>
  <c r="E15" i="3" s="1"/>
  <c r="E34" i="3" s="1"/>
  <c r="E22" i="4" s="1"/>
  <c r="F14" i="3"/>
  <c r="F15" i="3" s="1"/>
  <c r="F34" i="3" s="1"/>
  <c r="F22" i="4" s="1"/>
  <c r="G14" i="3"/>
  <c r="G15" i="3" s="1"/>
  <c r="G34" i="3" s="1"/>
  <c r="G22" i="4" s="1"/>
  <c r="H14" i="3"/>
  <c r="H15" i="3" s="1"/>
  <c r="H34" i="3" s="1"/>
  <c r="H22" i="4" s="1"/>
  <c r="K14" i="3"/>
  <c r="K15" i="3" s="1"/>
  <c r="K34" i="3" s="1"/>
  <c r="K22" i="4" s="1"/>
  <c r="L14" i="3"/>
  <c r="L15" i="3" s="1"/>
  <c r="L34" i="3" s="1"/>
  <c r="L22" i="4" s="1"/>
  <c r="D14" i="3"/>
  <c r="D15" i="3" s="1"/>
  <c r="D34" i="3" s="1"/>
  <c r="D22" i="4" s="1"/>
  <c r="J14" i="3"/>
  <c r="J15" i="3" s="1"/>
  <c r="J34" i="3" s="1"/>
  <c r="J22" i="4" s="1"/>
  <c r="M14" i="3"/>
  <c r="M15" i="3" s="1"/>
  <c r="M34" i="3" s="1"/>
  <c r="M22" i="4" s="1"/>
  <c r="N14" i="3"/>
  <c r="N15" i="3" s="1"/>
  <c r="N34" i="3" s="1"/>
  <c r="N22" i="4" s="1"/>
  <c r="I14" i="3"/>
  <c r="I15" i="3" s="1"/>
  <c r="I34" i="3" s="1"/>
  <c r="I22" i="4" s="1"/>
  <c r="C14" i="5"/>
  <c r="C15" i="5" s="1"/>
  <c r="E38" i="2"/>
  <c r="E37" i="2"/>
  <c r="E41" i="2" s="1"/>
  <c r="F38" i="2"/>
  <c r="F37" i="2"/>
  <c r="F41" i="2" s="1"/>
  <c r="D38" i="2"/>
  <c r="D37" i="2"/>
  <c r="D41" i="2" s="1"/>
  <c r="C37" i="2" l="1"/>
  <c r="C41" i="2" s="1"/>
  <c r="C38" i="2"/>
  <c r="D20" i="5"/>
  <c r="D23" i="5" s="1"/>
  <c r="D25" i="5"/>
  <c r="D16" i="5"/>
  <c r="E20" i="5"/>
  <c r="E23" i="5" s="1"/>
  <c r="E25" i="5"/>
  <c r="E16" i="5"/>
  <c r="C15" i="3"/>
  <c r="B14" i="3"/>
  <c r="C16" i="5"/>
  <c r="C20" i="5"/>
  <c r="C23" i="5" s="1"/>
  <c r="C24" i="5" s="1"/>
  <c r="C25" i="5"/>
  <c r="D24" i="5" l="1"/>
  <c r="E24" i="5" s="1"/>
  <c r="C27" i="5" s="1"/>
  <c r="B15" i="3"/>
  <c r="C34" i="3"/>
  <c r="B34" i="3" l="1"/>
  <c r="C35" i="3"/>
  <c r="D35" i="3" s="1"/>
  <c r="E35" i="3" s="1"/>
  <c r="F35" i="3" s="1"/>
  <c r="G35" i="3" s="1"/>
  <c r="H35" i="3" s="1"/>
  <c r="I35" i="3" s="1"/>
  <c r="J35" i="3" s="1"/>
  <c r="K35" i="3" s="1"/>
  <c r="L35" i="3" s="1"/>
  <c r="M35" i="3" s="1"/>
  <c r="N35" i="3" s="1"/>
  <c r="B35" i="3" s="1"/>
  <c r="C22" i="4"/>
  <c r="B22" i="4" s="1"/>
</calcChain>
</file>

<file path=xl/sharedStrings.xml><?xml version="1.0" encoding="utf-8"?>
<sst xmlns="http://schemas.openxmlformats.org/spreadsheetml/2006/main" count="428" uniqueCount="266">
  <si>
    <t>Prévisions — budget, plan financier, prix et marges</t>
  </si>
  <si>
    <t>HEC GEMM Groupe 7 · Pôle Finance · Modèle vide créé le 27/10/2026, données à compléter</t>
  </si>
  <si>
    <t>Rubrique</t>
  </si>
  <si>
    <t>Contenu</t>
  </si>
  <si>
    <t>Objet</t>
  </si>
  <si>
    <t>Budget, plan financier, prix et marges (2 FINANCE/PREVISIONS/LISEZ-MOI.md).</t>
  </si>
  <si>
    <t>État du fichier</t>
  </si>
  <si>
    <t>Mis à jour le 27/10/2026 avec les données disponibles dans le dépôt (offre et prix du Produit, repères de marché du Marketing, coûts sourcés) et des hypothèses temporaires (H) pour les données manquantes. Liste des données manquantes et de ceux qui peuvent les fournir : 2 FINANCE/2026 1027 Données financières manquantes et hypothèses temporaires.md.</t>
  </si>
  <si>
    <t>Onglets</t>
  </si>
  <si>
    <t>« Prix et marges » : prix, coûts directs, marge, partage de la valeur et seuils d'une soirée, par offre. « Budget mensuel » : 12 mois (novembre 2026 à octobre 2027). « Prévu et réel » : à remplir dès le premier réel. « Plan financier 3 ans » : compte de résultat simplifié et besoin de financement.</t>
  </si>
  <si>
    <t>Offres modélisées</t>
  </si>
  <si>
    <t>Les trois soirées de l'offre A (Premier soir, Le Voyage, La Grande Nuit) et la privatisation de l'offre B avec un chef confirmé pour 10 convives, d'après 5 PRODUIT (offre, pricing, pilotes). Les prix y sont des propositions (P), non validées par l'équipe.</t>
  </si>
  <si>
    <t>Prévision et résultat</t>
  </si>
  <si>
    <t>Une prévision n'est pas un résultat : la comparer au réel dès qu'il est connu (onglet « Prévu et réel »), en citant la pièce du réel. Un objectif de chiffre d'affaires n'est pas une facture.</t>
  </si>
  <si>
    <t>Simplifications</t>
  </si>
  <si>
    <t>Prix affichés TTC convertis en HT avec un taux de TVA moyen (H). Ni impôt sur les sociétés, ni délais de paiement. Les acomptes et remboursements (seuil de 70 % à J-14) ne sont pas modélisés.</t>
  </si>
  <si>
    <t>Légende des cellules</t>
  </si>
  <si>
    <t>Cellule jaune, texte bleu : donnée à saisir. Cellule grise : formule, ne pas modifier. Texte vert : valeur reprise d'un autre onglet. Ligne verte « Exemple » : montre le format attendu, à remplacer ou supprimer.</t>
  </si>
  <si>
    <t>Colonne « Nature »</t>
  </si>
  <si>
    <t>F = fait constaté dans une pièce citée · I = inférence · P = proposition · H = hypothèse à valider (voir RULES.md). Si la pièce ne dit pas le chiffre : « non établi par les sources ».</t>
  </si>
  <si>
    <t>Colonne « Source »</t>
  </si>
  <si>
    <t>La pièce et l'endroit exact (ex. : S04, § Contexte, ou le nom de la note du dépôt). Signaler un chiffre tiré d'un argumentaire (plan d'affaires, présentation) plutôt que d'un document de gestion (facture, relevé, procès-verbal).</t>
  </si>
  <si>
    <t>Unités</t>
  </si>
  <si>
    <t>Montants en euros hors taxes, sauf mention contraire. Pourcentages saisis en % (ex. : 15 %).</t>
  </si>
  <si>
    <t>Cadre du projet</t>
  </si>
  <si>
    <t>Société d'événementiel : périodes vacantes de restaurants et de lieux avec cuisine, vivier de chefs d'exception, événements pour des communautés de foodies et pour des entreprises (privés éventuellement). Source : 1 DIRECTION/STRATEGIE/2026 1027 Descriptif du projet - Cadre de référence, décision D-01 du 27/10/2026.</t>
  </si>
  <si>
    <t>Références</t>
  </si>
  <si>
    <t>2 FINANCE/PREVISIONS/LISEZ-MOI.md · 2 FINANCE/AGENT.md · RULES.md · 5 PRODUIT (offre, pricing, pilotes) · 3 MARKETING/new project (concurrence, communication)</t>
  </si>
  <si>
    <t>Prix et marges d'une soirée</t>
  </si>
  <si>
    <t>Une offre par colonne. Lignes grises calculées. Montants HT sauf mention TTC.</t>
  </si>
  <si>
    <t>Valeurs du 27/10/2026 : prix et capacités proposés par le Produit (P) ; coûts en hypothèses temporaires (H), à remplacer par des devis.</t>
  </si>
  <si>
    <t>Poste</t>
  </si>
  <si>
    <t>Unité</t>
  </si>
  <si>
    <t>Premier soir (offre A)</t>
  </si>
  <si>
    <t>Le Voyage (offre A)</t>
  </si>
  <si>
    <t>La Grande Nuit (offre A)</t>
  </si>
  <si>
    <t>Privatisation, chef confirmé (offre B)</t>
  </si>
  <si>
    <t>Nature</t>
  </si>
  <si>
    <t>Source</t>
  </si>
  <si>
    <t>Fourni par</t>
  </si>
  <si>
    <t>1. Recettes</t>
  </si>
  <si>
    <t>Capacité</t>
  </si>
  <si>
    <t>couverts</t>
  </si>
  <si>
    <t>Taux de remplissage</t>
  </si>
  <si>
    <t>% des couverts</t>
  </si>
  <si>
    <t>Convives payants</t>
  </si>
  <si>
    <t>personnes</t>
  </si>
  <si>
    <t>Prix affiché TTC par convive</t>
  </si>
  <si>
    <t>€ TTC par personne</t>
  </si>
  <si>
    <t>Forfait affiché TTC par soirée (privatisation)</t>
  </si>
  <si>
    <t>€ TTC</t>
  </si>
  <si>
    <t>Taux de TVA moyen</t>
  </si>
  <si>
    <t>%</t>
  </si>
  <si>
    <t>Prix HT par convive</t>
  </si>
  <si>
    <t>€ HT par personne</t>
  </si>
  <si>
    <t>Forfait HT</t>
  </si>
  <si>
    <t>€ HT</t>
  </si>
  <si>
    <t>Minimum facturé (0 si aucun)</t>
  </si>
  <si>
    <t>Revenus complémentaires (partenariats, options)</t>
  </si>
  <si>
    <t>Chiffre d'affaires de la soirée</t>
  </si>
  <si>
    <t>2. Coûts directs de la soirée</t>
  </si>
  <si>
    <t>Mise à disposition du lieu (restaurateur)</t>
  </si>
  <si>
    <t>Chef : cachet et déplacement (part fixe)</t>
  </si>
  <si>
    <t>Chef : part du chiffre d'affaires</t>
  </si>
  <si>
    <t>% du CA</t>
  </si>
  <si>
    <t>Rémunération du chef</t>
  </si>
  <si>
    <t>Matières premières par convive</t>
  </si>
  <si>
    <t>Vins ou jus d'accord par convive</t>
  </si>
  <si>
    <t>Matières et boissons</t>
  </si>
  <si>
    <t>Ménage et remise en état du lieu</t>
  </si>
  <si>
    <t>Assurance de la soirée</t>
  </si>
  <si>
    <t>Décor, souvenir numéroté, petit matériel</t>
  </si>
  <si>
    <t>Frais de paiement</t>
  </si>
  <si>
    <t>Commission d'apporteur (concierge, agence)</t>
  </si>
  <si>
    <t>Frais et commissions</t>
  </si>
  <si>
    <t>Autres coûts directs (photographe)</t>
  </si>
  <si>
    <t>Total des coûts directs</t>
  </si>
  <si>
    <t>3. Marge, partage de la valeur et seuils</t>
  </si>
  <si>
    <t>Marge sur coûts directs</t>
  </si>
  <si>
    <t>Taux de marge</t>
  </si>
  <si>
    <t>Marge par convive payant</t>
  </si>
  <si>
    <t>Part du lieu</t>
  </si>
  <si>
    <t>Part du chef</t>
  </si>
  <si>
    <t>Part de la société (marge)</t>
  </si>
  <si>
    <t>Prix plancher TTC par convive (marge nulle, hors minimum)</t>
  </si>
  <si>
    <t>Taux de remplissage d'équilibre au prix affiché</t>
  </si>
  <si>
    <t>P</t>
  </si>
  <si>
    <t>5 PRODUIT/Fou d'un soir le pricing.md (@Fréd, 27/10/2026) ; offre B : exemple « table de 10 avec un chef confirmé », usage de l'hôte d'affaires (5 PRODUIT/Fou d'un soir l'offre.md)</t>
  </si>
  <si>
    <t>Produit</t>
  </si>
  <si>
    <t>H</t>
  </si>
  <si>
    <t>Hypothèse temporaire. Seuil de confirmation proposé : 70 % des sièges vendus à J-14 (5 PRODUIT, plan des deux soirées pilotes) ; privatisation : groupe du client</t>
  </si>
  <si>
    <t>Finance</t>
  </si>
  <si>
    <t>5 PRODUIT/Fou d'un soir le pricing.md (@Fréd, 27/10/2026), prix des soirées et grille de privatisation (prix TTC tout compris)</t>
  </si>
  <si>
    <t>5 PRODUIT/Fou d'un soir le pricing.md (@Fréd, 27/10/2026), forfait de privatisation chef confirmé ; H : forfait supposé TTC comme les prix de l'offre A</t>
  </si>
  <si>
    <t>Taux mixte (le pricing le signale « à vérifier avec la finance ») : 10 % sur la restauration, 20 % sur les boissons alcoolisées (règle fiscale à confirmer par un expert-comptable) ; H : boissons alcoolisées environ 20 % du prix</t>
  </si>
  <si>
    <t>Aucun minimum prévu par le Produit</t>
  </si>
  <si>
    <t>Non établi par les sources : partenariats vins et champagne envisagés, aucun accord</t>
  </si>
  <si>
    <t>Ventes</t>
  </si>
  <si>
    <t>F location de restaurants à Paris de 35 à 620 €/h, moyenne environ 373 à 386 €/h (Giggster) ; privatisation « à partir de 2 916 € » (Privateaser), cités dans 3 MARKETING/old project/MARCHE. La cible du Produit (11 à 12 % du prix HT) donnerait 750 à 1 350 € : écart signalé</t>
  </si>
  <si>
    <t>Calé sur la répartition cible du Produit (chef 15 / 22 / 30 % du prix HT, P, 5 PRODUIT/Fou d'un soir le pricing.md (@Fréd, 27/10/2026)) ; F chef privé 500 à 1 400 € par jour hors matières (Chefs Talents 2026, cité dans 3 MARKETING/new project/3 Concurrence)</t>
  </si>
  <si>
    <t>Rémunération du chef supposée entièrement fixe ; une part variable reste possible (descriptif du projet 3, § 6)</t>
  </si>
  <si>
    <t>Calé sur la cible du Produit (matières et vins 33 / 30 / 27 % du prix HT, P) ; F ratio matières et boissons idéalement sous 35 % (Keobiz, cité dans le descriptif du projet 3)</t>
  </si>
  <si>
    <t>Opérations</t>
  </si>
  <si>
    <t>Même source ; accord mets-jus au même coût que l'accord mets-vins (pricing : « coût réel reste à chiffrer »)</t>
  </si>
  <si>
    <t>Hypothèse temporaire ; cible « frais » du Produit 8 / 6 / 5 % du prix HT</t>
  </si>
  <si>
    <t>Hypothèse temporaire, devis d'assureur à obtenir</t>
  </si>
  <si>
    <t>Juridique</t>
  </si>
  <si>
    <t>Hypothèse temporaire (menu numéroté, souvenir, mise en scène)</t>
  </si>
  <si>
    <t>F Stripe 1,5 % + 0,25 € par carte européenne (stripe.com/fr/pricing, consulté le 27/10/2026), arrondi à 1,6 % ; privatisation réglée par virement (H)</t>
  </si>
  <si>
    <t>F honoraires d'agence 10 à 20 % du budget (BlackTrombone 2026, cité dans le descriptif du projet 3) ; part des ventes via les concierges à mesurer pendant les pilotes</t>
  </si>
  <si>
    <t>Marketing</t>
  </si>
  <si>
    <t>Photographe une demi-journée ; F tarif journalier 410 à 520 € (Malt, via Modèles de Business Plan, 15/09/2026) ; pas de photo en privatisation (confidentialité)</t>
  </si>
  <si>
    <t>Budget mensuel sur 12 mois</t>
  </si>
  <si>
    <t>Nombre de soirées et charges fixes saisis par mois ; recettes et coûts directs repris de l'onglet Prix et marges.</t>
  </si>
  <si>
    <t>Premier mois du budget (date) :</t>
  </si>
  <si>
    <t>H : préparation en novembre et décembre 2026, Premier soir en janvier 2027 (rétroplanning de 10 semaines des pilotes)</t>
  </si>
  <si>
    <t>Total 12 mois</t>
  </si>
  <si>
    <t>Activité (nombre de soirées)</t>
  </si>
  <si>
    <t>Premier soir</t>
  </si>
  <si>
    <t>Le Voyage</t>
  </si>
  <si>
    <t>La Grande Nuit</t>
  </si>
  <si>
    <t>Privatisations (chef confirmé)</t>
  </si>
  <si>
    <t>Nombre total de soirées</t>
  </si>
  <si>
    <t>Chiffre d'affaires et marge</t>
  </si>
  <si>
    <t>Chiffre d'affaires</t>
  </si>
  <si>
    <t>Coûts directs</t>
  </si>
  <si>
    <t>Locaux et bureaux</t>
  </si>
  <si>
    <t>Logiciels et outils (site, billetterie, CRM)</t>
  </si>
  <si>
    <t>Marketing et communication</t>
  </si>
  <si>
    <t>Assurance responsabilité civile professionnelle</t>
  </si>
  <si>
    <t>Honoraires (comptable, juridique)</t>
  </si>
  <si>
    <t>Banque</t>
  </si>
  <si>
    <t>Déplacements</t>
  </si>
  <si>
    <t>Autres charges (création de la société)</t>
  </si>
  <si>
    <t>Résultat</t>
  </si>
  <si>
    <t>Résultat d'exploitation du mois</t>
  </si>
  <si>
    <t>Résultat cumulé</t>
  </si>
  <si>
    <t>H : une soirée de l'offre A par mois (5 PRODUIT, offre, « Rythme et unicité ») ; pilotes Premier soir puis La Grande Nuit à cinq semaines d'écart (plan des pilotes)</t>
  </si>
  <si>
    <t>H : privatisations après la décision de S+7 ; 2 par mois en septembre et octobre, période la plus demandée (F Prestagency, cité dans le descriptif du projet 3) ; août sans soirée</t>
  </si>
  <si>
    <t>H : fondateurs non rémunérés la première année</t>
  </si>
  <si>
    <t>H : pas de bureaux, travail à distance</t>
  </si>
  <si>
    <t>H : site, billetterie et fichier clients ; devis à obtenir</t>
  </si>
  <si>
    <t>H : 300 €/mois (contenus, cartes, coffrets) + 3 dîners de concierges à 1 200 € (2 à 3 dîners prévus par 3 MARKETING/new project/4 Communication)</t>
  </si>
  <si>
    <t>F 200 à 300 €/an pour une start-up en amorçage (Coover 2026) ; H : doublé pour une activité d'événements, devis à demander</t>
  </si>
  <si>
    <t>H : expert-comptable 100 €/mois ; contrats types lieux, chefs et clients 1 500 € en novembre</t>
  </si>
  <si>
    <t>H : compte professionnel et terminal de paiement</t>
  </si>
  <si>
    <t>H : repérage des lieux et rendez-vous</t>
  </si>
  <si>
    <t>F</t>
  </si>
  <si>
    <t>Création d'une SAS : 252 € (immatriculation, annonce légale, bénéficiaires effectifs ; LegalPlace, 06/08/2026, cité dans PRODUCTIONS ASSISTANTS/2026 1027 Synthèse marketing…)</t>
  </si>
  <si>
    <t>Prévu et réel, mois par mois</t>
  </si>
  <si>
    <t>Le prévu vient du budget mensuel ; saisir le réel dès qu'il est connu, avec sa pièce. Aucun réel au 27/10/2026.</t>
  </si>
  <si>
    <t>Indicateur</t>
  </si>
  <si>
    <t>Nombre de soirées</t>
  </si>
  <si>
    <t>Prévu</t>
  </si>
  <si>
    <t>Réel</t>
  </si>
  <si>
    <t>Écart (réel − prévu)</t>
  </si>
  <si>
    <t>Résultat d'exploitation</t>
  </si>
  <si>
    <t>Pièces du réel</t>
  </si>
  <si>
    <t>Pièce justifiant le réel (comptabilité, relevé, factures)</t>
  </si>
  <si>
    <t>Plan financier sur 3 ans (simplifié)</t>
  </si>
  <si>
    <t>Prix et coûts par soirée constants (onglet Prix et marges). Ni TVA, ni impôt, ni délais de paiement.</t>
  </si>
  <si>
    <t>Année 1</t>
  </si>
  <si>
    <t>Année 2</t>
  </si>
  <si>
    <t>Année 3</t>
  </si>
  <si>
    <t>Activité</t>
  </si>
  <si>
    <t>soirées par an</t>
  </si>
  <si>
    <t>Privatisations</t>
  </si>
  <si>
    <t>Compte de résultat simplifié</t>
  </si>
  <si>
    <t>€ HT par an</t>
  </si>
  <si>
    <t>Besoin de financement</t>
  </si>
  <si>
    <t>Investissements (site, identité, coffrets, matériel)</t>
  </si>
  <si>
    <t>Flux de l'année (résultat − investissements)</t>
  </si>
  <si>
    <t>€</t>
  </si>
  <si>
    <t>Flux cumulé</t>
  </si>
  <si>
    <t>Seuil de rentabilité</t>
  </si>
  <si>
    <t>Besoin de financement (point bas du flux cumulé)</t>
  </si>
  <si>
    <t>Année 1 : nombre de soirées et charges fixes repris du budget mensuel (texte vert). Années 2 et 3 : hypothèses temporaires. Le financement se suit dans 2 FINANCE/FINANCEMENT.</t>
  </si>
  <si>
    <t>Année 1 : budget mensuel. H : 2 soirées A par mois en année 2, 3 en année 3 ; privatisations et contrats cadres de 2 à 4 soirées par an et par client (5 PRODUIT, offre ; 3 MARKETING, personas)</t>
  </si>
  <si>
    <t>H : site et identité visuelle, coffrets cadeaux numérotés, petit matériel de service</t>
  </si>
  <si>
    <t>Frais généraux : 1. Ressources humaines</t>
  </si>
  <si>
    <t>Rémunération des fondateurs (brut)</t>
  </si>
  <si>
    <t>Salaires des employés (brut)</t>
  </si>
  <si>
    <t>H : aucun salarié la première année</t>
  </si>
  <si>
    <t>Charges sociales patronales</t>
  </si>
  <si>
    <t>H : aucune rémunération versée, donc aucune charge</t>
  </si>
  <si>
    <t>Stagiaires et indépendants</t>
  </si>
  <si>
    <t>H : aucun la première année</t>
  </si>
  <si>
    <t>Total ressources humaines</t>
  </si>
  <si>
    <t>Frais généraux : 2. Frais matériels et de fonctionnement</t>
  </si>
  <si>
    <t>Total frais matériels et de fonctionnement</t>
  </si>
  <si>
    <t>Total des frais généraux</t>
  </si>
  <si>
    <t>Frais généraux des années 2 et 3</t>
  </si>
  <si>
    <t>Ressources humaines poste par poste, puis frais matériels et de fonctionnement. L'année 1 est détaillée mois par mois dans le budget mensuel.</t>
  </si>
  <si>
    <t>Taux de charges sociales patronales</t>
  </si>
  <si>
    <t>H : ordre de grandeur hors allègements (la réduction générale abaisse fortement ce taux près du SMIC) ; à faire confirmer par l'expert-comptable</t>
  </si>
  <si>
    <t>1. Ressources humaines</t>
  </si>
  <si>
    <t>Effectif</t>
  </si>
  <si>
    <t>Salaire brut mensuel par personne (€)</t>
  </si>
  <si>
    <t>Mois payés en année 2</t>
  </si>
  <si>
    <t>Mois payés en année 3</t>
  </si>
  <si>
    <t>Coût chargé année 2 (€)</t>
  </si>
  <si>
    <t>Coût chargé année 3 (€)</t>
  </si>
  <si>
    <t>Fondateurs (rémunération)</t>
  </si>
  <si>
    <t>H : deux fondateurs rémunérés à partir de l'année 3 ; montant à décider par la Direction</t>
  </si>
  <si>
    <t>Coordinateur ou coordinatrice d'événements</t>
  </si>
  <si>
    <t>F SMIC brut de 1 867,02 € par mois au 01/06/2026 (Éditions Tissot, 26/05/2026) ; H : poste à temps plein dès l'année 2</t>
  </si>
  <si>
    <t>Commercial ou commerciale entreprises</t>
  </si>
  <si>
    <t>H : recrutement en année 3 pour les privatisations et les contrats cadres ; salaire à vérifier (grille de rémunération)</t>
  </si>
  <si>
    <t>2. Frais matériels et de fonctionnement</t>
  </si>
  <si>
    <t>Année 2 (€)</t>
  </si>
  <si>
    <t>Année 3 (€)</t>
  </si>
  <si>
    <t>H : travail à distance en année 2 ; coworking pour 3 postes à 300 € par mois en année 3</t>
  </si>
  <si>
    <t>Logiciels et outils (site, billetterie, fichier clients)</t>
  </si>
  <si>
    <t>H : montée en charge des outils</t>
  </si>
  <si>
    <t>H : contenus, dîners de concierges, coffrets, relations presse</t>
  </si>
  <si>
    <t>F 1 000 à 1 500 € par an au-delà de 1 M€ de chiffre d'affaires (Coover 2026) ; H : devis à obtenir</t>
  </si>
  <si>
    <t>H : comptabilité, paie dès le premier salarié, contrats</t>
  </si>
  <si>
    <t>H : repérage de lieux, rencontres de chefs</t>
  </si>
  <si>
    <t>Autres frais</t>
  </si>
  <si>
    <t>Frais de ressources humaines</t>
  </si>
  <si>
    <t>Frais matériels et de fonctionnement</t>
  </si>
  <si>
    <t>Année 1 : budget mensuel (ligne 21). Années 2 et 3 : onglet Frais généraux 3 ans, poste par poste</t>
  </si>
  <si>
    <t>Année 1 : budget mensuel (ligne 31). Années 2 et 3 : onglet Frais généraux 3 ans</t>
  </si>
  <si>
    <t>Somme des deux lignes précédentes</t>
  </si>
  <si>
    <t>Frais généraux</t>
  </si>
  <si>
    <t>Mis à jour le 28/10/2026 : frais généraux divisés en ressources humaines (fondateurs, salariés, charges sociales, stagiaires et indépendants) et frais matériels et de fonctionnement (locaux, outils, marketing, assurance, honoraires, banque, déplacements, autres). Année 1 : budget mensuel. Années 2 et 3 : onglet « Frais généraux 3 ans ».</t>
  </si>
  <si>
    <t>Staffing d'une soirée : effectifs des Opérations × heures × coût horaire</t>
  </si>
  <si>
    <t>Effectifs repris du calculateur des Opérations (propositions, catégorie C2). Heures et coûts horaires : hypothèses temporaires, aucun devis à ce jour.</t>
  </si>
  <si>
    <t>Service de salle fourni par :</t>
  </si>
  <si>
    <t>Nous</t>
  </si>
  <si>
    <t>Question non tranchée (Produit, pricing point 3 ; Opérations, note § 3.4). « Restaurant » sort les postes de salle du coût ; la part du restaurateur (Prix et marges, ligne 19) devrait alors augmenter.</t>
  </si>
  <si>
    <t>Rôle</t>
  </si>
  <si>
    <t>Heures par personne</t>
  </si>
  <si>
    <t>Coût horaire chargé (€)</t>
  </si>
  <si>
    <t>Privatisation (table de 10)</t>
  </si>
  <si>
    <t>Poste de salle (1 = oui)</t>
  </si>
  <si>
    <t>Source et nature</t>
  </si>
  <si>
    <t>Brigade (second, commis)</t>
  </si>
  <si>
    <t>Effectifs P (Opérations). H : 9 h (mise en place et service) à 35 €/h, coût d'un extra retenu dans le descriptif du projet 3 (H), à confirmer par devis</t>
  </si>
  <si>
    <t>Maître d'hôtel</t>
  </si>
  <si>
    <t>Effectifs P (Opérations). H : 8 h à 45 €/h</t>
  </si>
  <si>
    <t>Serveurs (base)</t>
  </si>
  <si>
    <t>Effectifs P (Opérations : 1 serveur pour 7 couverts). H : 7 h à 35 €/h</t>
  </si>
  <si>
    <t>Serveur de réserve</t>
  </si>
  <si>
    <t>Effectifs P (Opérations : 1 en criticité C2 et C3). H : 7 h à 35 €/h</t>
  </si>
  <si>
    <t>Sommelier invité</t>
  </si>
  <si>
    <t>Effectifs P (Opérations). H : 7 h à 60 €/h, cachet à négocier</t>
  </si>
  <si>
    <t>Aide sommelier</t>
  </si>
  <si>
    <t>Effectifs P (Opérations : à partir de 20 couverts). H : 7 h à 38 €/h</t>
  </si>
  <si>
    <t>Plongeurs</t>
  </si>
  <si>
    <t>Effectifs P (Opérations). H : 7 h à 30 €/h</t>
  </si>
  <si>
    <t>Responsable de production (nous)</t>
  </si>
  <si>
    <t>Effectifs P (Opérations). H : assuré par un fondateur, non rémunéré la première année (coût dans les frais généraux)</t>
  </si>
  <si>
    <t>Interlocuteur client (Ventes)</t>
  </si>
  <si>
    <t>Effectifs P (Opérations : en C2 et C3). H : assuré par un fondateur, non rémunéré la première année</t>
  </si>
  <si>
    <t>Chef invité : 1 par soirée, compté à part (cachet, Prix et marges ligne 20)</t>
  </si>
  <si>
    <t>Personnes mobilisées, hors chef</t>
  </si>
  <si>
    <t>dont postes de salle</t>
  </si>
  <si>
    <t>Heures de travail payées</t>
  </si>
  <si>
    <t>Coût de l'équipe de la soirée (€ HT)</t>
  </si>
  <si>
    <t>Source des effectifs : 6 OPERATIONS/PRODUCTION/2026 1028 Calculateur de staffing par événement.xlsx et 2026 1028 Typologie des événements, process et staffing.md (Opérations, 28/10/2026 ; colonnes Pilote 1, Le Voyage, Pilote 2 et Table d'affaires). Pour une soirée récurrente en criticité C1, le serveur de réserve et l'interlocuteur client ne sont pas nécessaires.</t>
  </si>
  <si>
    <t>P / H</t>
  </si>
  <si>
    <t>Onglet Staffing : effectifs des Opérations (P, 6 OPERATIONS/PRODUCTION/2026 1028 Calculateur de staffing par événement.xlsx et 2026 1028 Typologie des événements, process et staffing.md) × heures et coûts horaires (H). Remplace la cible du Produit (14 / 12 / 11 % du prix HT) utilisée le 27/10/2026</t>
  </si>
  <si>
    <t>Équipe de service, brigade, sommelier et plonge</t>
  </si>
  <si>
    <t>Staffing</t>
  </si>
  <si>
    <t>Mis à jour le 28/10/2026 : le coût de l'équipe de chaque soirée (Prix et marges, ligne 26) est calculé dans l'onglet « Staffing » à partir des effectifs proposés par les Opérations (6 OPERATIONS/PRODUCTION/2026 1028 Calculateur de staffing par événement.xlsx et 2026 1028 Typologie des événements, process et staffing.md), multipliés par des heures et des coûts horaires en hypothèse (H). Le choix « service de salle fourni par le restaurant » y est modifiable.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</si>
</sst>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quot;-&quot;"/>
    <numFmt numFmtId="165" formatCode="0.0%;\-0.0%;&quot;-&quot;"/>
    <numFmt numFmtId="166" formatCode="#,##0.00\ &quot;€&quot;;\-#,##0.00\ &quot;€&quot;;&quot;-&quot;"/>
    <numFmt numFmtId="167" formatCode="#,##0\ &quot;€&quot;;\-#,##0\ &quot;€&quot;;&quot;-&quot;"/>
    <numFmt numFmtId="168" formatCode="mmm\ yyyy"/>
    <numFmt numFmtId="169" formatCode="#,##0.0;\-#,##0.0;&quot;-&quot;"/>
  </numFmts>
  <fonts count="15" x14ac:knownFonts="1">
    <font>
      <sz val="11"/>
      <color theme="1"/>
      <name val="Aptos Narrow"/>
      <family val="2"/>
      <scheme val="minor"/>
    </font>
    <font>
      <sz val="10"/>
      <color theme="1"/>
      <name val="Arial"/>
      <family val="2"/>
    </font>
    <font>
      <b/>
      <sz val="10"/>
      <color theme="1"/>
      <name val="Arial"/>
      <family val="2"/>
    </font>
    <font>
      <b/>
      <sz val="14"/>
      <color theme="1"/>
      <name val="Arial"/>
      <family val="2"/>
    </font>
    <font>
      <i/>
      <sz val="10"/>
      <color theme="1"/>
      <name val="Arial"/>
      <family val="2"/>
    </font>
    <font>
      <b/>
      <sz val="10"/>
      <color rgb="FFFFFFFF"/>
      <name val="Arial"/>
      <family val="2"/>
    </font>
    <font>
      <sz val="10"/>
      <color rgb="FF0000FF"/>
      <name val="Arial"/>
      <family val="2"/>
    </font>
    <font>
      <sz val="10"/>
      <color rgb="FF000000"/>
      <name val="Arial"/>
      <family val="2"/>
    </font>
    <font>
      <b/>
      <sz val="10"/>
      <color rgb="FF000000"/>
      <name val="Arial"/>
      <family val="2"/>
    </font>
    <font>
      <b/>
      <sz val="10"/>
      <color rgb="FF008000"/>
      <name val="Arial"/>
      <family val="2"/>
    </font>
    <font>
      <sz val="10"/>
      <color rgb="FF008000"/>
      <name val="Arial"/>
      <family val="2"/>
    </font>
    <font>
      <b/>
      <sz val="11"/>
      <color theme="1"/>
      <name val="Aptos Narrow"/>
      <family val="2"/>
      <scheme val="minor"/>
    </font>
    <font>
      <sz val="11"/>
      <color rgb="FF0000FF"/>
      <name val="Aptos Narrow"/>
      <family val="2"/>
      <scheme val="minor"/>
    </font>
    <font>
      <b/>
      <sz val="11"/>
      <color rgb="FF000000"/>
      <name val="Aptos Narrow"/>
      <family val="2"/>
      <scheme val="minor"/>
    </font>
    <font>
      <sz val="11"/>
      <color rgb="FF008000"/>
      <name val="Aptos Narrow"/>
      <family val="2"/>
      <scheme val="minor"/>
    </font>
  </fonts>
  <fills count="7">
    <fill>
      <patternFill patternType="none"/>
    </fill>
    <fill>
      <patternFill patternType="gray125"/>
    </fill>
    <fill>
      <patternFill patternType="solid">
        <fgColor rgb="FF1F3864"/>
        <bgColor indexed="64"/>
      </patternFill>
    </fill>
    <fill>
      <patternFill patternType="solid">
        <fgColor rgb="FFDDEBF7"/>
        <bgColor indexed="64"/>
      </patternFill>
    </fill>
    <fill>
      <patternFill patternType="solid">
        <fgColor rgb="FFFFF2CC"/>
        <bgColor indexed="64"/>
      </patternFill>
    </fill>
    <fill>
      <patternFill patternType="solid">
        <fgColor rgb="FFF2F2F2"/>
        <bgColor indexed="64"/>
      </patternFill>
    </fill>
    <fill>
      <patternFill patternType="solid">
        <fgColor rgb="FFD9D9D9"/>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5">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5" fillId="2" borderId="0" xfId="0" applyFont="1" applyFill="1" applyAlignment="1">
      <alignment vertical="center" wrapText="1"/>
    </xf>
    <xf numFmtId="0" fontId="1" fillId="0" borderId="0" xfId="0" applyFont="1" applyAlignment="1">
      <alignment wrapText="1"/>
    </xf>
    <xf numFmtId="0" fontId="2" fillId="0" borderId="0" xfId="0" applyFont="1" applyAlignment="1">
      <alignment vertical="top"/>
    </xf>
    <xf numFmtId="0" fontId="1" fillId="0" borderId="0" xfId="0" applyFont="1" applyAlignment="1">
      <alignment vertical="top" wrapText="1"/>
    </xf>
    <xf numFmtId="0" fontId="2" fillId="3" borderId="0" xfId="0" applyFont="1" applyFill="1"/>
    <xf numFmtId="0" fontId="6" fillId="4" borderId="1" xfId="0" applyFont="1" applyFill="1" applyBorder="1"/>
    <xf numFmtId="164" fontId="6" fillId="4" borderId="1" xfId="0" applyNumberFormat="1" applyFont="1" applyFill="1" applyBorder="1"/>
    <xf numFmtId="164" fontId="7" fillId="5" borderId="1" xfId="0" applyNumberFormat="1" applyFont="1" applyFill="1" applyBorder="1"/>
    <xf numFmtId="164" fontId="8" fillId="5" borderId="1" xfId="0" applyNumberFormat="1" applyFont="1" applyFill="1" applyBorder="1"/>
    <xf numFmtId="167" fontId="6" fillId="4" borderId="1" xfId="0" applyNumberFormat="1" applyFont="1" applyFill="1" applyBorder="1"/>
    <xf numFmtId="167" fontId="7" fillId="5" borderId="1" xfId="0" applyNumberFormat="1" applyFont="1" applyFill="1" applyBorder="1"/>
    <xf numFmtId="167" fontId="8" fillId="5" borderId="1" xfId="0" applyNumberFormat="1" applyFont="1" applyFill="1" applyBorder="1"/>
    <xf numFmtId="0" fontId="6" fillId="4" borderId="1" xfId="0" applyFont="1" applyFill="1" applyBorder="1" applyAlignment="1">
      <alignment wrapText="1"/>
    </xf>
    <xf numFmtId="0" fontId="1" fillId="0" borderId="0" xfId="0" applyFont="1" applyAlignment="1">
      <alignment vertical="top"/>
    </xf>
    <xf numFmtId="164" fontId="6" fillId="4" borderId="1" xfId="0" applyNumberFormat="1" applyFont="1" applyFill="1" applyBorder="1" applyAlignment="1">
      <alignment vertical="top"/>
    </xf>
    <xf numFmtId="0" fontId="6" fillId="4" borderId="1" xfId="0" applyFont="1" applyFill="1" applyBorder="1" applyAlignment="1">
      <alignment vertical="top"/>
    </xf>
    <xf numFmtId="0" fontId="6" fillId="4" borderId="1" xfId="0" applyFont="1" applyFill="1" applyBorder="1" applyAlignment="1">
      <alignment vertical="top" wrapText="1"/>
    </xf>
    <xf numFmtId="165" fontId="6" fillId="4" borderId="1" xfId="0" applyNumberFormat="1" applyFont="1" applyFill="1" applyBorder="1" applyAlignment="1">
      <alignment vertical="top"/>
    </xf>
    <xf numFmtId="164" fontId="8" fillId="5" borderId="1" xfId="0" applyNumberFormat="1" applyFont="1" applyFill="1" applyBorder="1" applyAlignment="1">
      <alignment vertical="top"/>
    </xf>
    <xf numFmtId="166" fontId="6" fillId="4" borderId="1" xfId="0" applyNumberFormat="1" applyFont="1" applyFill="1" applyBorder="1" applyAlignment="1">
      <alignment vertical="top"/>
    </xf>
    <xf numFmtId="167" fontId="6" fillId="4" borderId="1" xfId="0" applyNumberFormat="1" applyFont="1" applyFill="1" applyBorder="1" applyAlignment="1">
      <alignment vertical="top"/>
    </xf>
    <xf numFmtId="166" fontId="8" fillId="5" borderId="1" xfId="0" applyNumberFormat="1" applyFont="1" applyFill="1" applyBorder="1" applyAlignment="1">
      <alignment vertical="top"/>
    </xf>
    <xf numFmtId="167" fontId="8" fillId="5" borderId="1" xfId="0" applyNumberFormat="1" applyFont="1" applyFill="1" applyBorder="1" applyAlignment="1">
      <alignment vertical="top"/>
    </xf>
    <xf numFmtId="0" fontId="2" fillId="3" borderId="0" xfId="0" applyFont="1" applyFill="1" applyAlignment="1">
      <alignment vertical="top"/>
    </xf>
    <xf numFmtId="0" fontId="2" fillId="3" borderId="0" xfId="0" applyFont="1" applyFill="1" applyAlignment="1">
      <alignment vertical="top" wrapText="1"/>
    </xf>
    <xf numFmtId="165" fontId="8" fillId="5" borderId="1" xfId="0" applyNumberFormat="1" applyFont="1" applyFill="1" applyBorder="1" applyAlignment="1">
      <alignment vertical="top"/>
    </xf>
    <xf numFmtId="168" fontId="6" fillId="4" borderId="1" xfId="0" applyNumberFormat="1" applyFont="1" applyFill="1" applyBorder="1"/>
    <xf numFmtId="168" fontId="5" fillId="2" borderId="0" xfId="0" applyNumberFormat="1" applyFont="1" applyFill="1" applyAlignment="1">
      <alignment horizontal="right"/>
    </xf>
    <xf numFmtId="167" fontId="9" fillId="5" borderId="1" xfId="0" applyNumberFormat="1" applyFont="1" applyFill="1" applyBorder="1"/>
    <xf numFmtId="164" fontId="10" fillId="5" borderId="1" xfId="0" applyNumberFormat="1" applyFont="1" applyFill="1" applyBorder="1"/>
    <xf numFmtId="167" fontId="10" fillId="5" borderId="1" xfId="0" applyNumberFormat="1" applyFont="1" applyFill="1" applyBorder="1"/>
    <xf numFmtId="164" fontId="10" fillId="5" borderId="1" xfId="0" applyNumberFormat="1" applyFont="1" applyFill="1" applyBorder="1" applyAlignment="1">
      <alignment vertical="top"/>
    </xf>
    <xf numFmtId="167" fontId="9" fillId="5" borderId="1" xfId="0" applyNumberFormat="1" applyFont="1" applyFill="1" applyBorder="1" applyAlignment="1">
      <alignment vertical="top"/>
    </xf>
    <xf numFmtId="169" fontId="8" fillId="5" borderId="1" xfId="0" applyNumberFormat="1" applyFont="1" applyFill="1" applyBorder="1" applyAlignment="1">
      <alignment vertical="top"/>
    </xf>
    <xf numFmtId="0" fontId="12" fillId="4" borderId="1" xfId="0" applyFont="1" applyFill="1" applyBorder="1"/>
    <xf numFmtId="167" fontId="12" fillId="4" borderId="1" xfId="0" applyNumberFormat="1" applyFont="1" applyFill="1" applyBorder="1"/>
    <xf numFmtId="167" fontId="13" fillId="5" borderId="1" xfId="0" applyNumberFormat="1" applyFont="1" applyFill="1" applyBorder="1"/>
    <xf numFmtId="0" fontId="11" fillId="3" borderId="0" xfId="0" applyFont="1" applyFill="1"/>
    <xf numFmtId="0" fontId="11" fillId="0" borderId="0" xfId="0" applyFont="1"/>
    <xf numFmtId="0" fontId="2" fillId="6" borderId="0" xfId="0" applyFont="1" applyFill="1"/>
    <xf numFmtId="167" fontId="8" fillId="6" borderId="1" xfId="0" applyNumberFormat="1" applyFont="1" applyFill="1" applyBorder="1"/>
    <xf numFmtId="165" fontId="6" fillId="4" borderId="1" xfId="0" applyNumberFormat="1" applyFont="1" applyFill="1" applyBorder="1"/>
    <xf numFmtId="167" fontId="7" fillId="5" borderId="1" xfId="0" applyNumberFormat="1" applyFont="1" applyFill="1" applyBorder="1" applyAlignment="1">
      <alignment vertical="top"/>
    </xf>
    <xf numFmtId="0" fontId="5" fillId="2" borderId="0" xfId="0" applyFont="1" applyFill="1" applyAlignment="1">
      <alignment vertical="top" wrapText="1"/>
    </xf>
    <xf numFmtId="167" fontId="14" fillId="5" borderId="1" xfId="0" applyNumberFormat="1" applyFont="1" applyFill="1" applyBorder="1"/>
    <xf numFmtId="0" fontId="12" fillId="4" borderId="1" xfId="0" applyFont="1" applyFill="1" applyBorder="1" applyAlignment="1">
      <alignment wrapText="1"/>
    </xf>
    <xf numFmtId="169" fontId="6" fillId="4" borderId="1" xfId="0" applyNumberFormat="1" applyFont="1" applyFill="1" applyBorder="1" applyAlignment="1">
      <alignment vertical="top"/>
    </xf>
    <xf numFmtId="1" fontId="6" fillId="4" borderId="1" xfId="0" applyNumberFormat="1" applyFont="1" applyFill="1" applyBorder="1" applyAlignment="1">
      <alignment vertical="top"/>
    </xf>
    <xf numFmtId="167" fontId="10" fillId="5" borderId="1" xfId="0" applyNumberFormat="1" applyFont="1" applyFill="1" applyBorder="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A644DB-8C71-4A8A-A457-0A27A3813ADD}">
  <dimension ref="A1:B18"/>
  <sheetViews>
    <sheetView tabSelected="1" zoomScaleNormal="100" workbookViewId="0"/>
  </sheetViews>
  <sheetFormatPr baseColWidth="10" defaultRowHeight="12.5" x14ac:dyDescent="0.25"/>
  <cols>
    <col min="1" max="1" width="26.6328125" style="1" customWidth="1"/>
    <col min="2" max="2" width="110.6328125" style="1" customWidth="1"/>
    <col min="3" max="16384" width="10.90625" style="1"/>
  </cols>
  <sheetData>
    <row r="1" spans="1:2" ht="18" x14ac:dyDescent="0.4">
      <c r="A1" s="3" t="s">
        <v>0</v>
      </c>
    </row>
    <row r="2" spans="1:2" ht="13" x14ac:dyDescent="0.3">
      <c r="A2" s="4" t="s">
        <v>1</v>
      </c>
    </row>
    <row r="4" spans="1:2" ht="13" x14ac:dyDescent="0.25">
      <c r="A4" s="6" t="s">
        <v>2</v>
      </c>
      <c r="B4" s="6" t="s">
        <v>3</v>
      </c>
    </row>
    <row r="5" spans="1:2" ht="13" x14ac:dyDescent="0.25">
      <c r="A5" s="8" t="s">
        <v>4</v>
      </c>
      <c r="B5" s="9" t="s">
        <v>5</v>
      </c>
    </row>
    <row r="6" spans="1:2" ht="37.5" x14ac:dyDescent="0.25">
      <c r="A6" s="8" t="s">
        <v>6</v>
      </c>
      <c r="B6" s="9" t="s">
        <v>7</v>
      </c>
    </row>
    <row r="7" spans="1:2" ht="37.5" x14ac:dyDescent="0.25">
      <c r="A7" s="8" t="s">
        <v>8</v>
      </c>
      <c r="B7" s="9" t="s">
        <v>9</v>
      </c>
    </row>
    <row r="8" spans="1:2" ht="25" x14ac:dyDescent="0.25">
      <c r="A8" s="8" t="s">
        <v>10</v>
      </c>
      <c r="B8" s="9" t="s">
        <v>11</v>
      </c>
    </row>
    <row r="9" spans="1:2" ht="25" x14ac:dyDescent="0.25">
      <c r="A9" s="8" t="s">
        <v>12</v>
      </c>
      <c r="B9" s="9" t="s">
        <v>13</v>
      </c>
    </row>
    <row r="10" spans="1:2" ht="25" x14ac:dyDescent="0.25">
      <c r="A10" s="8" t="s">
        <v>14</v>
      </c>
      <c r="B10" s="9" t="s">
        <v>15</v>
      </c>
    </row>
    <row r="11" spans="1:2" ht="25" x14ac:dyDescent="0.25">
      <c r="A11" s="8" t="s">
        <v>16</v>
      </c>
      <c r="B11" s="9" t="s">
        <v>17</v>
      </c>
    </row>
    <row r="12" spans="1:2" ht="25" x14ac:dyDescent="0.25">
      <c r="A12" s="8" t="s">
        <v>18</v>
      </c>
      <c r="B12" s="9" t="s">
        <v>19</v>
      </c>
    </row>
    <row r="13" spans="1:2" ht="25" x14ac:dyDescent="0.25">
      <c r="A13" s="8" t="s">
        <v>20</v>
      </c>
      <c r="B13" s="9" t="s">
        <v>21</v>
      </c>
    </row>
    <row r="14" spans="1:2" ht="13" x14ac:dyDescent="0.25">
      <c r="A14" s="8" t="s">
        <v>22</v>
      </c>
      <c r="B14" s="9" t="s">
        <v>23</v>
      </c>
    </row>
    <row r="15" spans="1:2" ht="37.5" x14ac:dyDescent="0.25">
      <c r="A15" s="8" t="s">
        <v>24</v>
      </c>
      <c r="B15" s="9" t="s">
        <v>25</v>
      </c>
    </row>
    <row r="16" spans="1:2" ht="25" x14ac:dyDescent="0.25">
      <c r="A16" s="8" t="s">
        <v>26</v>
      </c>
      <c r="B16" s="9" t="s">
        <v>27</v>
      </c>
    </row>
    <row r="17" spans="1:2" ht="37.5" x14ac:dyDescent="0.25">
      <c r="A17" s="8" t="s">
        <v>224</v>
      </c>
      <c r="B17" s="9" t="s">
        <v>225</v>
      </c>
    </row>
    <row r="18" spans="1:2" ht="50" x14ac:dyDescent="0.25">
      <c r="A18" s="8" t="s">
        <v>264</v>
      </c>
      <c r="B18" s="9" t="s">
        <v>265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1D319-BD4D-4D17-92CD-E81490C46EAF}">
  <dimension ref="A1:I43"/>
  <sheetViews>
    <sheetView zoomScaleNormal="100" workbookViewId="0">
      <pane ySplit="5" topLeftCell="A6" activePane="bottomLeft" state="frozenSplit"/>
      <selection pane="bottomLeft"/>
    </sheetView>
  </sheetViews>
  <sheetFormatPr baseColWidth="10" defaultRowHeight="12.5" x14ac:dyDescent="0.25"/>
  <cols>
    <col min="1" max="1" width="50.6328125" style="1" customWidth="1"/>
    <col min="2" max="2" width="18.6328125" style="1" customWidth="1"/>
    <col min="3" max="5" width="15.6328125" style="1" customWidth="1"/>
    <col min="6" max="6" width="17.6328125" style="1" customWidth="1"/>
    <col min="7" max="7" width="8.6328125" style="1" customWidth="1"/>
    <col min="8" max="8" width="60.6328125" style="1" customWidth="1"/>
    <col min="9" max="9" width="12.6328125" style="1" customWidth="1"/>
    <col min="10" max="16384" width="10.90625" style="1"/>
  </cols>
  <sheetData>
    <row r="1" spans="1:9" ht="18" x14ac:dyDescent="0.4">
      <c r="A1" s="3" t="s">
        <v>28</v>
      </c>
    </row>
    <row r="2" spans="1:9" ht="13" x14ac:dyDescent="0.3">
      <c r="A2" s="4" t="s">
        <v>29</v>
      </c>
    </row>
    <row r="3" spans="1:9" ht="13" x14ac:dyDescent="0.3">
      <c r="A3" s="4" t="s">
        <v>30</v>
      </c>
    </row>
    <row r="5" spans="1:9" ht="42" customHeight="1" x14ac:dyDescent="0.25">
      <c r="A5" s="6" t="s">
        <v>31</v>
      </c>
      <c r="B5" s="6" t="s">
        <v>32</v>
      </c>
      <c r="C5" s="6" t="s">
        <v>33</v>
      </c>
      <c r="D5" s="6" t="s">
        <v>34</v>
      </c>
      <c r="E5" s="6" t="s">
        <v>35</v>
      </c>
      <c r="F5" s="6" t="s">
        <v>36</v>
      </c>
      <c r="G5" s="6" t="s">
        <v>37</v>
      </c>
      <c r="H5" s="6" t="s">
        <v>38</v>
      </c>
      <c r="I5" s="6" t="s">
        <v>39</v>
      </c>
    </row>
    <row r="6" spans="1:9" ht="13" x14ac:dyDescent="0.3">
      <c r="A6" s="10" t="s">
        <v>40</v>
      </c>
      <c r="B6" s="10"/>
      <c r="C6" s="10"/>
      <c r="D6" s="10"/>
      <c r="E6" s="10"/>
      <c r="F6" s="10"/>
      <c r="G6" s="10"/>
      <c r="H6" s="10"/>
      <c r="I6" s="10"/>
    </row>
    <row r="7" spans="1:9" ht="37.5" x14ac:dyDescent="0.25">
      <c r="A7" s="19" t="s">
        <v>41</v>
      </c>
      <c r="B7" s="19" t="s">
        <v>42</v>
      </c>
      <c r="C7" s="20">
        <v>24</v>
      </c>
      <c r="D7" s="20">
        <v>24</v>
      </c>
      <c r="E7" s="20">
        <v>20</v>
      </c>
      <c r="F7" s="20">
        <v>10</v>
      </c>
      <c r="G7" s="21" t="s">
        <v>86</v>
      </c>
      <c r="H7" s="22" t="s">
        <v>87</v>
      </c>
      <c r="I7" s="21" t="s">
        <v>88</v>
      </c>
    </row>
    <row r="8" spans="1:9" ht="37.5" x14ac:dyDescent="0.25">
      <c r="A8" s="19" t="s">
        <v>43</v>
      </c>
      <c r="B8" s="19" t="s">
        <v>44</v>
      </c>
      <c r="C8" s="23">
        <v>0.8</v>
      </c>
      <c r="D8" s="23">
        <v>0.8</v>
      </c>
      <c r="E8" s="23">
        <v>0.8</v>
      </c>
      <c r="F8" s="23">
        <v>1</v>
      </c>
      <c r="G8" s="21" t="s">
        <v>89</v>
      </c>
      <c r="H8" s="22" t="s">
        <v>90</v>
      </c>
      <c r="I8" s="21" t="s">
        <v>91</v>
      </c>
    </row>
    <row r="9" spans="1:9" ht="13" x14ac:dyDescent="0.25">
      <c r="A9" s="8" t="s">
        <v>45</v>
      </c>
      <c r="B9" s="8" t="s">
        <v>46</v>
      </c>
      <c r="C9" s="24">
        <f t="shared" ref="C9:F9" si="0">ROUND(C7*C8,0)</f>
        <v>19</v>
      </c>
      <c r="D9" s="24">
        <f t="shared" si="0"/>
        <v>19</v>
      </c>
      <c r="E9" s="24">
        <f t="shared" si="0"/>
        <v>16</v>
      </c>
      <c r="F9" s="24">
        <f t="shared" si="0"/>
        <v>10</v>
      </c>
      <c r="G9" s="21"/>
      <c r="H9" s="22"/>
      <c r="I9" s="21"/>
    </row>
    <row r="10" spans="1:9" ht="25" x14ac:dyDescent="0.25">
      <c r="A10" s="19" t="s">
        <v>47</v>
      </c>
      <c r="B10" s="19" t="s">
        <v>48</v>
      </c>
      <c r="C10" s="25">
        <v>290</v>
      </c>
      <c r="D10" s="25">
        <v>420</v>
      </c>
      <c r="E10" s="25">
        <v>690</v>
      </c>
      <c r="F10" s="25">
        <v>300</v>
      </c>
      <c r="G10" s="21" t="s">
        <v>86</v>
      </c>
      <c r="H10" s="22" t="s">
        <v>92</v>
      </c>
      <c r="I10" s="21" t="s">
        <v>88</v>
      </c>
    </row>
    <row r="11" spans="1:9" ht="37.5" x14ac:dyDescent="0.25">
      <c r="A11" s="19" t="s">
        <v>49</v>
      </c>
      <c r="B11" s="19" t="s">
        <v>50</v>
      </c>
      <c r="C11" s="26">
        <v>0</v>
      </c>
      <c r="D11" s="26">
        <v>0</v>
      </c>
      <c r="E11" s="26">
        <v>0</v>
      </c>
      <c r="F11" s="26">
        <v>6000</v>
      </c>
      <c r="G11" s="21" t="s">
        <v>86</v>
      </c>
      <c r="H11" s="22" t="s">
        <v>93</v>
      </c>
      <c r="I11" s="21" t="s">
        <v>88</v>
      </c>
    </row>
    <row r="12" spans="1:9" ht="50" x14ac:dyDescent="0.25">
      <c r="A12" s="19" t="s">
        <v>51</v>
      </c>
      <c r="B12" s="19" t="s">
        <v>52</v>
      </c>
      <c r="C12" s="23">
        <v>0.12</v>
      </c>
      <c r="D12" s="23">
        <v>0.12</v>
      </c>
      <c r="E12" s="23">
        <v>0.12</v>
      </c>
      <c r="F12" s="23">
        <v>0.12</v>
      </c>
      <c r="G12" s="21" t="s">
        <v>89</v>
      </c>
      <c r="H12" s="22" t="s">
        <v>94</v>
      </c>
      <c r="I12" s="21" t="s">
        <v>91</v>
      </c>
    </row>
    <row r="13" spans="1:9" ht="13" x14ac:dyDescent="0.25">
      <c r="A13" s="8" t="s">
        <v>53</v>
      </c>
      <c r="B13" s="8" t="s">
        <v>54</v>
      </c>
      <c r="C13" s="27">
        <f t="shared" ref="C13:F13" si="1">C10/(1+C12)</f>
        <v>258.92857142857139</v>
      </c>
      <c r="D13" s="27">
        <f t="shared" si="1"/>
        <v>374.99999999999994</v>
      </c>
      <c r="E13" s="27">
        <f t="shared" si="1"/>
        <v>616.07142857142856</v>
      </c>
      <c r="F13" s="27">
        <f t="shared" si="1"/>
        <v>267.85714285714283</v>
      </c>
      <c r="G13" s="21"/>
      <c r="H13" s="22"/>
      <c r="I13" s="21"/>
    </row>
    <row r="14" spans="1:9" ht="13" x14ac:dyDescent="0.25">
      <c r="A14" s="8" t="s">
        <v>55</v>
      </c>
      <c r="B14" s="8" t="s">
        <v>56</v>
      </c>
      <c r="C14" s="28">
        <f t="shared" ref="C14:F14" si="2">C11/(1+C12)</f>
        <v>0</v>
      </c>
      <c r="D14" s="28">
        <f t="shared" si="2"/>
        <v>0</v>
      </c>
      <c r="E14" s="28">
        <f t="shared" si="2"/>
        <v>0</v>
      </c>
      <c r="F14" s="28">
        <f t="shared" si="2"/>
        <v>5357.1428571428569</v>
      </c>
      <c r="G14" s="21"/>
      <c r="H14" s="22"/>
      <c r="I14" s="21"/>
    </row>
    <row r="15" spans="1:9" x14ac:dyDescent="0.25">
      <c r="A15" s="19" t="s">
        <v>57</v>
      </c>
      <c r="B15" s="19" t="s">
        <v>56</v>
      </c>
      <c r="C15" s="26">
        <v>0</v>
      </c>
      <c r="D15" s="26">
        <v>0</v>
      </c>
      <c r="E15" s="26">
        <v>0</v>
      </c>
      <c r="F15" s="26">
        <v>0</v>
      </c>
      <c r="G15" s="21" t="s">
        <v>89</v>
      </c>
      <c r="H15" s="22" t="s">
        <v>95</v>
      </c>
      <c r="I15" s="21" t="s">
        <v>88</v>
      </c>
    </row>
    <row r="16" spans="1:9" ht="25" x14ac:dyDescent="0.25">
      <c r="A16" s="19" t="s">
        <v>58</v>
      </c>
      <c r="B16" s="19" t="s">
        <v>56</v>
      </c>
      <c r="C16" s="26">
        <v>0</v>
      </c>
      <c r="D16" s="26">
        <v>0</v>
      </c>
      <c r="E16" s="26">
        <v>0</v>
      </c>
      <c r="F16" s="26">
        <v>0</v>
      </c>
      <c r="G16" s="21" t="s">
        <v>89</v>
      </c>
      <c r="H16" s="22" t="s">
        <v>96</v>
      </c>
      <c r="I16" s="21" t="s">
        <v>97</v>
      </c>
    </row>
    <row r="17" spans="1:9" ht="13" x14ac:dyDescent="0.25">
      <c r="A17" s="8" t="s">
        <v>59</v>
      </c>
      <c r="B17" s="8" t="s">
        <v>56</v>
      </c>
      <c r="C17" s="28">
        <f t="shared" ref="C17:F17" si="3">MAX(C9*C13+C14,C15)+C16</f>
        <v>4919.642857142856</v>
      </c>
      <c r="D17" s="28">
        <f t="shared" si="3"/>
        <v>7124.9999999999991</v>
      </c>
      <c r="E17" s="28">
        <f t="shared" si="3"/>
        <v>9857.1428571428569</v>
      </c>
      <c r="F17" s="28">
        <f t="shared" si="3"/>
        <v>8035.7142857142853</v>
      </c>
      <c r="G17" s="21"/>
      <c r="H17" s="22"/>
      <c r="I17" s="21"/>
    </row>
    <row r="18" spans="1:9" ht="13" x14ac:dyDescent="0.25">
      <c r="A18" s="29" t="s">
        <v>60</v>
      </c>
      <c r="B18" s="29"/>
      <c r="C18" s="29"/>
      <c r="D18" s="29"/>
      <c r="E18" s="29"/>
      <c r="F18" s="29"/>
      <c r="G18" s="29"/>
      <c r="H18" s="30"/>
      <c r="I18" s="29"/>
    </row>
    <row r="19" spans="1:9" ht="50" x14ac:dyDescent="0.25">
      <c r="A19" s="19" t="s">
        <v>61</v>
      </c>
      <c r="B19" s="19" t="s">
        <v>56</v>
      </c>
      <c r="C19" s="26">
        <v>1500</v>
      </c>
      <c r="D19" s="26">
        <v>1500</v>
      </c>
      <c r="E19" s="26">
        <v>2500</v>
      </c>
      <c r="F19" s="26">
        <v>2000</v>
      </c>
      <c r="G19" s="21" t="s">
        <v>89</v>
      </c>
      <c r="H19" s="22" t="s">
        <v>98</v>
      </c>
      <c r="I19" s="21" t="s">
        <v>97</v>
      </c>
    </row>
    <row r="20" spans="1:9" ht="50" x14ac:dyDescent="0.25">
      <c r="A20" s="19" t="s">
        <v>62</v>
      </c>
      <c r="B20" s="19" t="s">
        <v>56</v>
      </c>
      <c r="C20" s="26">
        <v>950</v>
      </c>
      <c r="D20" s="26">
        <v>2000</v>
      </c>
      <c r="E20" s="26">
        <v>3700</v>
      </c>
      <c r="F20" s="26">
        <v>1800</v>
      </c>
      <c r="G20" s="21" t="s">
        <v>89</v>
      </c>
      <c r="H20" s="22" t="s">
        <v>99</v>
      </c>
      <c r="I20" s="21" t="s">
        <v>97</v>
      </c>
    </row>
    <row r="21" spans="1:9" ht="25" x14ac:dyDescent="0.25">
      <c r="A21" s="19" t="s">
        <v>63</v>
      </c>
      <c r="B21" s="19" t="s">
        <v>64</v>
      </c>
      <c r="C21" s="23">
        <v>0</v>
      </c>
      <c r="D21" s="23">
        <v>0</v>
      </c>
      <c r="E21" s="23">
        <v>0</v>
      </c>
      <c r="F21" s="23">
        <v>0</v>
      </c>
      <c r="G21" s="21" t="s">
        <v>89</v>
      </c>
      <c r="H21" s="22" t="s">
        <v>100</v>
      </c>
      <c r="I21" s="21" t="s">
        <v>97</v>
      </c>
    </row>
    <row r="22" spans="1:9" ht="13" x14ac:dyDescent="0.25">
      <c r="A22" s="8" t="s">
        <v>65</v>
      </c>
      <c r="B22" s="8" t="s">
        <v>56</v>
      </c>
      <c r="C22" s="28">
        <f t="shared" ref="C22:F22" si="4">C20+C21*C17</f>
        <v>950</v>
      </c>
      <c r="D22" s="28">
        <f t="shared" si="4"/>
        <v>2000</v>
      </c>
      <c r="E22" s="28">
        <f t="shared" si="4"/>
        <v>3700</v>
      </c>
      <c r="F22" s="28">
        <f t="shared" si="4"/>
        <v>1800</v>
      </c>
      <c r="G22" s="21"/>
      <c r="H22" s="22"/>
      <c r="I22" s="21"/>
    </row>
    <row r="23" spans="1:9" ht="37.5" x14ac:dyDescent="0.25">
      <c r="A23" s="19" t="s">
        <v>66</v>
      </c>
      <c r="B23" s="19" t="s">
        <v>54</v>
      </c>
      <c r="C23" s="25">
        <v>55</v>
      </c>
      <c r="D23" s="25">
        <v>70</v>
      </c>
      <c r="E23" s="25">
        <v>100</v>
      </c>
      <c r="F23" s="25">
        <v>50</v>
      </c>
      <c r="G23" s="21" t="s">
        <v>89</v>
      </c>
      <c r="H23" s="22" t="s">
        <v>101</v>
      </c>
      <c r="I23" s="21" t="s">
        <v>102</v>
      </c>
    </row>
    <row r="24" spans="1:9" ht="25" x14ac:dyDescent="0.25">
      <c r="A24" s="19" t="s">
        <v>67</v>
      </c>
      <c r="B24" s="19" t="s">
        <v>54</v>
      </c>
      <c r="C24" s="25">
        <v>30</v>
      </c>
      <c r="D24" s="25">
        <v>42</v>
      </c>
      <c r="E24" s="25">
        <v>66</v>
      </c>
      <c r="F24" s="25">
        <v>30</v>
      </c>
      <c r="G24" s="21" t="s">
        <v>89</v>
      </c>
      <c r="H24" s="22" t="s">
        <v>103</v>
      </c>
      <c r="I24" s="21" t="s">
        <v>102</v>
      </c>
    </row>
    <row r="25" spans="1:9" ht="13" x14ac:dyDescent="0.25">
      <c r="A25" s="8" t="s">
        <v>68</v>
      </c>
      <c r="B25" s="8" t="s">
        <v>56</v>
      </c>
      <c r="C25" s="28">
        <f t="shared" ref="C25:F25" si="5">C9*(C23+C24)</f>
        <v>1615</v>
      </c>
      <c r="D25" s="28">
        <f t="shared" si="5"/>
        <v>2128</v>
      </c>
      <c r="E25" s="28">
        <f t="shared" si="5"/>
        <v>2656</v>
      </c>
      <c r="F25" s="28">
        <f t="shared" si="5"/>
        <v>800</v>
      </c>
      <c r="G25" s="21"/>
      <c r="H25" s="22"/>
      <c r="I25" s="21"/>
    </row>
    <row r="26" spans="1:9" ht="62.5" x14ac:dyDescent="0.25">
      <c r="A26" s="19" t="s">
        <v>263</v>
      </c>
      <c r="B26" s="19" t="s">
        <v>56</v>
      </c>
      <c r="C26" s="54">
        <f>Staffing!D21</f>
        <v>3636</v>
      </c>
      <c r="D26" s="54">
        <f>Staffing!E21</f>
        <v>3636</v>
      </c>
      <c r="E26" s="54">
        <f>Staffing!F21</f>
        <v>3076</v>
      </c>
      <c r="F26" s="54">
        <f>Staffing!G21</f>
        <v>2040</v>
      </c>
      <c r="G26" s="21" t="s">
        <v>261</v>
      </c>
      <c r="H26" s="22" t="s">
        <v>262</v>
      </c>
      <c r="I26" s="21" t="s">
        <v>102</v>
      </c>
    </row>
    <row r="27" spans="1:9" x14ac:dyDescent="0.25">
      <c r="A27" s="19" t="s">
        <v>69</v>
      </c>
      <c r="B27" s="19" t="s">
        <v>56</v>
      </c>
      <c r="C27" s="26">
        <v>150</v>
      </c>
      <c r="D27" s="26">
        <v>150</v>
      </c>
      <c r="E27" s="26">
        <v>150</v>
      </c>
      <c r="F27" s="26">
        <v>150</v>
      </c>
      <c r="G27" s="21" t="s">
        <v>89</v>
      </c>
      <c r="H27" s="22" t="s">
        <v>104</v>
      </c>
      <c r="I27" s="21" t="s">
        <v>102</v>
      </c>
    </row>
    <row r="28" spans="1:9" x14ac:dyDescent="0.25">
      <c r="A28" s="19" t="s">
        <v>70</v>
      </c>
      <c r="B28" s="19" t="s">
        <v>56</v>
      </c>
      <c r="C28" s="26">
        <v>150</v>
      </c>
      <c r="D28" s="26">
        <v>150</v>
      </c>
      <c r="E28" s="26">
        <v>150</v>
      </c>
      <c r="F28" s="26">
        <v>150</v>
      </c>
      <c r="G28" s="21" t="s">
        <v>89</v>
      </c>
      <c r="H28" s="22" t="s">
        <v>105</v>
      </c>
      <c r="I28" s="21" t="s">
        <v>106</v>
      </c>
    </row>
    <row r="29" spans="1:9" x14ac:dyDescent="0.25">
      <c r="A29" s="19" t="s">
        <v>71</v>
      </c>
      <c r="B29" s="19" t="s">
        <v>56</v>
      </c>
      <c r="C29" s="26">
        <v>200</v>
      </c>
      <c r="D29" s="26">
        <v>250</v>
      </c>
      <c r="E29" s="26">
        <v>300</v>
      </c>
      <c r="F29" s="26">
        <v>150</v>
      </c>
      <c r="G29" s="21" t="s">
        <v>89</v>
      </c>
      <c r="H29" s="22" t="s">
        <v>107</v>
      </c>
      <c r="I29" s="21" t="s">
        <v>102</v>
      </c>
    </row>
    <row r="30" spans="1:9" ht="37.5" x14ac:dyDescent="0.25">
      <c r="A30" s="19" t="s">
        <v>72</v>
      </c>
      <c r="B30" s="19" t="s">
        <v>64</v>
      </c>
      <c r="C30" s="23">
        <v>1.6E-2</v>
      </c>
      <c r="D30" s="23">
        <v>1.6E-2</v>
      </c>
      <c r="E30" s="23">
        <v>1.6E-2</v>
      </c>
      <c r="F30" s="23">
        <v>0</v>
      </c>
      <c r="G30" s="21" t="s">
        <v>89</v>
      </c>
      <c r="H30" s="22" t="s">
        <v>108</v>
      </c>
      <c r="I30" s="21" t="s">
        <v>91</v>
      </c>
    </row>
    <row r="31" spans="1:9" ht="37.5" x14ac:dyDescent="0.25">
      <c r="A31" s="19" t="s">
        <v>73</v>
      </c>
      <c r="B31" s="19" t="s">
        <v>64</v>
      </c>
      <c r="C31" s="23">
        <v>0</v>
      </c>
      <c r="D31" s="23">
        <v>0.05</v>
      </c>
      <c r="E31" s="23">
        <v>0.1</v>
      </c>
      <c r="F31" s="23">
        <v>0.1</v>
      </c>
      <c r="G31" s="21" t="s">
        <v>89</v>
      </c>
      <c r="H31" s="22" t="s">
        <v>109</v>
      </c>
      <c r="I31" s="21" t="s">
        <v>110</v>
      </c>
    </row>
    <row r="32" spans="1:9" ht="13" x14ac:dyDescent="0.25">
      <c r="A32" s="8" t="s">
        <v>74</v>
      </c>
      <c r="B32" s="8" t="s">
        <v>56</v>
      </c>
      <c r="C32" s="28">
        <f t="shared" ref="C32:F32" si="6">(C30+C31)*C17</f>
        <v>78.714285714285694</v>
      </c>
      <c r="D32" s="28">
        <f t="shared" si="6"/>
        <v>470.24999999999994</v>
      </c>
      <c r="E32" s="28">
        <f t="shared" si="6"/>
        <v>1143.4285714285716</v>
      </c>
      <c r="F32" s="28">
        <f t="shared" si="6"/>
        <v>803.57142857142856</v>
      </c>
      <c r="G32" s="21"/>
      <c r="H32" s="22"/>
      <c r="I32" s="21"/>
    </row>
    <row r="33" spans="1:9" ht="37.5" x14ac:dyDescent="0.25">
      <c r="A33" s="19" t="s">
        <v>75</v>
      </c>
      <c r="B33" s="19" t="s">
        <v>56</v>
      </c>
      <c r="C33" s="26">
        <v>260</v>
      </c>
      <c r="D33" s="26">
        <v>260</v>
      </c>
      <c r="E33" s="26">
        <v>260</v>
      </c>
      <c r="F33" s="26">
        <v>0</v>
      </c>
      <c r="G33" s="21" t="s">
        <v>89</v>
      </c>
      <c r="H33" s="22" t="s">
        <v>111</v>
      </c>
      <c r="I33" s="21" t="s">
        <v>110</v>
      </c>
    </row>
    <row r="34" spans="1:9" ht="13" x14ac:dyDescent="0.25">
      <c r="A34" s="8" t="s">
        <v>76</v>
      </c>
      <c r="B34" s="8" t="s">
        <v>56</v>
      </c>
      <c r="C34" s="28">
        <f t="shared" ref="C34:F34" si="7">C19+C22+C25+C26+C27+C28+C29+C32+C33</f>
        <v>8539.7142857142862</v>
      </c>
      <c r="D34" s="28">
        <f t="shared" si="7"/>
        <v>10544.25</v>
      </c>
      <c r="E34" s="28">
        <f t="shared" si="7"/>
        <v>13935.428571428572</v>
      </c>
      <c r="F34" s="28">
        <f t="shared" si="7"/>
        <v>7893.5714285714284</v>
      </c>
      <c r="G34" s="21"/>
      <c r="H34" s="22"/>
      <c r="I34" s="21"/>
    </row>
    <row r="35" spans="1:9" ht="13" x14ac:dyDescent="0.25">
      <c r="A35" s="29" t="s">
        <v>77</v>
      </c>
      <c r="B35" s="29"/>
      <c r="C35" s="29"/>
      <c r="D35" s="29"/>
      <c r="E35" s="29"/>
      <c r="F35" s="29"/>
      <c r="G35" s="29"/>
      <c r="H35" s="30"/>
      <c r="I35" s="29"/>
    </row>
    <row r="36" spans="1:9" ht="13" x14ac:dyDescent="0.25">
      <c r="A36" s="8" t="s">
        <v>78</v>
      </c>
      <c r="B36" s="8" t="s">
        <v>56</v>
      </c>
      <c r="C36" s="28">
        <f t="shared" ref="C36:F36" si="8">C17-C34</f>
        <v>-3620.0714285714303</v>
      </c>
      <c r="D36" s="28">
        <f t="shared" si="8"/>
        <v>-3419.2500000000009</v>
      </c>
      <c r="E36" s="28">
        <f t="shared" si="8"/>
        <v>-4078.2857142857156</v>
      </c>
      <c r="F36" s="28">
        <f t="shared" si="8"/>
        <v>142.14285714285688</v>
      </c>
      <c r="G36" s="21"/>
      <c r="H36" s="22"/>
      <c r="I36" s="21"/>
    </row>
    <row r="37" spans="1:9" ht="13" x14ac:dyDescent="0.25">
      <c r="A37" s="8" t="s">
        <v>79</v>
      </c>
      <c r="B37" s="8" t="s">
        <v>64</v>
      </c>
      <c r="C37" s="31">
        <f t="shared" ref="C37:F37" si="9">IF(C17&gt;0,C36/C17,0)</f>
        <v>-0.73584029038112575</v>
      </c>
      <c r="D37" s="31">
        <f t="shared" si="9"/>
        <v>-0.47989473684210543</v>
      </c>
      <c r="E37" s="31">
        <f t="shared" si="9"/>
        <v>-0.41373913043478278</v>
      </c>
      <c r="F37" s="31">
        <f t="shared" si="9"/>
        <v>1.7688888888888858E-2</v>
      </c>
      <c r="G37" s="21"/>
      <c r="H37" s="22"/>
      <c r="I37" s="21"/>
    </row>
    <row r="38" spans="1:9" ht="13" x14ac:dyDescent="0.25">
      <c r="A38" s="8" t="s">
        <v>80</v>
      </c>
      <c r="B38" s="8" t="s">
        <v>54</v>
      </c>
      <c r="C38" s="27">
        <f t="shared" ref="C38:F38" si="10">IF(C9&gt;0,C36/C9,0)</f>
        <v>-190.53007518797003</v>
      </c>
      <c r="D38" s="27">
        <f t="shared" si="10"/>
        <v>-179.96052631578951</v>
      </c>
      <c r="E38" s="27">
        <f t="shared" si="10"/>
        <v>-254.89285714285722</v>
      </c>
      <c r="F38" s="27">
        <f t="shared" si="10"/>
        <v>14.214285714285689</v>
      </c>
      <c r="G38" s="21"/>
      <c r="H38" s="22"/>
      <c r="I38" s="21"/>
    </row>
    <row r="39" spans="1:9" ht="13" x14ac:dyDescent="0.25">
      <c r="A39" s="8" t="s">
        <v>81</v>
      </c>
      <c r="B39" s="8" t="s">
        <v>64</v>
      </c>
      <c r="C39" s="31">
        <f t="shared" ref="C39:F39" si="11">IF(C17&gt;0,C19/C17,0)</f>
        <v>0.30490018148820336</v>
      </c>
      <c r="D39" s="31">
        <f t="shared" si="11"/>
        <v>0.2105263157894737</v>
      </c>
      <c r="E39" s="31">
        <f t="shared" si="11"/>
        <v>0.25362318840579712</v>
      </c>
      <c r="F39" s="31">
        <f t="shared" si="11"/>
        <v>0.24888888888888891</v>
      </c>
      <c r="G39" s="21"/>
      <c r="H39" s="22"/>
      <c r="I39" s="21"/>
    </row>
    <row r="40" spans="1:9" ht="13" x14ac:dyDescent="0.25">
      <c r="A40" s="8" t="s">
        <v>82</v>
      </c>
      <c r="B40" s="8" t="s">
        <v>64</v>
      </c>
      <c r="C40" s="31">
        <f t="shared" ref="C40:F40" si="12">IF(C17&gt;0,C22/C17,0)</f>
        <v>0.19310344827586212</v>
      </c>
      <c r="D40" s="31">
        <f t="shared" si="12"/>
        <v>0.28070175438596495</v>
      </c>
      <c r="E40" s="31">
        <f t="shared" si="12"/>
        <v>0.37536231884057975</v>
      </c>
      <c r="F40" s="31">
        <f t="shared" si="12"/>
        <v>0.224</v>
      </c>
      <c r="G40" s="21"/>
      <c r="H40" s="22"/>
      <c r="I40" s="21"/>
    </row>
    <row r="41" spans="1:9" ht="13" x14ac:dyDescent="0.25">
      <c r="A41" s="8" t="s">
        <v>83</v>
      </c>
      <c r="B41" s="8" t="s">
        <v>64</v>
      </c>
      <c r="C41" s="31">
        <f t="shared" ref="C41:F41" si="13">C37</f>
        <v>-0.73584029038112575</v>
      </c>
      <c r="D41" s="31">
        <f t="shared" si="13"/>
        <v>-0.47989473684210543</v>
      </c>
      <c r="E41" s="31">
        <f t="shared" si="13"/>
        <v>-0.41373913043478278</v>
      </c>
      <c r="F41" s="31">
        <f t="shared" si="13"/>
        <v>1.7688888888888858E-2</v>
      </c>
      <c r="G41" s="21"/>
      <c r="H41" s="22"/>
      <c r="I41" s="21"/>
    </row>
    <row r="42" spans="1:9" ht="13" x14ac:dyDescent="0.25">
      <c r="A42" s="8" t="s">
        <v>84</v>
      </c>
      <c r="B42" s="8" t="s">
        <v>48</v>
      </c>
      <c r="C42" s="27">
        <f t="shared" ref="C42:F42" si="14">IF(AND(C9&gt;0,1-C21-C30-C31&gt;0),((C19+C20+C26+C27+C28+C29+C33+C9*(C23+C24))/(1-C21-C30-C31)-C14-C16)/C9*(1+C12),0)</f>
        <v>506.86350021394958</v>
      </c>
      <c r="D42" s="27">
        <f t="shared" si="14"/>
        <v>635.7984898005185</v>
      </c>
      <c r="E42" s="27">
        <f t="shared" si="14"/>
        <v>1012.9411764705883</v>
      </c>
      <c r="F42" s="27">
        <f t="shared" si="14"/>
        <v>282.31111111111113</v>
      </c>
      <c r="G42" s="21"/>
      <c r="H42" s="22"/>
      <c r="I42" s="21"/>
    </row>
    <row r="43" spans="1:9" ht="13" x14ac:dyDescent="0.25">
      <c r="A43" s="8" t="s">
        <v>85</v>
      </c>
      <c r="B43" s="8" t="s">
        <v>44</v>
      </c>
      <c r="C43" s="31">
        <f t="shared" ref="C43:F43" si="15">IF(AND(C7&gt;0,C13*(1-C21-C30-C31)-(C23+C24)&gt;0),MAX(0,(C19+C20+C26+C27+C28+C29+C33-(C14+C16)*(1-C21-C30-C31))/(C13*(1-C21-C30-C31)-(C23+C24)))/C7,0)</f>
        <v>1.680058897770299</v>
      </c>
      <c r="D43" s="31">
        <f t="shared" si="15"/>
        <v>1.3896467296257435</v>
      </c>
      <c r="E43" s="31">
        <f t="shared" si="15"/>
        <v>1.3385906989906613</v>
      </c>
      <c r="F43" s="31">
        <f t="shared" si="15"/>
        <v>0.91175166297117516</v>
      </c>
      <c r="G43" s="21"/>
      <c r="H43" s="22"/>
      <c r="I43" s="21"/>
    </row>
  </sheetData>
  <dataValidations count="2">
    <dataValidation type="list" allowBlank="1" showInputMessage="1" showErrorMessage="1" sqref="G7:G43" xr:uid="{367BEC60-7B5C-4261-9AAC-AAFB02185C2C}">
      <formula1>"F,I,P,H"</formula1>
    </dataValidation>
    <dataValidation type="list" allowBlank="1" showInputMessage="1" showErrorMessage="1" sqref="I7:I43" xr:uid="{8805CBC0-3FD3-42C2-8700-8117D67FA7D0}">
      <formula1>"Finance,Opérations,Ventes,Produit,Marketing,Juridique,Direction"</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C2CEE-3AA8-4CB7-9962-F225A7B6E75A}">
  <dimension ref="A1:I23"/>
  <sheetViews>
    <sheetView workbookViewId="0"/>
  </sheetViews>
  <sheetFormatPr baseColWidth="10" defaultRowHeight="12.5" x14ac:dyDescent="0.25"/>
  <cols>
    <col min="1" max="1" width="36.6328125" style="1" customWidth="1"/>
    <col min="2" max="2" width="11.6328125" style="1" customWidth="1"/>
    <col min="3" max="3" width="13.6328125" style="1" customWidth="1"/>
    <col min="4" max="6" width="12.6328125" style="1" customWidth="1"/>
    <col min="7" max="7" width="14.6328125" style="1" customWidth="1"/>
    <col min="8" max="8" width="10.6328125" style="1" customWidth="1"/>
    <col min="9" max="9" width="80.6328125" style="1" customWidth="1"/>
    <col min="10" max="16384" width="10.90625" style="1"/>
  </cols>
  <sheetData>
    <row r="1" spans="1:9" ht="18" x14ac:dyDescent="0.4">
      <c r="A1" s="3" t="s">
        <v>226</v>
      </c>
    </row>
    <row r="2" spans="1:9" ht="13" x14ac:dyDescent="0.3">
      <c r="A2" s="4" t="s">
        <v>227</v>
      </c>
    </row>
    <row r="4" spans="1:9" ht="250.5" x14ac:dyDescent="0.3">
      <c r="A4" s="2" t="s">
        <v>228</v>
      </c>
      <c r="D4" s="11" t="s">
        <v>229</v>
      </c>
      <c r="E4" s="11" t="s">
        <v>229</v>
      </c>
      <c r="F4" s="11" t="s">
        <v>229</v>
      </c>
      <c r="G4" s="11" t="s">
        <v>229</v>
      </c>
      <c r="H4" s="1" t="s">
        <v>89</v>
      </c>
      <c r="I4" s="7" t="s">
        <v>230</v>
      </c>
    </row>
    <row r="6" spans="1:9" ht="42" customHeight="1" x14ac:dyDescent="0.25">
      <c r="A6" s="6" t="s">
        <v>231</v>
      </c>
      <c r="B6" s="6" t="s">
        <v>232</v>
      </c>
      <c r="C6" s="6" t="s">
        <v>233</v>
      </c>
      <c r="D6" s="6" t="s">
        <v>118</v>
      </c>
      <c r="E6" s="6" t="s">
        <v>119</v>
      </c>
      <c r="F6" s="6" t="s">
        <v>120</v>
      </c>
      <c r="G6" s="6" t="s">
        <v>234</v>
      </c>
      <c r="H6" s="6" t="s">
        <v>235</v>
      </c>
      <c r="I6" s="6" t="s">
        <v>236</v>
      </c>
    </row>
    <row r="7" spans="1:9" ht="25" x14ac:dyDescent="0.25">
      <c r="A7" s="19" t="s">
        <v>237</v>
      </c>
      <c r="B7" s="52">
        <v>9</v>
      </c>
      <c r="C7" s="25">
        <v>35</v>
      </c>
      <c r="D7" s="20">
        <v>3</v>
      </c>
      <c r="E7" s="20">
        <v>3</v>
      </c>
      <c r="F7" s="20">
        <v>2</v>
      </c>
      <c r="G7" s="20">
        <v>1</v>
      </c>
      <c r="H7" s="53">
        <v>0</v>
      </c>
      <c r="I7" s="22" t="s">
        <v>238</v>
      </c>
    </row>
    <row r="8" spans="1:9" x14ac:dyDescent="0.25">
      <c r="A8" s="19" t="s">
        <v>239</v>
      </c>
      <c r="B8" s="52">
        <v>8</v>
      </c>
      <c r="C8" s="25">
        <v>45</v>
      </c>
      <c r="D8" s="20">
        <v>1</v>
      </c>
      <c r="E8" s="20">
        <v>1</v>
      </c>
      <c r="F8" s="20">
        <v>1</v>
      </c>
      <c r="G8" s="20">
        <v>1</v>
      </c>
      <c r="H8" s="53">
        <v>1</v>
      </c>
      <c r="I8" s="22" t="s">
        <v>240</v>
      </c>
    </row>
    <row r="9" spans="1:9" x14ac:dyDescent="0.25">
      <c r="A9" s="19" t="s">
        <v>241</v>
      </c>
      <c r="B9" s="52">
        <v>7</v>
      </c>
      <c r="C9" s="25">
        <v>35</v>
      </c>
      <c r="D9" s="20">
        <v>4</v>
      </c>
      <c r="E9" s="20">
        <v>4</v>
      </c>
      <c r="F9" s="20">
        <v>3</v>
      </c>
      <c r="G9" s="20">
        <v>2</v>
      </c>
      <c r="H9" s="53">
        <v>1</v>
      </c>
      <c r="I9" s="22" t="s">
        <v>242</v>
      </c>
    </row>
    <row r="10" spans="1:9" x14ac:dyDescent="0.25">
      <c r="A10" s="19" t="s">
        <v>243</v>
      </c>
      <c r="B10" s="52">
        <v>7</v>
      </c>
      <c r="C10" s="25">
        <v>35</v>
      </c>
      <c r="D10" s="20">
        <v>1</v>
      </c>
      <c r="E10" s="20">
        <v>1</v>
      </c>
      <c r="F10" s="20">
        <v>1</v>
      </c>
      <c r="G10" s="20">
        <v>1</v>
      </c>
      <c r="H10" s="53">
        <v>1</v>
      </c>
      <c r="I10" s="22" t="s">
        <v>244</v>
      </c>
    </row>
    <row r="11" spans="1:9" x14ac:dyDescent="0.25">
      <c r="A11" s="19" t="s">
        <v>245</v>
      </c>
      <c r="B11" s="52">
        <v>7</v>
      </c>
      <c r="C11" s="25">
        <v>60</v>
      </c>
      <c r="D11" s="20">
        <v>1</v>
      </c>
      <c r="E11" s="20">
        <v>1</v>
      </c>
      <c r="F11" s="20">
        <v>1</v>
      </c>
      <c r="G11" s="20">
        <v>1</v>
      </c>
      <c r="H11" s="53">
        <v>0</v>
      </c>
      <c r="I11" s="22" t="s">
        <v>246</v>
      </c>
    </row>
    <row r="12" spans="1:9" x14ac:dyDescent="0.25">
      <c r="A12" s="19" t="s">
        <v>247</v>
      </c>
      <c r="B12" s="52">
        <v>7</v>
      </c>
      <c r="C12" s="25">
        <v>38</v>
      </c>
      <c r="D12" s="20">
        <v>1</v>
      </c>
      <c r="E12" s="20">
        <v>1</v>
      </c>
      <c r="F12" s="20">
        <v>1</v>
      </c>
      <c r="G12" s="20">
        <v>0</v>
      </c>
      <c r="H12" s="53">
        <v>0</v>
      </c>
      <c r="I12" s="22" t="s">
        <v>248</v>
      </c>
    </row>
    <row r="13" spans="1:9" x14ac:dyDescent="0.25">
      <c r="A13" s="19" t="s">
        <v>249</v>
      </c>
      <c r="B13" s="52">
        <v>7</v>
      </c>
      <c r="C13" s="25">
        <v>30</v>
      </c>
      <c r="D13" s="20">
        <v>2</v>
      </c>
      <c r="E13" s="20">
        <v>2</v>
      </c>
      <c r="F13" s="20">
        <v>2</v>
      </c>
      <c r="G13" s="20">
        <v>1</v>
      </c>
      <c r="H13" s="53">
        <v>0</v>
      </c>
      <c r="I13" s="22" t="s">
        <v>250</v>
      </c>
    </row>
    <row r="14" spans="1:9" ht="25" x14ac:dyDescent="0.25">
      <c r="A14" s="19" t="s">
        <v>251</v>
      </c>
      <c r="B14" s="52">
        <v>10</v>
      </c>
      <c r="C14" s="25">
        <v>0</v>
      </c>
      <c r="D14" s="20">
        <v>1</v>
      </c>
      <c r="E14" s="20">
        <v>1</v>
      </c>
      <c r="F14" s="20">
        <v>1</v>
      </c>
      <c r="G14" s="20">
        <v>1</v>
      </c>
      <c r="H14" s="53">
        <v>0</v>
      </c>
      <c r="I14" s="22" t="s">
        <v>252</v>
      </c>
    </row>
    <row r="15" spans="1:9" ht="25" x14ac:dyDescent="0.25">
      <c r="A15" s="19" t="s">
        <v>253</v>
      </c>
      <c r="B15" s="52">
        <v>5</v>
      </c>
      <c r="C15" s="25">
        <v>0</v>
      </c>
      <c r="D15" s="20">
        <v>1</v>
      </c>
      <c r="E15" s="20">
        <v>1</v>
      </c>
      <c r="F15" s="20">
        <v>1</v>
      </c>
      <c r="G15" s="20">
        <v>1</v>
      </c>
      <c r="H15" s="53">
        <v>0</v>
      </c>
      <c r="I15" s="22" t="s">
        <v>254</v>
      </c>
    </row>
    <row r="16" spans="1:9" ht="13" x14ac:dyDescent="0.3">
      <c r="A16" s="4" t="s">
        <v>255</v>
      </c>
    </row>
    <row r="18" spans="1:7" ht="13" x14ac:dyDescent="0.3">
      <c r="A18" s="2" t="s">
        <v>256</v>
      </c>
      <c r="B18" s="2"/>
      <c r="C18" s="2"/>
      <c r="D18" s="14">
        <f>SUM(D7:D15)</f>
        <v>15</v>
      </c>
      <c r="E18" s="14">
        <f>SUM(E7:E15)</f>
        <v>15</v>
      </c>
      <c r="F18" s="14">
        <f>SUM(F7:F15)</f>
        <v>13</v>
      </c>
      <c r="G18" s="14">
        <f>SUM(G7:G15)</f>
        <v>9</v>
      </c>
    </row>
    <row r="19" spans="1:7" ht="13" x14ac:dyDescent="0.3">
      <c r="A19" s="2" t="s">
        <v>257</v>
      </c>
      <c r="B19" s="2"/>
      <c r="C19" s="2"/>
      <c r="D19" s="14">
        <f>SUMPRODUCT(D7:D15,$H$7:$H$15)</f>
        <v>6</v>
      </c>
      <c r="E19" s="14">
        <f>SUMPRODUCT(E7:E15,$H$7:$H$15)</f>
        <v>6</v>
      </c>
      <c r="F19" s="14">
        <f>SUMPRODUCT(F7:F15,$H$7:$H$15)</f>
        <v>5</v>
      </c>
      <c r="G19" s="14">
        <f>SUMPRODUCT(G7:G15,$H$7:$H$15)</f>
        <v>4</v>
      </c>
    </row>
    <row r="20" spans="1:7" ht="13" x14ac:dyDescent="0.3">
      <c r="A20" s="2" t="s">
        <v>258</v>
      </c>
      <c r="B20" s="2"/>
      <c r="C20" s="2"/>
      <c r="D20" s="14">
        <f>SUMPRODUCT(D7:D15,$B$7:$B$15,--($C$7:$C$15&gt;0))-IF(D$4="Restaurant",SUMPRODUCT(D7:D15,$B$7:$B$15,$H$7:$H$15,--($C$7:$C$15&gt;0)),0)</f>
        <v>98</v>
      </c>
      <c r="E20" s="14">
        <f>SUMPRODUCT(E7:E15,$B$7:$B$15,--($C$7:$C$15&gt;0))-IF(E$4="Restaurant",SUMPRODUCT(E7:E15,$B$7:$B$15,$H$7:$H$15,--($C$7:$C$15&gt;0)),0)</f>
        <v>98</v>
      </c>
      <c r="F20" s="14">
        <f>SUMPRODUCT(F7:F15,$B$7:$B$15,--($C$7:$C$15&gt;0))-IF(F$4="Restaurant",SUMPRODUCT(F7:F15,$B$7:$B$15,$H$7:$H$15,--($C$7:$C$15&gt;0)),0)</f>
        <v>82</v>
      </c>
      <c r="G20" s="14">
        <f>SUMPRODUCT(G7:G15,$B$7:$B$15,--($C$7:$C$15&gt;0))-IF(G$4="Restaurant",SUMPRODUCT(G7:G15,$B$7:$B$15,$H$7:$H$15,--($C$7:$C$15&gt;0)),0)</f>
        <v>52</v>
      </c>
    </row>
    <row r="21" spans="1:7" ht="13" x14ac:dyDescent="0.3">
      <c r="A21" s="45" t="s">
        <v>259</v>
      </c>
      <c r="B21" s="45"/>
      <c r="C21" s="45"/>
      <c r="D21" s="46">
        <f>SUMPRODUCT(D7:D15,$B$7:$B$15,$C$7:$C$15)-IF(D$4="Restaurant",SUMPRODUCT(D7:D15,$B$7:$B$15,$C$7:$C$15,$H$7:$H$15),0)</f>
        <v>3636</v>
      </c>
      <c r="E21" s="46">
        <f>SUMPRODUCT(E7:E15,$B$7:$B$15,$C$7:$C$15)-IF(E$4="Restaurant",SUMPRODUCT(E7:E15,$B$7:$B$15,$C$7:$C$15,$H$7:$H$15),0)</f>
        <v>3636</v>
      </c>
      <c r="F21" s="46">
        <f>SUMPRODUCT(F7:F15,$B$7:$B$15,$C$7:$C$15)-IF(F$4="Restaurant",SUMPRODUCT(F7:F15,$B$7:$B$15,$C$7:$C$15,$H$7:$H$15),0)</f>
        <v>3076</v>
      </c>
      <c r="G21" s="46">
        <f>SUMPRODUCT(G7:G15,$B$7:$B$15,$C$7:$C$15)-IF(G$4="Restaurant",SUMPRODUCT(G7:G15,$B$7:$B$15,$C$7:$C$15,$H$7:$H$15),0)</f>
        <v>2040</v>
      </c>
    </row>
    <row r="23" spans="1:7" ht="13" x14ac:dyDescent="0.3">
      <c r="A23" s="4" t="s">
        <v>260</v>
      </c>
    </row>
  </sheetData>
  <dataValidations count="1">
    <dataValidation type="list" allowBlank="1" showInputMessage="1" showErrorMessage="1" sqref="D4:G4" xr:uid="{9B663A6E-5B92-4772-A1ED-AA5999827DF6}">
      <formula1>"Nous,Restaurant"</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A8117B-BF63-41C1-92C8-4FEDF95C8C14}">
  <dimension ref="A1:P35"/>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44.6328125" style="1" customWidth="1"/>
    <col min="2" max="2" width="14.6328125" style="1" customWidth="1"/>
    <col min="3" max="14" width="11.6328125" style="1" customWidth="1"/>
    <col min="15" max="15" width="8.6328125" style="1" customWidth="1"/>
    <col min="16" max="16" width="60.6328125" style="1" customWidth="1"/>
    <col min="17" max="16384" width="10.90625" style="1"/>
  </cols>
  <sheetData>
    <row r="1" spans="1:16" ht="18" x14ac:dyDescent="0.4">
      <c r="A1" s="3" t="s">
        <v>112</v>
      </c>
    </row>
    <row r="2" spans="1:16" ht="13" x14ac:dyDescent="0.3">
      <c r="A2" s="4" t="s">
        <v>113</v>
      </c>
    </row>
    <row r="3" spans="1:16" ht="13" x14ac:dyDescent="0.3">
      <c r="A3" s="2" t="s">
        <v>114</v>
      </c>
      <c r="C3" s="32">
        <v>46327</v>
      </c>
      <c r="D3" s="4" t="s">
        <v>115</v>
      </c>
    </row>
    <row r="5" spans="1:16" ht="13" x14ac:dyDescent="0.3">
      <c r="A5" s="5" t="s">
        <v>31</v>
      </c>
      <c r="B5" s="5" t="s">
        <v>116</v>
      </c>
      <c r="C5" s="33">
        <f t="shared" ref="C5:N5" si="0">IF($C$3="","Mois "&amp;(COLUMN()-2),EDATE($C$3,COLUMN()-3))</f>
        <v>46327</v>
      </c>
      <c r="D5" s="33">
        <f t="shared" si="0"/>
        <v>46357</v>
      </c>
      <c r="E5" s="33">
        <f t="shared" si="0"/>
        <v>46388</v>
      </c>
      <c r="F5" s="33">
        <f t="shared" si="0"/>
        <v>46419</v>
      </c>
      <c r="G5" s="33">
        <f t="shared" si="0"/>
        <v>46447</v>
      </c>
      <c r="H5" s="33">
        <f t="shared" si="0"/>
        <v>46478</v>
      </c>
      <c r="I5" s="33">
        <f t="shared" si="0"/>
        <v>46508</v>
      </c>
      <c r="J5" s="33">
        <f t="shared" si="0"/>
        <v>46539</v>
      </c>
      <c r="K5" s="33">
        <f t="shared" si="0"/>
        <v>46569</v>
      </c>
      <c r="L5" s="33">
        <f t="shared" si="0"/>
        <v>46600</v>
      </c>
      <c r="M5" s="33">
        <f t="shared" si="0"/>
        <v>46631</v>
      </c>
      <c r="N5" s="33">
        <f t="shared" si="0"/>
        <v>46661</v>
      </c>
      <c r="O5" s="5" t="s">
        <v>37</v>
      </c>
      <c r="P5" s="5" t="s">
        <v>38</v>
      </c>
    </row>
    <row r="6" spans="1:16" ht="13" x14ac:dyDescent="0.3">
      <c r="A6" s="10" t="s">
        <v>117</v>
      </c>
      <c r="B6" s="10"/>
      <c r="C6" s="10"/>
      <c r="D6" s="10"/>
      <c r="E6" s="10"/>
      <c r="F6" s="10"/>
      <c r="G6" s="10"/>
      <c r="H6" s="10"/>
      <c r="I6" s="10"/>
      <c r="J6" s="10"/>
      <c r="K6" s="10"/>
      <c r="L6" s="10"/>
      <c r="M6" s="10"/>
      <c r="N6" s="10"/>
      <c r="O6" s="10"/>
      <c r="P6" s="10"/>
    </row>
    <row r="7" spans="1:16" ht="13" x14ac:dyDescent="0.3">
      <c r="A7" s="1" t="s">
        <v>118</v>
      </c>
      <c r="B7" s="14">
        <f>SUM(C7:N7)</f>
        <v>3</v>
      </c>
      <c r="C7" s="12">
        <v>0</v>
      </c>
      <c r="D7" s="12">
        <v>0</v>
      </c>
      <c r="E7" s="12">
        <v>1</v>
      </c>
      <c r="F7" s="12">
        <v>0</v>
      </c>
      <c r="G7" s="12">
        <v>0</v>
      </c>
      <c r="H7" s="12">
        <v>1</v>
      </c>
      <c r="I7" s="12">
        <v>0</v>
      </c>
      <c r="J7" s="12">
        <v>0</v>
      </c>
      <c r="K7" s="12">
        <v>1</v>
      </c>
      <c r="L7" s="12">
        <v>0</v>
      </c>
      <c r="M7" s="12">
        <v>0</v>
      </c>
      <c r="N7" s="12">
        <v>0</v>
      </c>
      <c r="O7" s="11" t="s">
        <v>89</v>
      </c>
      <c r="P7" s="11" t="s">
        <v>137</v>
      </c>
    </row>
    <row r="8" spans="1:16" ht="13" x14ac:dyDescent="0.3">
      <c r="A8" s="1" t="s">
        <v>119</v>
      </c>
      <c r="B8" s="14">
        <f>SUM(C8:N8)</f>
        <v>3</v>
      </c>
      <c r="C8" s="12">
        <v>0</v>
      </c>
      <c r="D8" s="12">
        <v>0</v>
      </c>
      <c r="E8" s="12">
        <v>0</v>
      </c>
      <c r="F8" s="12">
        <v>0</v>
      </c>
      <c r="G8" s="12">
        <v>1</v>
      </c>
      <c r="H8" s="12">
        <v>0</v>
      </c>
      <c r="I8" s="12">
        <v>0</v>
      </c>
      <c r="J8" s="12">
        <v>1</v>
      </c>
      <c r="K8" s="12">
        <v>0</v>
      </c>
      <c r="L8" s="12">
        <v>0</v>
      </c>
      <c r="M8" s="12">
        <v>0</v>
      </c>
      <c r="N8" s="12">
        <v>1</v>
      </c>
      <c r="O8" s="11" t="s">
        <v>89</v>
      </c>
      <c r="P8" s="11" t="s">
        <v>137</v>
      </c>
    </row>
    <row r="9" spans="1:16" ht="13" x14ac:dyDescent="0.3">
      <c r="A9" s="1" t="s">
        <v>120</v>
      </c>
      <c r="B9" s="14">
        <f>SUM(C9:N9)</f>
        <v>3</v>
      </c>
      <c r="C9" s="12">
        <v>0</v>
      </c>
      <c r="D9" s="12">
        <v>0</v>
      </c>
      <c r="E9" s="12">
        <v>0</v>
      </c>
      <c r="F9" s="12">
        <v>1</v>
      </c>
      <c r="G9" s="12">
        <v>0</v>
      </c>
      <c r="H9" s="12">
        <v>0</v>
      </c>
      <c r="I9" s="12">
        <v>1</v>
      </c>
      <c r="J9" s="12">
        <v>0</v>
      </c>
      <c r="K9" s="12">
        <v>0</v>
      </c>
      <c r="L9" s="12">
        <v>0</v>
      </c>
      <c r="M9" s="12">
        <v>1</v>
      </c>
      <c r="N9" s="12">
        <v>0</v>
      </c>
      <c r="O9" s="11" t="s">
        <v>89</v>
      </c>
      <c r="P9" s="11" t="s">
        <v>137</v>
      </c>
    </row>
    <row r="10" spans="1:16" ht="13" x14ac:dyDescent="0.3">
      <c r="A10" s="1" t="s">
        <v>121</v>
      </c>
      <c r="B10" s="14">
        <f>SUM(C10:N10)</f>
        <v>7</v>
      </c>
      <c r="C10" s="12">
        <v>0</v>
      </c>
      <c r="D10" s="12">
        <v>0</v>
      </c>
      <c r="E10" s="12">
        <v>0</v>
      </c>
      <c r="F10" s="12">
        <v>0</v>
      </c>
      <c r="G10" s="12">
        <v>0</v>
      </c>
      <c r="H10" s="12">
        <v>1</v>
      </c>
      <c r="I10" s="12">
        <v>1</v>
      </c>
      <c r="J10" s="12">
        <v>1</v>
      </c>
      <c r="K10" s="12">
        <v>0</v>
      </c>
      <c r="L10" s="12">
        <v>0</v>
      </c>
      <c r="M10" s="12">
        <v>2</v>
      </c>
      <c r="N10" s="12">
        <v>2</v>
      </c>
      <c r="O10" s="11" t="s">
        <v>89</v>
      </c>
      <c r="P10" s="11" t="s">
        <v>138</v>
      </c>
    </row>
    <row r="11" spans="1:16" ht="13" x14ac:dyDescent="0.3">
      <c r="A11" s="2" t="s">
        <v>122</v>
      </c>
      <c r="B11" s="14">
        <f>SUM(C11:N11)</f>
        <v>16</v>
      </c>
      <c r="C11" s="14">
        <f t="shared" ref="C11:N11" si="1">SUM(C7:C10)</f>
        <v>0</v>
      </c>
      <c r="D11" s="14">
        <f t="shared" si="1"/>
        <v>0</v>
      </c>
      <c r="E11" s="14">
        <f t="shared" si="1"/>
        <v>1</v>
      </c>
      <c r="F11" s="14">
        <f t="shared" si="1"/>
        <v>1</v>
      </c>
      <c r="G11" s="14">
        <f t="shared" si="1"/>
        <v>1</v>
      </c>
      <c r="H11" s="14">
        <f t="shared" si="1"/>
        <v>2</v>
      </c>
      <c r="I11" s="14">
        <f t="shared" si="1"/>
        <v>2</v>
      </c>
      <c r="J11" s="14">
        <f t="shared" si="1"/>
        <v>2</v>
      </c>
      <c r="K11" s="14">
        <f t="shared" si="1"/>
        <v>1</v>
      </c>
      <c r="L11" s="14">
        <f t="shared" si="1"/>
        <v>0</v>
      </c>
      <c r="M11" s="14">
        <f t="shared" si="1"/>
        <v>3</v>
      </c>
      <c r="N11" s="14">
        <f t="shared" si="1"/>
        <v>3</v>
      </c>
    </row>
    <row r="12" spans="1:16" ht="13" x14ac:dyDescent="0.3">
      <c r="A12" s="10" t="s">
        <v>123</v>
      </c>
      <c r="B12" s="10"/>
      <c r="C12" s="10"/>
      <c r="D12" s="10"/>
      <c r="E12" s="10"/>
      <c r="F12" s="10"/>
      <c r="G12" s="10"/>
      <c r="H12" s="10"/>
      <c r="I12" s="10"/>
      <c r="J12" s="10"/>
      <c r="K12" s="10"/>
      <c r="L12" s="10"/>
      <c r="M12" s="10"/>
      <c r="N12" s="10"/>
      <c r="O12" s="10"/>
      <c r="P12" s="10"/>
    </row>
    <row r="13" spans="1:16" ht="13" x14ac:dyDescent="0.3">
      <c r="A13" s="2" t="s">
        <v>124</v>
      </c>
      <c r="B13" s="17">
        <f>SUM(C13:N13)</f>
        <v>121955.35714285714</v>
      </c>
      <c r="C13" s="34">
        <f>C7*'Prix et marges'!$C$17+C8*'Prix et marges'!$D$17+C9*'Prix et marges'!$E$17+C10*'Prix et marges'!$F$17</f>
        <v>0</v>
      </c>
      <c r="D13" s="34">
        <f>D7*'Prix et marges'!$C$17+D8*'Prix et marges'!$D$17+D9*'Prix et marges'!$E$17+D10*'Prix et marges'!$F$17</f>
        <v>0</v>
      </c>
      <c r="E13" s="34">
        <f>E7*'Prix et marges'!$C$17+E8*'Prix et marges'!$D$17+E9*'Prix et marges'!$E$17+E10*'Prix et marges'!$F$17</f>
        <v>4919.642857142856</v>
      </c>
      <c r="F13" s="34">
        <f>F7*'Prix et marges'!$C$17+F8*'Prix et marges'!$D$17+F9*'Prix et marges'!$E$17+F10*'Prix et marges'!$F$17</f>
        <v>9857.1428571428569</v>
      </c>
      <c r="G13" s="34">
        <f>G7*'Prix et marges'!$C$17+G8*'Prix et marges'!$D$17+G9*'Prix et marges'!$E$17+G10*'Prix et marges'!$F$17</f>
        <v>7124.9999999999991</v>
      </c>
      <c r="H13" s="34">
        <f>H7*'Prix et marges'!$C$17+H8*'Prix et marges'!$D$17+H9*'Prix et marges'!$E$17+H10*'Prix et marges'!$F$17</f>
        <v>12955.357142857141</v>
      </c>
      <c r="I13" s="34">
        <f>I7*'Prix et marges'!$C$17+I8*'Prix et marges'!$D$17+I9*'Prix et marges'!$E$17+I10*'Prix et marges'!$F$17</f>
        <v>17892.857142857141</v>
      </c>
      <c r="J13" s="34">
        <f>J7*'Prix et marges'!$C$17+J8*'Prix et marges'!$D$17+J9*'Prix et marges'!$E$17+J10*'Prix et marges'!$F$17</f>
        <v>15160.714285714284</v>
      </c>
      <c r="K13" s="34">
        <f>K7*'Prix et marges'!$C$17+K8*'Prix et marges'!$D$17+K9*'Prix et marges'!$E$17+K10*'Prix et marges'!$F$17</f>
        <v>4919.642857142856</v>
      </c>
      <c r="L13" s="34">
        <f>L7*'Prix et marges'!$C$17+L8*'Prix et marges'!$D$17+L9*'Prix et marges'!$E$17+L10*'Prix et marges'!$F$17</f>
        <v>0</v>
      </c>
      <c r="M13" s="34">
        <f>M7*'Prix et marges'!$C$17+M8*'Prix et marges'!$D$17+M9*'Prix et marges'!$E$17+M10*'Prix et marges'!$F$17</f>
        <v>25928.571428571428</v>
      </c>
      <c r="N13" s="34">
        <f>N7*'Prix et marges'!$C$17+N8*'Prix et marges'!$D$17+N9*'Prix et marges'!$E$17+N10*'Prix et marges'!$F$17</f>
        <v>23196.428571428569</v>
      </c>
    </row>
    <row r="14" spans="1:16" ht="13" x14ac:dyDescent="0.3">
      <c r="A14" s="2" t="s">
        <v>125</v>
      </c>
      <c r="B14" s="17">
        <f>SUM(C14:N14)</f>
        <v>154313.17857142858</v>
      </c>
      <c r="C14" s="34">
        <f>C7*'Prix et marges'!$C$34+C8*'Prix et marges'!$D$34+C9*'Prix et marges'!$E$34+C10*'Prix et marges'!$F$34</f>
        <v>0</v>
      </c>
      <c r="D14" s="34">
        <f>D7*'Prix et marges'!$C$34+D8*'Prix et marges'!$D$34+D9*'Prix et marges'!$E$34+D10*'Prix et marges'!$F$34</f>
        <v>0</v>
      </c>
      <c r="E14" s="34">
        <f>E7*'Prix et marges'!$C$34+E8*'Prix et marges'!$D$34+E9*'Prix et marges'!$E$34+E10*'Prix et marges'!$F$34</f>
        <v>8539.7142857142862</v>
      </c>
      <c r="F14" s="34">
        <f>F7*'Prix et marges'!$C$34+F8*'Prix et marges'!$D$34+F9*'Prix et marges'!$E$34+F10*'Prix et marges'!$F$34</f>
        <v>13935.428571428572</v>
      </c>
      <c r="G14" s="34">
        <f>G7*'Prix et marges'!$C$34+G8*'Prix et marges'!$D$34+G9*'Prix et marges'!$E$34+G10*'Prix et marges'!$F$34</f>
        <v>10544.25</v>
      </c>
      <c r="H14" s="34">
        <f>H7*'Prix et marges'!$C$34+H8*'Prix et marges'!$D$34+H9*'Prix et marges'!$E$34+H10*'Prix et marges'!$F$34</f>
        <v>16433.285714285714</v>
      </c>
      <c r="I14" s="34">
        <f>I7*'Prix et marges'!$C$34+I8*'Prix et marges'!$D$34+I9*'Prix et marges'!$E$34+I10*'Prix et marges'!$F$34</f>
        <v>21829</v>
      </c>
      <c r="J14" s="34">
        <f>J7*'Prix et marges'!$C$34+J8*'Prix et marges'!$D$34+J9*'Prix et marges'!$E$34+J10*'Prix et marges'!$F$34</f>
        <v>18437.821428571428</v>
      </c>
      <c r="K14" s="34">
        <f>K7*'Prix et marges'!$C$34+K8*'Prix et marges'!$D$34+K9*'Prix et marges'!$E$34+K10*'Prix et marges'!$F$34</f>
        <v>8539.7142857142862</v>
      </c>
      <c r="L14" s="34">
        <f>L7*'Prix et marges'!$C$34+L8*'Prix et marges'!$D$34+L9*'Prix et marges'!$E$34+L10*'Prix et marges'!$F$34</f>
        <v>0</v>
      </c>
      <c r="M14" s="34">
        <f>M7*'Prix et marges'!$C$34+M8*'Prix et marges'!$D$34+M9*'Prix et marges'!$E$34+M10*'Prix et marges'!$F$34</f>
        <v>29722.571428571428</v>
      </c>
      <c r="N14" s="34">
        <f>N7*'Prix et marges'!$C$34+N8*'Prix et marges'!$D$34+N9*'Prix et marges'!$E$34+N10*'Prix et marges'!$F$34</f>
        <v>26331.392857142855</v>
      </c>
    </row>
    <row r="15" spans="1:16" ht="13" x14ac:dyDescent="0.3">
      <c r="A15" s="2" t="s">
        <v>78</v>
      </c>
      <c r="B15" s="17">
        <f>SUM(C15:N15)</f>
        <v>-32357.821428571442</v>
      </c>
      <c r="C15" s="17">
        <f t="shared" ref="C15:N15" si="2">C13-C14</f>
        <v>0</v>
      </c>
      <c r="D15" s="17">
        <f t="shared" si="2"/>
        <v>0</v>
      </c>
      <c r="E15" s="17">
        <f t="shared" si="2"/>
        <v>-3620.0714285714303</v>
      </c>
      <c r="F15" s="17">
        <f t="shared" si="2"/>
        <v>-4078.2857142857156</v>
      </c>
      <c r="G15" s="17">
        <f t="shared" si="2"/>
        <v>-3419.2500000000009</v>
      </c>
      <c r="H15" s="17">
        <f t="shared" si="2"/>
        <v>-3477.9285714285725</v>
      </c>
      <c r="I15" s="17">
        <f t="shared" si="2"/>
        <v>-3936.1428571428587</v>
      </c>
      <c r="J15" s="17">
        <f t="shared" si="2"/>
        <v>-3277.1071428571431</v>
      </c>
      <c r="K15" s="17">
        <f t="shared" si="2"/>
        <v>-3620.0714285714303</v>
      </c>
      <c r="L15" s="17">
        <f t="shared" si="2"/>
        <v>0</v>
      </c>
      <c r="M15" s="17">
        <f t="shared" si="2"/>
        <v>-3794</v>
      </c>
      <c r="N15" s="17">
        <f t="shared" si="2"/>
        <v>-3134.9642857142862</v>
      </c>
    </row>
    <row r="16" spans="1:16" ht="13" x14ac:dyDescent="0.3">
      <c r="A16" s="10" t="s">
        <v>179</v>
      </c>
      <c r="B16" s="10"/>
      <c r="C16" s="10"/>
      <c r="D16" s="10"/>
      <c r="E16" s="10"/>
      <c r="F16" s="10"/>
      <c r="G16" s="10"/>
      <c r="H16" s="10"/>
      <c r="I16" s="10"/>
      <c r="J16" s="10"/>
      <c r="K16" s="10"/>
      <c r="L16" s="10"/>
      <c r="M16" s="10"/>
      <c r="N16" s="10"/>
      <c r="O16" s="10"/>
      <c r="P16" s="10"/>
    </row>
    <row r="17" spans="1:16" ht="13" x14ac:dyDescent="0.3">
      <c r="A17" s="1" t="s">
        <v>180</v>
      </c>
      <c r="B17" s="17">
        <f t="shared" ref="B17:B30" si="3">SUM(C17:N17)</f>
        <v>0</v>
      </c>
      <c r="C17" s="15">
        <v>0</v>
      </c>
      <c r="D17" s="15">
        <v>0</v>
      </c>
      <c r="E17" s="15">
        <v>0</v>
      </c>
      <c r="F17" s="15">
        <v>0</v>
      </c>
      <c r="G17" s="15">
        <v>0</v>
      </c>
      <c r="H17" s="15">
        <v>0</v>
      </c>
      <c r="I17" s="15">
        <v>0</v>
      </c>
      <c r="J17" s="15">
        <v>0</v>
      </c>
      <c r="K17" s="15">
        <v>0</v>
      </c>
      <c r="L17" s="15">
        <v>0</v>
      </c>
      <c r="M17" s="15">
        <v>0</v>
      </c>
      <c r="N17" s="15">
        <v>0</v>
      </c>
      <c r="O17" s="11" t="s">
        <v>89</v>
      </c>
      <c r="P17" s="11" t="s">
        <v>139</v>
      </c>
    </row>
    <row r="18" spans="1:16" customFormat="1" ht="14.5" x14ac:dyDescent="0.35">
      <c r="A18" t="s">
        <v>181</v>
      </c>
      <c r="B18" s="42">
        <f>SUM(C18:N18)</f>
        <v>0</v>
      </c>
      <c r="C18" s="41">
        <v>0</v>
      </c>
      <c r="D18" s="41">
        <v>0</v>
      </c>
      <c r="E18" s="41">
        <v>0</v>
      </c>
      <c r="F18" s="41">
        <v>0</v>
      </c>
      <c r="G18" s="41">
        <v>0</v>
      </c>
      <c r="H18" s="41">
        <v>0</v>
      </c>
      <c r="I18" s="41">
        <v>0</v>
      </c>
      <c r="J18" s="41">
        <v>0</v>
      </c>
      <c r="K18" s="41">
        <v>0</v>
      </c>
      <c r="L18" s="41">
        <v>0</v>
      </c>
      <c r="M18" s="41">
        <v>0</v>
      </c>
      <c r="N18" s="41">
        <v>0</v>
      </c>
      <c r="O18" s="40" t="s">
        <v>89</v>
      </c>
      <c r="P18" s="40" t="s">
        <v>182</v>
      </c>
    </row>
    <row r="19" spans="1:16" customFormat="1" ht="14.5" x14ac:dyDescent="0.35">
      <c r="A19" t="s">
        <v>183</v>
      </c>
      <c r="B19" s="42">
        <f>SUM(C19:N19)</f>
        <v>0</v>
      </c>
      <c r="C19" s="41">
        <v>0</v>
      </c>
      <c r="D19" s="41">
        <v>0</v>
      </c>
      <c r="E19" s="41">
        <v>0</v>
      </c>
      <c r="F19" s="41">
        <v>0</v>
      </c>
      <c r="G19" s="41">
        <v>0</v>
      </c>
      <c r="H19" s="41">
        <v>0</v>
      </c>
      <c r="I19" s="41">
        <v>0</v>
      </c>
      <c r="J19" s="41">
        <v>0</v>
      </c>
      <c r="K19" s="41">
        <v>0</v>
      </c>
      <c r="L19" s="41">
        <v>0</v>
      </c>
      <c r="M19" s="41">
        <v>0</v>
      </c>
      <c r="N19" s="41">
        <v>0</v>
      </c>
      <c r="O19" s="40" t="s">
        <v>89</v>
      </c>
      <c r="P19" s="40" t="s">
        <v>184</v>
      </c>
    </row>
    <row r="20" spans="1:16" customFormat="1" ht="14.5" x14ac:dyDescent="0.35">
      <c r="A20" t="s">
        <v>185</v>
      </c>
      <c r="B20" s="42">
        <f>SUM(C20:N20)</f>
        <v>0</v>
      </c>
      <c r="C20" s="41">
        <v>0</v>
      </c>
      <c r="D20" s="41">
        <v>0</v>
      </c>
      <c r="E20" s="41">
        <v>0</v>
      </c>
      <c r="F20" s="41">
        <v>0</v>
      </c>
      <c r="G20" s="41">
        <v>0</v>
      </c>
      <c r="H20" s="41">
        <v>0</v>
      </c>
      <c r="I20" s="41">
        <v>0</v>
      </c>
      <c r="J20" s="41">
        <v>0</v>
      </c>
      <c r="K20" s="41">
        <v>0</v>
      </c>
      <c r="L20" s="41">
        <v>0</v>
      </c>
      <c r="M20" s="41">
        <v>0</v>
      </c>
      <c r="N20" s="41">
        <v>0</v>
      </c>
      <c r="O20" s="40" t="s">
        <v>89</v>
      </c>
      <c r="P20" s="40" t="s">
        <v>186</v>
      </c>
    </row>
    <row r="21" spans="1:16" customFormat="1" ht="14.5" x14ac:dyDescent="0.35">
      <c r="A21" s="44" t="s">
        <v>187</v>
      </c>
      <c r="B21" s="42">
        <f>SUM(C21:N21)</f>
        <v>0</v>
      </c>
      <c r="C21" s="42">
        <f t="shared" ref="C21:N21" si="4">SUM(C17:C20)</f>
        <v>0</v>
      </c>
      <c r="D21" s="42">
        <f t="shared" si="4"/>
        <v>0</v>
      </c>
      <c r="E21" s="42">
        <f t="shared" si="4"/>
        <v>0</v>
      </c>
      <c r="F21" s="42">
        <f t="shared" si="4"/>
        <v>0</v>
      </c>
      <c r="G21" s="42">
        <f t="shared" si="4"/>
        <v>0</v>
      </c>
      <c r="H21" s="42">
        <f t="shared" si="4"/>
        <v>0</v>
      </c>
      <c r="I21" s="42">
        <f t="shared" si="4"/>
        <v>0</v>
      </c>
      <c r="J21" s="42">
        <f t="shared" si="4"/>
        <v>0</v>
      </c>
      <c r="K21" s="42">
        <f t="shared" si="4"/>
        <v>0</v>
      </c>
      <c r="L21" s="42">
        <f t="shared" si="4"/>
        <v>0</v>
      </c>
      <c r="M21" s="42">
        <f t="shared" si="4"/>
        <v>0</v>
      </c>
      <c r="N21" s="42">
        <f t="shared" si="4"/>
        <v>0</v>
      </c>
    </row>
    <row r="22" spans="1:16" customFormat="1" ht="14.5" x14ac:dyDescent="0.35">
      <c r="A22" s="43" t="s">
        <v>188</v>
      </c>
      <c r="B22" s="43"/>
      <c r="C22" s="43"/>
      <c r="D22" s="43"/>
      <c r="E22" s="43"/>
      <c r="F22" s="43"/>
      <c r="G22" s="43"/>
      <c r="H22" s="43"/>
      <c r="I22" s="43"/>
      <c r="J22" s="43"/>
      <c r="K22" s="43"/>
      <c r="L22" s="43"/>
      <c r="M22" s="43"/>
      <c r="N22" s="43"/>
      <c r="O22" s="43"/>
      <c r="P22" s="43"/>
    </row>
    <row r="23" spans="1:16" ht="13" x14ac:dyDescent="0.3">
      <c r="A23" s="1" t="s">
        <v>126</v>
      </c>
      <c r="B23" s="17">
        <f t="shared" si="3"/>
        <v>0</v>
      </c>
      <c r="C23" s="15">
        <v>0</v>
      </c>
      <c r="D23" s="15">
        <v>0</v>
      </c>
      <c r="E23" s="15">
        <v>0</v>
      </c>
      <c r="F23" s="15">
        <v>0</v>
      </c>
      <c r="G23" s="15">
        <v>0</v>
      </c>
      <c r="H23" s="15">
        <v>0</v>
      </c>
      <c r="I23" s="15">
        <v>0</v>
      </c>
      <c r="J23" s="15">
        <v>0</v>
      </c>
      <c r="K23" s="15">
        <v>0</v>
      </c>
      <c r="L23" s="15">
        <v>0</v>
      </c>
      <c r="M23" s="15">
        <v>0</v>
      </c>
      <c r="N23" s="15">
        <v>0</v>
      </c>
      <c r="O23" s="11" t="s">
        <v>89</v>
      </c>
      <c r="P23" s="11" t="s">
        <v>140</v>
      </c>
    </row>
    <row r="24" spans="1:16" ht="13" x14ac:dyDescent="0.3">
      <c r="A24" s="1" t="s">
        <v>127</v>
      </c>
      <c r="B24" s="17">
        <f t="shared" si="3"/>
        <v>960</v>
      </c>
      <c r="C24" s="15">
        <v>80</v>
      </c>
      <c r="D24" s="15">
        <v>80</v>
      </c>
      <c r="E24" s="15">
        <v>80</v>
      </c>
      <c r="F24" s="15">
        <v>80</v>
      </c>
      <c r="G24" s="15">
        <v>80</v>
      </c>
      <c r="H24" s="15">
        <v>80</v>
      </c>
      <c r="I24" s="15">
        <v>80</v>
      </c>
      <c r="J24" s="15">
        <v>80</v>
      </c>
      <c r="K24" s="15">
        <v>80</v>
      </c>
      <c r="L24" s="15">
        <v>80</v>
      </c>
      <c r="M24" s="15">
        <v>80</v>
      </c>
      <c r="N24" s="15">
        <v>80</v>
      </c>
      <c r="O24" s="11" t="s">
        <v>89</v>
      </c>
      <c r="P24" s="11" t="s">
        <v>141</v>
      </c>
    </row>
    <row r="25" spans="1:16" ht="13" x14ac:dyDescent="0.3">
      <c r="A25" s="1" t="s">
        <v>128</v>
      </c>
      <c r="B25" s="17">
        <f t="shared" si="3"/>
        <v>7200</v>
      </c>
      <c r="C25" s="15">
        <v>300</v>
      </c>
      <c r="D25" s="15">
        <v>1500</v>
      </c>
      <c r="E25" s="15">
        <v>1500</v>
      </c>
      <c r="F25" s="15">
        <v>1500</v>
      </c>
      <c r="G25" s="15">
        <v>300</v>
      </c>
      <c r="H25" s="15">
        <v>300</v>
      </c>
      <c r="I25" s="15">
        <v>300</v>
      </c>
      <c r="J25" s="15">
        <v>300</v>
      </c>
      <c r="K25" s="15">
        <v>300</v>
      </c>
      <c r="L25" s="15">
        <v>300</v>
      </c>
      <c r="M25" s="15">
        <v>300</v>
      </c>
      <c r="N25" s="15">
        <v>300</v>
      </c>
      <c r="O25" s="11" t="s">
        <v>89</v>
      </c>
      <c r="P25" s="11" t="s">
        <v>142</v>
      </c>
    </row>
    <row r="26" spans="1:16" ht="13" x14ac:dyDescent="0.3">
      <c r="A26" s="1" t="s">
        <v>129</v>
      </c>
      <c r="B26" s="17">
        <f t="shared" si="3"/>
        <v>600</v>
      </c>
      <c r="C26" s="15">
        <v>50</v>
      </c>
      <c r="D26" s="15">
        <v>50</v>
      </c>
      <c r="E26" s="15">
        <v>50</v>
      </c>
      <c r="F26" s="15">
        <v>50</v>
      </c>
      <c r="G26" s="15">
        <v>50</v>
      </c>
      <c r="H26" s="15">
        <v>50</v>
      </c>
      <c r="I26" s="15">
        <v>50</v>
      </c>
      <c r="J26" s="15">
        <v>50</v>
      </c>
      <c r="K26" s="15">
        <v>50</v>
      </c>
      <c r="L26" s="15">
        <v>50</v>
      </c>
      <c r="M26" s="15">
        <v>50</v>
      </c>
      <c r="N26" s="15">
        <v>50</v>
      </c>
      <c r="O26" s="11" t="s">
        <v>89</v>
      </c>
      <c r="P26" s="11" t="s">
        <v>143</v>
      </c>
    </row>
    <row r="27" spans="1:16" ht="13" x14ac:dyDescent="0.3">
      <c r="A27" s="1" t="s">
        <v>130</v>
      </c>
      <c r="B27" s="17">
        <f t="shared" si="3"/>
        <v>2700</v>
      </c>
      <c r="C27" s="15">
        <v>1600</v>
      </c>
      <c r="D27" s="15">
        <v>100</v>
      </c>
      <c r="E27" s="15">
        <v>100</v>
      </c>
      <c r="F27" s="15">
        <v>100</v>
      </c>
      <c r="G27" s="15">
        <v>100</v>
      </c>
      <c r="H27" s="15">
        <v>100</v>
      </c>
      <c r="I27" s="15">
        <v>100</v>
      </c>
      <c r="J27" s="15">
        <v>100</v>
      </c>
      <c r="K27" s="15">
        <v>100</v>
      </c>
      <c r="L27" s="15">
        <v>100</v>
      </c>
      <c r="M27" s="15">
        <v>100</v>
      </c>
      <c r="N27" s="15">
        <v>100</v>
      </c>
      <c r="O27" s="11" t="s">
        <v>89</v>
      </c>
      <c r="P27" s="11" t="s">
        <v>144</v>
      </c>
    </row>
    <row r="28" spans="1:16" ht="13" x14ac:dyDescent="0.3">
      <c r="A28" s="1" t="s">
        <v>131</v>
      </c>
      <c r="B28" s="17">
        <f t="shared" si="3"/>
        <v>360</v>
      </c>
      <c r="C28" s="15">
        <v>30</v>
      </c>
      <c r="D28" s="15">
        <v>30</v>
      </c>
      <c r="E28" s="15">
        <v>30</v>
      </c>
      <c r="F28" s="15">
        <v>30</v>
      </c>
      <c r="G28" s="15">
        <v>30</v>
      </c>
      <c r="H28" s="15">
        <v>30</v>
      </c>
      <c r="I28" s="15">
        <v>30</v>
      </c>
      <c r="J28" s="15">
        <v>30</v>
      </c>
      <c r="K28" s="15">
        <v>30</v>
      </c>
      <c r="L28" s="15">
        <v>30</v>
      </c>
      <c r="M28" s="15">
        <v>30</v>
      </c>
      <c r="N28" s="15">
        <v>30</v>
      </c>
      <c r="O28" s="11" t="s">
        <v>89</v>
      </c>
      <c r="P28" s="11" t="s">
        <v>145</v>
      </c>
    </row>
    <row r="29" spans="1:16" ht="13" x14ac:dyDescent="0.3">
      <c r="A29" s="1" t="s">
        <v>132</v>
      </c>
      <c r="B29" s="17">
        <f t="shared" si="3"/>
        <v>600</v>
      </c>
      <c r="C29" s="15">
        <v>50</v>
      </c>
      <c r="D29" s="15">
        <v>50</v>
      </c>
      <c r="E29" s="15">
        <v>50</v>
      </c>
      <c r="F29" s="15">
        <v>50</v>
      </c>
      <c r="G29" s="15">
        <v>50</v>
      </c>
      <c r="H29" s="15">
        <v>50</v>
      </c>
      <c r="I29" s="15">
        <v>50</v>
      </c>
      <c r="J29" s="15">
        <v>50</v>
      </c>
      <c r="K29" s="15">
        <v>50</v>
      </c>
      <c r="L29" s="15">
        <v>50</v>
      </c>
      <c r="M29" s="15">
        <v>50</v>
      </c>
      <c r="N29" s="15">
        <v>50</v>
      </c>
      <c r="O29" s="11" t="s">
        <v>89</v>
      </c>
      <c r="P29" s="11" t="s">
        <v>146</v>
      </c>
    </row>
    <row r="30" spans="1:16" ht="13" x14ac:dyDescent="0.3">
      <c r="A30" s="1" t="s">
        <v>133</v>
      </c>
      <c r="B30" s="17">
        <f t="shared" si="3"/>
        <v>252</v>
      </c>
      <c r="C30" s="15">
        <v>252</v>
      </c>
      <c r="D30" s="15">
        <v>0</v>
      </c>
      <c r="E30" s="15">
        <v>0</v>
      </c>
      <c r="F30" s="15">
        <v>0</v>
      </c>
      <c r="G30" s="15">
        <v>0</v>
      </c>
      <c r="H30" s="15">
        <v>0</v>
      </c>
      <c r="I30" s="15">
        <v>0</v>
      </c>
      <c r="J30" s="15">
        <v>0</v>
      </c>
      <c r="K30" s="15">
        <v>0</v>
      </c>
      <c r="L30" s="15">
        <v>0</v>
      </c>
      <c r="M30" s="15">
        <v>0</v>
      </c>
      <c r="N30" s="15">
        <v>0</v>
      </c>
      <c r="O30" s="11" t="s">
        <v>147</v>
      </c>
      <c r="P30" s="11" t="s">
        <v>148</v>
      </c>
    </row>
    <row r="31" spans="1:16" customFormat="1" ht="14.5" x14ac:dyDescent="0.35">
      <c r="A31" s="44" t="s">
        <v>189</v>
      </c>
      <c r="B31" s="42">
        <f>SUM(C31:N31)</f>
        <v>12672</v>
      </c>
      <c r="C31" s="42">
        <f t="shared" ref="C31:N31" si="5">SUM(C23:C30)</f>
        <v>2362</v>
      </c>
      <c r="D31" s="42">
        <f t="shared" si="5"/>
        <v>1810</v>
      </c>
      <c r="E31" s="42">
        <f t="shared" si="5"/>
        <v>1810</v>
      </c>
      <c r="F31" s="42">
        <f t="shared" si="5"/>
        <v>1810</v>
      </c>
      <c r="G31" s="42">
        <f t="shared" si="5"/>
        <v>610</v>
      </c>
      <c r="H31" s="42">
        <f t="shared" si="5"/>
        <v>610</v>
      </c>
      <c r="I31" s="42">
        <f t="shared" si="5"/>
        <v>610</v>
      </c>
      <c r="J31" s="42">
        <f t="shared" si="5"/>
        <v>610</v>
      </c>
      <c r="K31" s="42">
        <f t="shared" si="5"/>
        <v>610</v>
      </c>
      <c r="L31" s="42">
        <f t="shared" si="5"/>
        <v>610</v>
      </c>
      <c r="M31" s="42">
        <f t="shared" si="5"/>
        <v>610</v>
      </c>
      <c r="N31" s="42">
        <f t="shared" si="5"/>
        <v>610</v>
      </c>
    </row>
    <row r="32" spans="1:16" ht="13" x14ac:dyDescent="0.3">
      <c r="A32" s="45" t="s">
        <v>190</v>
      </c>
      <c r="B32" s="46">
        <f>SUM(C32:N32)</f>
        <v>12672</v>
      </c>
      <c r="C32" s="46">
        <f t="shared" ref="C32:N32" si="6">C21+C31</f>
        <v>2362</v>
      </c>
      <c r="D32" s="46">
        <f t="shared" si="6"/>
        <v>1810</v>
      </c>
      <c r="E32" s="46">
        <f t="shared" si="6"/>
        <v>1810</v>
      </c>
      <c r="F32" s="46">
        <f t="shared" si="6"/>
        <v>1810</v>
      </c>
      <c r="G32" s="46">
        <f t="shared" si="6"/>
        <v>610</v>
      </c>
      <c r="H32" s="46">
        <f t="shared" si="6"/>
        <v>610</v>
      </c>
      <c r="I32" s="46">
        <f t="shared" si="6"/>
        <v>610</v>
      </c>
      <c r="J32" s="46">
        <f t="shared" si="6"/>
        <v>610</v>
      </c>
      <c r="K32" s="46">
        <f t="shared" si="6"/>
        <v>610</v>
      </c>
      <c r="L32" s="46">
        <f t="shared" si="6"/>
        <v>610</v>
      </c>
      <c r="M32" s="46">
        <f t="shared" si="6"/>
        <v>610</v>
      </c>
      <c r="N32" s="46">
        <f t="shared" si="6"/>
        <v>610</v>
      </c>
    </row>
    <row r="33" spans="1:16" ht="13" x14ac:dyDescent="0.3">
      <c r="A33" s="10" t="s">
        <v>134</v>
      </c>
      <c r="B33" s="10"/>
      <c r="C33" s="10"/>
      <c r="D33" s="10"/>
      <c r="E33" s="10"/>
      <c r="F33" s="10"/>
      <c r="G33" s="10"/>
      <c r="H33" s="10"/>
      <c r="I33" s="10"/>
      <c r="J33" s="10"/>
      <c r="K33" s="10"/>
      <c r="L33" s="10"/>
      <c r="M33" s="10"/>
      <c r="N33" s="10"/>
      <c r="O33" s="10"/>
      <c r="P33" s="10"/>
    </row>
    <row r="34" spans="1:16" ht="13" x14ac:dyDescent="0.3">
      <c r="A34" s="2" t="s">
        <v>135</v>
      </c>
      <c r="B34" s="17">
        <f>SUM(C34:N34)</f>
        <v>-45029.821428571435</v>
      </c>
      <c r="C34" s="17">
        <f t="shared" ref="C34:N34" si="7">C15-C32</f>
        <v>-2362</v>
      </c>
      <c r="D34" s="17">
        <f t="shared" si="7"/>
        <v>-1810</v>
      </c>
      <c r="E34" s="17">
        <f t="shared" si="7"/>
        <v>-5430.0714285714303</v>
      </c>
      <c r="F34" s="17">
        <f t="shared" si="7"/>
        <v>-5888.2857142857156</v>
      </c>
      <c r="G34" s="17">
        <f t="shared" si="7"/>
        <v>-4029.2500000000009</v>
      </c>
      <c r="H34" s="17">
        <f t="shared" si="7"/>
        <v>-4087.9285714285725</v>
      </c>
      <c r="I34" s="17">
        <f t="shared" si="7"/>
        <v>-4546.1428571428587</v>
      </c>
      <c r="J34" s="17">
        <f t="shared" si="7"/>
        <v>-3887.1071428571431</v>
      </c>
      <c r="K34" s="17">
        <f t="shared" si="7"/>
        <v>-4230.0714285714303</v>
      </c>
      <c r="L34" s="17">
        <f t="shared" si="7"/>
        <v>-610</v>
      </c>
      <c r="M34" s="17">
        <f t="shared" si="7"/>
        <v>-4404</v>
      </c>
      <c r="N34" s="17">
        <f t="shared" si="7"/>
        <v>-3744.9642857142862</v>
      </c>
    </row>
    <row r="35" spans="1:16" ht="13" x14ac:dyDescent="0.3">
      <c r="A35" s="2" t="s">
        <v>136</v>
      </c>
      <c r="B35" s="17">
        <f>N35</f>
        <v>-45029.821428571435</v>
      </c>
      <c r="C35" s="17">
        <f>C34</f>
        <v>-2362</v>
      </c>
      <c r="D35" s="17">
        <f t="shared" ref="D35:N35" si="8">C35+D34</f>
        <v>-4172</v>
      </c>
      <c r="E35" s="17">
        <f t="shared" si="8"/>
        <v>-9602.0714285714312</v>
      </c>
      <c r="F35" s="17">
        <f t="shared" si="8"/>
        <v>-15490.357142857147</v>
      </c>
      <c r="G35" s="17">
        <f t="shared" si="8"/>
        <v>-19519.607142857149</v>
      </c>
      <c r="H35" s="17">
        <f t="shared" si="8"/>
        <v>-23607.535714285721</v>
      </c>
      <c r="I35" s="17">
        <f t="shared" si="8"/>
        <v>-28153.67857142858</v>
      </c>
      <c r="J35" s="17">
        <f t="shared" si="8"/>
        <v>-32040.785714285725</v>
      </c>
      <c r="K35" s="17">
        <f t="shared" si="8"/>
        <v>-36270.857142857152</v>
      </c>
      <c r="L35" s="17">
        <f t="shared" si="8"/>
        <v>-36880.857142857152</v>
      </c>
      <c r="M35" s="17">
        <f t="shared" si="8"/>
        <v>-41284.857142857152</v>
      </c>
      <c r="N35" s="17">
        <f t="shared" si="8"/>
        <v>-45029.821428571435</v>
      </c>
    </row>
  </sheetData>
  <dataValidations count="1">
    <dataValidation type="list" allowBlank="1" showInputMessage="1" showErrorMessage="1" sqref="O7:O16 O31 O17:O30" xr:uid="{31226B02-E24A-4164-8201-A9757FEFEA83}">
      <formula1>"F,I,P,H"</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898DBE-F173-4946-8908-F62FA6ACEF06}">
  <dimension ref="A1:N27"/>
  <sheetViews>
    <sheetView zoomScaleNormal="100" workbookViewId="0">
      <pane xSplit="2" ySplit="5" topLeftCell="C6" activePane="bottomRight" state="frozenSplit"/>
      <selection pane="topRight" activeCell="C1" sqref="C1"/>
      <selection pane="bottomLeft" activeCell="A6" sqref="A6"/>
      <selection pane="bottomRight"/>
    </sheetView>
  </sheetViews>
  <sheetFormatPr baseColWidth="10" defaultRowHeight="12.5" x14ac:dyDescent="0.25"/>
  <cols>
    <col min="1" max="1" width="36.6328125" style="1" customWidth="1"/>
    <col min="2" max="2" width="14.6328125" style="1" customWidth="1"/>
    <col min="3" max="14" width="12.6328125" style="1" customWidth="1"/>
    <col min="15" max="16384" width="10.90625" style="1"/>
  </cols>
  <sheetData>
    <row r="1" spans="1:14" ht="18" x14ac:dyDescent="0.4">
      <c r="A1" s="3" t="s">
        <v>149</v>
      </c>
    </row>
    <row r="2" spans="1:14" ht="13" x14ac:dyDescent="0.3">
      <c r="A2" s="4" t="s">
        <v>150</v>
      </c>
    </row>
    <row r="5" spans="1:14" ht="13" x14ac:dyDescent="0.3">
      <c r="A5" s="5" t="s">
        <v>151</v>
      </c>
      <c r="B5" s="5" t="s">
        <v>116</v>
      </c>
      <c r="C5" s="33">
        <f>IF('Budget mensuel'!$C$3="","Mois "&amp;(COLUMN()-2),EDATE('Budget mensuel'!$C$3,COLUMN()-3))</f>
        <v>46327</v>
      </c>
      <c r="D5" s="33">
        <f>IF('Budget mensuel'!$C$3="","Mois "&amp;(COLUMN()-2),EDATE('Budget mensuel'!$C$3,COLUMN()-3))</f>
        <v>46357</v>
      </c>
      <c r="E5" s="33">
        <f>IF('Budget mensuel'!$C$3="","Mois "&amp;(COLUMN()-2),EDATE('Budget mensuel'!$C$3,COLUMN()-3))</f>
        <v>46388</v>
      </c>
      <c r="F5" s="33">
        <f>IF('Budget mensuel'!$C$3="","Mois "&amp;(COLUMN()-2),EDATE('Budget mensuel'!$C$3,COLUMN()-3))</f>
        <v>46419</v>
      </c>
      <c r="G5" s="33">
        <f>IF('Budget mensuel'!$C$3="","Mois "&amp;(COLUMN()-2),EDATE('Budget mensuel'!$C$3,COLUMN()-3))</f>
        <v>46447</v>
      </c>
      <c r="H5" s="33">
        <f>IF('Budget mensuel'!$C$3="","Mois "&amp;(COLUMN()-2),EDATE('Budget mensuel'!$C$3,COLUMN()-3))</f>
        <v>46478</v>
      </c>
      <c r="I5" s="33">
        <f>IF('Budget mensuel'!$C$3="","Mois "&amp;(COLUMN()-2),EDATE('Budget mensuel'!$C$3,COLUMN()-3))</f>
        <v>46508</v>
      </c>
      <c r="J5" s="33">
        <f>IF('Budget mensuel'!$C$3="","Mois "&amp;(COLUMN()-2),EDATE('Budget mensuel'!$C$3,COLUMN()-3))</f>
        <v>46539</v>
      </c>
      <c r="K5" s="33">
        <f>IF('Budget mensuel'!$C$3="","Mois "&amp;(COLUMN()-2),EDATE('Budget mensuel'!$C$3,COLUMN()-3))</f>
        <v>46569</v>
      </c>
      <c r="L5" s="33">
        <f>IF('Budget mensuel'!$C$3="","Mois "&amp;(COLUMN()-2),EDATE('Budget mensuel'!$C$3,COLUMN()-3))</f>
        <v>46600</v>
      </c>
      <c r="M5" s="33">
        <f>IF('Budget mensuel'!$C$3="","Mois "&amp;(COLUMN()-2),EDATE('Budget mensuel'!$C$3,COLUMN()-3))</f>
        <v>46631</v>
      </c>
      <c r="N5" s="33">
        <f>IF('Budget mensuel'!$C$3="","Mois "&amp;(COLUMN()-2),EDATE('Budget mensuel'!$C$3,COLUMN()-3))</f>
        <v>46661</v>
      </c>
    </row>
    <row r="6" spans="1:14" ht="13" x14ac:dyDescent="0.3">
      <c r="A6" s="10" t="s">
        <v>152</v>
      </c>
      <c r="B6" s="10"/>
      <c r="C6" s="10"/>
      <c r="D6" s="10"/>
      <c r="E6" s="10"/>
      <c r="F6" s="10"/>
      <c r="G6" s="10"/>
      <c r="H6" s="10"/>
      <c r="I6" s="10"/>
      <c r="J6" s="10"/>
      <c r="K6" s="10"/>
      <c r="L6" s="10"/>
      <c r="M6" s="10"/>
      <c r="N6" s="10"/>
    </row>
    <row r="7" spans="1:14" x14ac:dyDescent="0.25">
      <c r="A7" s="1" t="s">
        <v>153</v>
      </c>
      <c r="B7" s="13">
        <f>SUM(C7:N7)</f>
        <v>16</v>
      </c>
      <c r="C7" s="35">
        <f>'Budget mensuel'!C11</f>
        <v>0</v>
      </c>
      <c r="D7" s="35">
        <f>'Budget mensuel'!D11</f>
        <v>0</v>
      </c>
      <c r="E7" s="35">
        <f>'Budget mensuel'!E11</f>
        <v>1</v>
      </c>
      <c r="F7" s="35">
        <f>'Budget mensuel'!F11</f>
        <v>1</v>
      </c>
      <c r="G7" s="35">
        <f>'Budget mensuel'!G11</f>
        <v>1</v>
      </c>
      <c r="H7" s="35">
        <f>'Budget mensuel'!H11</f>
        <v>2</v>
      </c>
      <c r="I7" s="35">
        <f>'Budget mensuel'!I11</f>
        <v>2</v>
      </c>
      <c r="J7" s="35">
        <f>'Budget mensuel'!J11</f>
        <v>2</v>
      </c>
      <c r="K7" s="35">
        <f>'Budget mensuel'!K11</f>
        <v>1</v>
      </c>
      <c r="L7" s="35">
        <f>'Budget mensuel'!L11</f>
        <v>0</v>
      </c>
      <c r="M7" s="35">
        <f>'Budget mensuel'!M11</f>
        <v>3</v>
      </c>
      <c r="N7" s="35">
        <f>'Budget mensuel'!N11</f>
        <v>3</v>
      </c>
    </row>
    <row r="8" spans="1:14" x14ac:dyDescent="0.25">
      <c r="A8" s="1" t="s">
        <v>154</v>
      </c>
      <c r="B8" s="13">
        <f>SUM(C8:N8)</f>
        <v>0</v>
      </c>
      <c r="C8" s="12"/>
      <c r="D8" s="12"/>
      <c r="E8" s="12"/>
      <c r="F8" s="12"/>
      <c r="G8" s="12"/>
      <c r="H8" s="12"/>
      <c r="I8" s="12"/>
      <c r="J8" s="12"/>
      <c r="K8" s="12"/>
      <c r="L8" s="12"/>
      <c r="M8" s="12"/>
      <c r="N8" s="12"/>
    </row>
    <row r="9" spans="1:14" ht="13" x14ac:dyDescent="0.3">
      <c r="A9" s="2" t="s">
        <v>155</v>
      </c>
      <c r="B9" s="14">
        <f>SUM(C9:N9)</f>
        <v>0</v>
      </c>
      <c r="C9" s="14">
        <f t="shared" ref="C9:N9" si="0">IF(C8="",0,C8-C7)</f>
        <v>0</v>
      </c>
      <c r="D9" s="14">
        <f t="shared" si="0"/>
        <v>0</v>
      </c>
      <c r="E9" s="14">
        <f t="shared" si="0"/>
        <v>0</v>
      </c>
      <c r="F9" s="14">
        <f t="shared" si="0"/>
        <v>0</v>
      </c>
      <c r="G9" s="14">
        <f t="shared" si="0"/>
        <v>0</v>
      </c>
      <c r="H9" s="14">
        <f t="shared" si="0"/>
        <v>0</v>
      </c>
      <c r="I9" s="14">
        <f t="shared" si="0"/>
        <v>0</v>
      </c>
      <c r="J9" s="14">
        <f t="shared" si="0"/>
        <v>0</v>
      </c>
      <c r="K9" s="14">
        <f t="shared" si="0"/>
        <v>0</v>
      </c>
      <c r="L9" s="14">
        <f t="shared" si="0"/>
        <v>0</v>
      </c>
      <c r="M9" s="14">
        <f t="shared" si="0"/>
        <v>0</v>
      </c>
      <c r="N9" s="14">
        <f t="shared" si="0"/>
        <v>0</v>
      </c>
    </row>
    <row r="11" spans="1:14" ht="13" x14ac:dyDescent="0.3">
      <c r="A11" s="10" t="s">
        <v>124</v>
      </c>
      <c r="B11" s="10"/>
      <c r="C11" s="10"/>
      <c r="D11" s="10"/>
      <c r="E11" s="10"/>
      <c r="F11" s="10"/>
      <c r="G11" s="10"/>
      <c r="H11" s="10"/>
      <c r="I11" s="10"/>
      <c r="J11" s="10"/>
      <c r="K11" s="10"/>
      <c r="L11" s="10"/>
      <c r="M11" s="10"/>
      <c r="N11" s="10"/>
    </row>
    <row r="12" spans="1:14" x14ac:dyDescent="0.25">
      <c r="A12" s="1" t="s">
        <v>153</v>
      </c>
      <c r="B12" s="16">
        <f>SUM(C12:N12)</f>
        <v>121955.35714285714</v>
      </c>
      <c r="C12" s="36">
        <f>'Budget mensuel'!C13</f>
        <v>0</v>
      </c>
      <c r="D12" s="36">
        <f>'Budget mensuel'!D13</f>
        <v>0</v>
      </c>
      <c r="E12" s="36">
        <f>'Budget mensuel'!E13</f>
        <v>4919.642857142856</v>
      </c>
      <c r="F12" s="36">
        <f>'Budget mensuel'!F13</f>
        <v>9857.1428571428569</v>
      </c>
      <c r="G12" s="36">
        <f>'Budget mensuel'!G13</f>
        <v>7124.9999999999991</v>
      </c>
      <c r="H12" s="36">
        <f>'Budget mensuel'!H13</f>
        <v>12955.357142857141</v>
      </c>
      <c r="I12" s="36">
        <f>'Budget mensuel'!I13</f>
        <v>17892.857142857141</v>
      </c>
      <c r="J12" s="36">
        <f>'Budget mensuel'!J13</f>
        <v>15160.714285714284</v>
      </c>
      <c r="K12" s="36">
        <f>'Budget mensuel'!K13</f>
        <v>4919.642857142856</v>
      </c>
      <c r="L12" s="36">
        <f>'Budget mensuel'!L13</f>
        <v>0</v>
      </c>
      <c r="M12" s="36">
        <f>'Budget mensuel'!M13</f>
        <v>25928.571428571428</v>
      </c>
      <c r="N12" s="36">
        <f>'Budget mensuel'!N13</f>
        <v>23196.428571428569</v>
      </c>
    </row>
    <row r="13" spans="1:14" x14ac:dyDescent="0.25">
      <c r="A13" s="1" t="s">
        <v>154</v>
      </c>
      <c r="B13" s="16">
        <f>SUM(C13:N13)</f>
        <v>0</v>
      </c>
      <c r="C13" s="15"/>
      <c r="D13" s="15"/>
      <c r="E13" s="15"/>
      <c r="F13" s="15"/>
      <c r="G13" s="15"/>
      <c r="H13" s="15"/>
      <c r="I13" s="15"/>
      <c r="J13" s="15"/>
      <c r="K13" s="15"/>
      <c r="L13" s="15"/>
      <c r="M13" s="15"/>
      <c r="N13" s="15"/>
    </row>
    <row r="14" spans="1:14" ht="13" x14ac:dyDescent="0.3">
      <c r="A14" s="2" t="s">
        <v>155</v>
      </c>
      <c r="B14" s="17">
        <f>SUM(C14:N14)</f>
        <v>0</v>
      </c>
      <c r="C14" s="17">
        <f t="shared" ref="C14:N14" si="1">IF(C13="",0,C13-C12)</f>
        <v>0</v>
      </c>
      <c r="D14" s="17">
        <f t="shared" si="1"/>
        <v>0</v>
      </c>
      <c r="E14" s="17">
        <f t="shared" si="1"/>
        <v>0</v>
      </c>
      <c r="F14" s="17">
        <f t="shared" si="1"/>
        <v>0</v>
      </c>
      <c r="G14" s="17">
        <f t="shared" si="1"/>
        <v>0</v>
      </c>
      <c r="H14" s="17">
        <f t="shared" si="1"/>
        <v>0</v>
      </c>
      <c r="I14" s="17">
        <f t="shared" si="1"/>
        <v>0</v>
      </c>
      <c r="J14" s="17">
        <f t="shared" si="1"/>
        <v>0</v>
      </c>
      <c r="K14" s="17">
        <f t="shared" si="1"/>
        <v>0</v>
      </c>
      <c r="L14" s="17">
        <f t="shared" si="1"/>
        <v>0</v>
      </c>
      <c r="M14" s="17">
        <f t="shared" si="1"/>
        <v>0</v>
      </c>
      <c r="N14" s="17">
        <f t="shared" si="1"/>
        <v>0</v>
      </c>
    </row>
    <row r="16" spans="1:14" ht="13" x14ac:dyDescent="0.3">
      <c r="A16" s="10" t="s">
        <v>190</v>
      </c>
      <c r="B16" s="10"/>
      <c r="C16" s="10"/>
      <c r="D16" s="10"/>
      <c r="E16" s="10"/>
      <c r="F16" s="10"/>
      <c r="G16" s="10"/>
      <c r="H16" s="10"/>
      <c r="I16" s="10"/>
      <c r="J16" s="10"/>
      <c r="K16" s="10"/>
      <c r="L16" s="10"/>
      <c r="M16" s="10"/>
      <c r="N16" s="10"/>
    </row>
    <row r="17" spans="1:14" x14ac:dyDescent="0.25">
      <c r="A17" s="1" t="s">
        <v>153</v>
      </c>
      <c r="B17" s="16">
        <f>SUM(C17:N17)</f>
        <v>12672</v>
      </c>
      <c r="C17" s="36">
        <f>'Budget mensuel'!C32</f>
        <v>2362</v>
      </c>
      <c r="D17" s="36">
        <f>'Budget mensuel'!D32</f>
        <v>1810</v>
      </c>
      <c r="E17" s="36">
        <f>'Budget mensuel'!E32</f>
        <v>1810</v>
      </c>
      <c r="F17" s="36">
        <f>'Budget mensuel'!F32</f>
        <v>1810</v>
      </c>
      <c r="G17" s="36">
        <f>'Budget mensuel'!G32</f>
        <v>610</v>
      </c>
      <c r="H17" s="36">
        <f>'Budget mensuel'!H32</f>
        <v>610</v>
      </c>
      <c r="I17" s="36">
        <f>'Budget mensuel'!I32</f>
        <v>610</v>
      </c>
      <c r="J17" s="36">
        <f>'Budget mensuel'!J32</f>
        <v>610</v>
      </c>
      <c r="K17" s="36">
        <f>'Budget mensuel'!K32</f>
        <v>610</v>
      </c>
      <c r="L17" s="36">
        <f>'Budget mensuel'!L32</f>
        <v>610</v>
      </c>
      <c r="M17" s="36">
        <f>'Budget mensuel'!M32</f>
        <v>610</v>
      </c>
      <c r="N17" s="36">
        <f>'Budget mensuel'!N32</f>
        <v>610</v>
      </c>
    </row>
    <row r="18" spans="1:14" x14ac:dyDescent="0.25">
      <c r="A18" s="1" t="s">
        <v>154</v>
      </c>
      <c r="B18" s="16">
        <f>SUM(C18:N18)</f>
        <v>0</v>
      </c>
      <c r="C18" s="15"/>
      <c r="D18" s="15"/>
      <c r="E18" s="15"/>
      <c r="F18" s="15"/>
      <c r="G18" s="15"/>
      <c r="H18" s="15"/>
      <c r="I18" s="15"/>
      <c r="J18" s="15"/>
      <c r="K18" s="15"/>
      <c r="L18" s="15"/>
      <c r="M18" s="15"/>
      <c r="N18" s="15"/>
    </row>
    <row r="19" spans="1:14" ht="13" x14ac:dyDescent="0.3">
      <c r="A19" s="2" t="s">
        <v>155</v>
      </c>
      <c r="B19" s="17">
        <f>SUM(C19:N19)</f>
        <v>0</v>
      </c>
      <c r="C19" s="17">
        <f t="shared" ref="C19:N19" si="2">IF(C18="",0,C18-C17)</f>
        <v>0</v>
      </c>
      <c r="D19" s="17">
        <f t="shared" si="2"/>
        <v>0</v>
      </c>
      <c r="E19" s="17">
        <f t="shared" si="2"/>
        <v>0</v>
      </c>
      <c r="F19" s="17">
        <f t="shared" si="2"/>
        <v>0</v>
      </c>
      <c r="G19" s="17">
        <f t="shared" si="2"/>
        <v>0</v>
      </c>
      <c r="H19" s="17">
        <f t="shared" si="2"/>
        <v>0</v>
      </c>
      <c r="I19" s="17">
        <f t="shared" si="2"/>
        <v>0</v>
      </c>
      <c r="J19" s="17">
        <f t="shared" si="2"/>
        <v>0</v>
      </c>
      <c r="K19" s="17">
        <f t="shared" si="2"/>
        <v>0</v>
      </c>
      <c r="L19" s="17">
        <f t="shared" si="2"/>
        <v>0</v>
      </c>
      <c r="M19" s="17">
        <f t="shared" si="2"/>
        <v>0</v>
      </c>
      <c r="N19" s="17">
        <f t="shared" si="2"/>
        <v>0</v>
      </c>
    </row>
    <row r="21" spans="1:14" ht="13" x14ac:dyDescent="0.3">
      <c r="A21" s="10" t="s">
        <v>156</v>
      </c>
      <c r="B21" s="10"/>
      <c r="C21" s="10"/>
      <c r="D21" s="10"/>
      <c r="E21" s="10"/>
      <c r="F21" s="10"/>
      <c r="G21" s="10"/>
      <c r="H21" s="10"/>
      <c r="I21" s="10"/>
      <c r="J21" s="10"/>
      <c r="K21" s="10"/>
      <c r="L21" s="10"/>
      <c r="M21" s="10"/>
      <c r="N21" s="10"/>
    </row>
    <row r="22" spans="1:14" x14ac:dyDescent="0.25">
      <c r="A22" s="1" t="s">
        <v>153</v>
      </c>
      <c r="B22" s="16">
        <f>SUM(C22:N22)</f>
        <v>-45029.821428571435</v>
      </c>
      <c r="C22" s="36">
        <f>'Budget mensuel'!C34</f>
        <v>-2362</v>
      </c>
      <c r="D22" s="36">
        <f>'Budget mensuel'!D34</f>
        <v>-1810</v>
      </c>
      <c r="E22" s="36">
        <f>'Budget mensuel'!E34</f>
        <v>-5430.0714285714303</v>
      </c>
      <c r="F22" s="36">
        <f>'Budget mensuel'!F34</f>
        <v>-5888.2857142857156</v>
      </c>
      <c r="G22" s="36">
        <f>'Budget mensuel'!G34</f>
        <v>-4029.2500000000009</v>
      </c>
      <c r="H22" s="36">
        <f>'Budget mensuel'!H34</f>
        <v>-4087.9285714285725</v>
      </c>
      <c r="I22" s="36">
        <f>'Budget mensuel'!I34</f>
        <v>-4546.1428571428587</v>
      </c>
      <c r="J22" s="36">
        <f>'Budget mensuel'!J34</f>
        <v>-3887.1071428571431</v>
      </c>
      <c r="K22" s="36">
        <f>'Budget mensuel'!K34</f>
        <v>-4230.0714285714303</v>
      </c>
      <c r="L22" s="36">
        <f>'Budget mensuel'!L34</f>
        <v>-610</v>
      </c>
      <c r="M22" s="36">
        <f>'Budget mensuel'!M34</f>
        <v>-4404</v>
      </c>
      <c r="N22" s="36">
        <f>'Budget mensuel'!N34</f>
        <v>-3744.9642857142862</v>
      </c>
    </row>
    <row r="23" spans="1:14" x14ac:dyDescent="0.25">
      <c r="A23" s="1" t="s">
        <v>154</v>
      </c>
      <c r="B23" s="16">
        <f>SUM(C23:N23)</f>
        <v>0</v>
      </c>
      <c r="C23" s="15"/>
      <c r="D23" s="15"/>
      <c r="E23" s="15"/>
      <c r="F23" s="15"/>
      <c r="G23" s="15"/>
      <c r="H23" s="15"/>
      <c r="I23" s="15"/>
      <c r="J23" s="15"/>
      <c r="K23" s="15"/>
      <c r="L23" s="15"/>
      <c r="M23" s="15"/>
      <c r="N23" s="15"/>
    </row>
    <row r="24" spans="1:14" ht="13" x14ac:dyDescent="0.3">
      <c r="A24" s="2" t="s">
        <v>155</v>
      </c>
      <c r="B24" s="17">
        <f>SUM(C24:N24)</f>
        <v>0</v>
      </c>
      <c r="C24" s="17">
        <f t="shared" ref="C24:N24" si="3">IF(C23="",0,C23-C22)</f>
        <v>0</v>
      </c>
      <c r="D24" s="17">
        <f t="shared" si="3"/>
        <v>0</v>
      </c>
      <c r="E24" s="17">
        <f t="shared" si="3"/>
        <v>0</v>
      </c>
      <c r="F24" s="17">
        <f t="shared" si="3"/>
        <v>0</v>
      </c>
      <c r="G24" s="17">
        <f t="shared" si="3"/>
        <v>0</v>
      </c>
      <c r="H24" s="17">
        <f t="shared" si="3"/>
        <v>0</v>
      </c>
      <c r="I24" s="17">
        <f t="shared" si="3"/>
        <v>0</v>
      </c>
      <c r="J24" s="17">
        <f t="shared" si="3"/>
        <v>0</v>
      </c>
      <c r="K24" s="17">
        <f t="shared" si="3"/>
        <v>0</v>
      </c>
      <c r="L24" s="17">
        <f t="shared" si="3"/>
        <v>0</v>
      </c>
      <c r="M24" s="17">
        <f t="shared" si="3"/>
        <v>0</v>
      </c>
      <c r="N24" s="17">
        <f t="shared" si="3"/>
        <v>0</v>
      </c>
    </row>
    <row r="26" spans="1:14" ht="13" x14ac:dyDescent="0.3">
      <c r="A26" s="10" t="s">
        <v>157</v>
      </c>
      <c r="B26" s="10"/>
      <c r="C26" s="10"/>
      <c r="D26" s="10"/>
      <c r="E26" s="10"/>
      <c r="F26" s="10"/>
      <c r="G26" s="10"/>
      <c r="H26" s="10"/>
      <c r="I26" s="10"/>
      <c r="J26" s="10"/>
      <c r="K26" s="10"/>
      <c r="L26" s="10"/>
      <c r="M26" s="10"/>
      <c r="N26" s="10"/>
    </row>
    <row r="27" spans="1:14" ht="45" customHeight="1" x14ac:dyDescent="0.25">
      <c r="A27" s="7" t="s">
        <v>158</v>
      </c>
      <c r="C27" s="18"/>
      <c r="D27" s="18"/>
      <c r="E27" s="18"/>
      <c r="F27" s="18"/>
      <c r="G27" s="18"/>
      <c r="H27" s="18"/>
      <c r="I27" s="18"/>
      <c r="J27" s="18"/>
      <c r="K27" s="18"/>
      <c r="L27" s="18"/>
      <c r="M27" s="18"/>
      <c r="N27" s="1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FB26B6-A531-4D48-8F04-B3463A220999}">
  <dimension ref="A1:G29"/>
  <sheetViews>
    <sheetView zoomScaleNormal="100" workbookViewId="0"/>
  </sheetViews>
  <sheetFormatPr baseColWidth="10" defaultRowHeight="12.5" x14ac:dyDescent="0.25"/>
  <cols>
    <col min="1" max="1" width="46.6328125" style="1" customWidth="1"/>
    <col min="2" max="2" width="18.6328125" style="1" customWidth="1"/>
    <col min="3" max="5" width="16.6328125" style="1" customWidth="1"/>
    <col min="6" max="6" width="8.6328125" style="1" customWidth="1"/>
    <col min="7" max="7" width="70.6328125" style="1" customWidth="1"/>
    <col min="8" max="16384" width="10.90625" style="1"/>
  </cols>
  <sheetData>
    <row r="1" spans="1:7" ht="18" x14ac:dyDescent="0.4">
      <c r="A1" s="3" t="s">
        <v>159</v>
      </c>
    </row>
    <row r="2" spans="1:7" ht="13" x14ac:dyDescent="0.3">
      <c r="A2" s="4" t="s">
        <v>160</v>
      </c>
    </row>
    <row r="5" spans="1:7" ht="13" x14ac:dyDescent="0.25">
      <c r="A5" s="6" t="s">
        <v>31</v>
      </c>
      <c r="B5" s="6" t="s">
        <v>32</v>
      </c>
      <c r="C5" s="6" t="s">
        <v>161</v>
      </c>
      <c r="D5" s="6" t="s">
        <v>162</v>
      </c>
      <c r="E5" s="6" t="s">
        <v>163</v>
      </c>
      <c r="F5" s="6" t="s">
        <v>37</v>
      </c>
      <c r="G5" s="6" t="s">
        <v>38</v>
      </c>
    </row>
    <row r="6" spans="1:7" ht="13" x14ac:dyDescent="0.3">
      <c r="A6" s="10" t="s">
        <v>164</v>
      </c>
      <c r="B6" s="10"/>
      <c r="C6" s="10"/>
      <c r="D6" s="10"/>
      <c r="E6" s="10"/>
      <c r="F6" s="10"/>
      <c r="G6" s="10"/>
    </row>
    <row r="7" spans="1:7" ht="37.5" x14ac:dyDescent="0.25">
      <c r="A7" s="19" t="s">
        <v>118</v>
      </c>
      <c r="B7" s="19" t="s">
        <v>165</v>
      </c>
      <c r="C7" s="37">
        <f>'Budget mensuel'!$B$7</f>
        <v>3</v>
      </c>
      <c r="D7" s="20">
        <v>8</v>
      </c>
      <c r="E7" s="20">
        <v>12</v>
      </c>
      <c r="F7" s="21" t="s">
        <v>89</v>
      </c>
      <c r="G7" s="22" t="s">
        <v>177</v>
      </c>
    </row>
    <row r="8" spans="1:7" ht="37.5" x14ac:dyDescent="0.25">
      <c r="A8" s="19" t="s">
        <v>119</v>
      </c>
      <c r="B8" s="19" t="s">
        <v>165</v>
      </c>
      <c r="C8" s="37">
        <f>'Budget mensuel'!$B$8</f>
        <v>3</v>
      </c>
      <c r="D8" s="20">
        <v>8</v>
      </c>
      <c r="E8" s="20">
        <v>12</v>
      </c>
      <c r="F8" s="21" t="s">
        <v>89</v>
      </c>
      <c r="G8" s="22" t="s">
        <v>177</v>
      </c>
    </row>
    <row r="9" spans="1:7" ht="37.5" x14ac:dyDescent="0.25">
      <c r="A9" s="19" t="s">
        <v>120</v>
      </c>
      <c r="B9" s="19" t="s">
        <v>165</v>
      </c>
      <c r="C9" s="37">
        <f>'Budget mensuel'!$B$9</f>
        <v>3</v>
      </c>
      <c r="D9" s="20">
        <v>8</v>
      </c>
      <c r="E9" s="20">
        <v>12</v>
      </c>
      <c r="F9" s="21" t="s">
        <v>89</v>
      </c>
      <c r="G9" s="22" t="s">
        <v>177</v>
      </c>
    </row>
    <row r="10" spans="1:7" ht="37.5" x14ac:dyDescent="0.25">
      <c r="A10" s="19" t="s">
        <v>166</v>
      </c>
      <c r="B10" s="19" t="s">
        <v>165</v>
      </c>
      <c r="C10" s="37">
        <f>'Budget mensuel'!$B$10</f>
        <v>7</v>
      </c>
      <c r="D10" s="20">
        <v>24</v>
      </c>
      <c r="E10" s="20">
        <v>48</v>
      </c>
      <c r="F10" s="21" t="s">
        <v>89</v>
      </c>
      <c r="G10" s="22" t="s">
        <v>177</v>
      </c>
    </row>
    <row r="11" spans="1:7" ht="13" x14ac:dyDescent="0.25">
      <c r="A11" s="8" t="s">
        <v>122</v>
      </c>
      <c r="B11" s="8" t="s">
        <v>165</v>
      </c>
      <c r="C11" s="24">
        <f t="shared" ref="C11:E11" si="0">SUM(C7:C10)</f>
        <v>16</v>
      </c>
      <c r="D11" s="24">
        <f t="shared" si="0"/>
        <v>48</v>
      </c>
      <c r="E11" s="24">
        <f t="shared" si="0"/>
        <v>84</v>
      </c>
      <c r="F11" s="21"/>
      <c r="G11" s="22"/>
    </row>
    <row r="12" spans="1:7" ht="13" x14ac:dyDescent="0.25">
      <c r="A12" s="29" t="s">
        <v>167</v>
      </c>
      <c r="B12" s="29"/>
      <c r="C12" s="29"/>
      <c r="D12" s="29"/>
      <c r="E12" s="29"/>
      <c r="F12" s="29"/>
      <c r="G12" s="30"/>
    </row>
    <row r="13" spans="1:7" ht="13" x14ac:dyDescent="0.25">
      <c r="A13" s="8" t="s">
        <v>124</v>
      </c>
      <c r="B13" s="8" t="s">
        <v>56</v>
      </c>
      <c r="C13" s="38">
        <f>C7*'Prix et marges'!$C$17+C8*'Prix et marges'!$D$17+C9*'Prix et marges'!$E$17+C10*'Prix et marges'!$F$17</f>
        <v>121955.35714285713</v>
      </c>
      <c r="D13" s="38">
        <f>D7*'Prix et marges'!$C$17+D8*'Prix et marges'!$D$17+D9*'Prix et marges'!$E$17+D10*'Prix et marges'!$F$17</f>
        <v>368071.42857142852</v>
      </c>
      <c r="E13" s="38">
        <f>E7*'Prix et marges'!$C$17+E8*'Prix et marges'!$D$17+E9*'Prix et marges'!$E$17+E10*'Prix et marges'!$F$17</f>
        <v>648535.7142857142</v>
      </c>
      <c r="F13" s="21"/>
      <c r="G13" s="22"/>
    </row>
    <row r="14" spans="1:7" ht="13" x14ac:dyDescent="0.25">
      <c r="A14" s="8" t="s">
        <v>125</v>
      </c>
      <c r="B14" s="8" t="s">
        <v>56</v>
      </c>
      <c r="C14" s="38">
        <f>C7*'Prix et marges'!$C$34+C8*'Prix et marges'!$D$34+C9*'Prix et marges'!$E$34+C10*'Prix et marges'!$F$34</f>
        <v>154313.17857142858</v>
      </c>
      <c r="D14" s="38">
        <f>D7*'Prix et marges'!$C$34+D8*'Prix et marges'!$D$34+D9*'Prix et marges'!$E$34+D10*'Prix et marges'!$F$34</f>
        <v>453600.85714285716</v>
      </c>
      <c r="E14" s="38">
        <f>E7*'Prix et marges'!$C$34+E8*'Prix et marges'!$D$34+E9*'Prix et marges'!$E$34+E10*'Prix et marges'!$F$34</f>
        <v>775124.14285714296</v>
      </c>
      <c r="F14" s="21"/>
      <c r="G14" s="22"/>
    </row>
    <row r="15" spans="1:7" ht="13" x14ac:dyDescent="0.25">
      <c r="A15" s="8" t="s">
        <v>78</v>
      </c>
      <c r="B15" s="8" t="s">
        <v>56</v>
      </c>
      <c r="C15" s="28">
        <f t="shared" ref="C15:E15" si="1">C13-C14</f>
        <v>-32357.821428571449</v>
      </c>
      <c r="D15" s="28">
        <f t="shared" si="1"/>
        <v>-85529.428571428638</v>
      </c>
      <c r="E15" s="28">
        <f t="shared" si="1"/>
        <v>-126588.42857142875</v>
      </c>
      <c r="F15" s="21"/>
      <c r="G15" s="22"/>
    </row>
    <row r="16" spans="1:7" ht="13" x14ac:dyDescent="0.25">
      <c r="A16" s="8" t="s">
        <v>79</v>
      </c>
      <c r="B16" s="8" t="s">
        <v>64</v>
      </c>
      <c r="C16" s="31">
        <f t="shared" ref="C16:E16" si="2">IF(C13&gt;0,C15/C13,0)</f>
        <v>-0.26532513361153837</v>
      </c>
      <c r="D16" s="31">
        <f t="shared" si="2"/>
        <v>-0.23237182223947236</v>
      </c>
      <c r="E16" s="31">
        <f t="shared" si="2"/>
        <v>-0.19519114488683328</v>
      </c>
      <c r="F16" s="21"/>
      <c r="G16" s="22"/>
    </row>
    <row r="17" spans="1:7" customFormat="1" ht="29" x14ac:dyDescent="0.35">
      <c r="A17" t="s">
        <v>219</v>
      </c>
      <c r="B17" t="s">
        <v>168</v>
      </c>
      <c r="C17" s="50">
        <f>'Budget mensuel'!$B$21</f>
        <v>0</v>
      </c>
      <c r="D17" s="50">
        <f>'Frais généraux 3 ans'!$F$13</f>
        <v>32486.147999999997</v>
      </c>
      <c r="E17" s="50">
        <f>'Frais généraux 3 ans'!$G$13</f>
        <v>168206.14799999999</v>
      </c>
      <c r="F17" s="40" t="s">
        <v>89</v>
      </c>
      <c r="G17" s="51" t="s">
        <v>221</v>
      </c>
    </row>
    <row r="18" spans="1:7" customFormat="1" ht="14.5" x14ac:dyDescent="0.35">
      <c r="A18" t="s">
        <v>220</v>
      </c>
      <c r="B18" t="s">
        <v>168</v>
      </c>
      <c r="C18" s="50">
        <f>'Budget mensuel'!$B$31</f>
        <v>12672</v>
      </c>
      <c r="D18" s="50">
        <f>'Frais généraux 3 ans'!$F$25</f>
        <v>24300</v>
      </c>
      <c r="E18" s="50">
        <f>'Frais généraux 3 ans'!$G$25</f>
        <v>57800</v>
      </c>
      <c r="F18" s="40" t="s">
        <v>89</v>
      </c>
      <c r="G18" s="51" t="s">
        <v>222</v>
      </c>
    </row>
    <row r="19" spans="1:7" ht="13" x14ac:dyDescent="0.25">
      <c r="A19" s="8" t="s">
        <v>190</v>
      </c>
      <c r="B19" s="8" t="s">
        <v>168</v>
      </c>
      <c r="C19" s="28">
        <f t="shared" ref="C19:E19" si="3">C17+C18</f>
        <v>12672</v>
      </c>
      <c r="D19" s="28">
        <f t="shared" si="3"/>
        <v>56786.148000000001</v>
      </c>
      <c r="E19" s="28">
        <f t="shared" si="3"/>
        <v>226006.14799999999</v>
      </c>
      <c r="F19" s="21"/>
      <c r="G19" s="22" t="s">
        <v>223</v>
      </c>
    </row>
    <row r="20" spans="1:7" ht="13" x14ac:dyDescent="0.25">
      <c r="A20" s="8" t="s">
        <v>156</v>
      </c>
      <c r="B20" s="8" t="s">
        <v>56</v>
      </c>
      <c r="C20" s="28">
        <f t="shared" ref="C20:E20" si="4">C15-C19</f>
        <v>-45029.821428571449</v>
      </c>
      <c r="D20" s="28">
        <f t="shared" si="4"/>
        <v>-142315.57657142862</v>
      </c>
      <c r="E20" s="28">
        <f t="shared" si="4"/>
        <v>-352594.57657142874</v>
      </c>
      <c r="F20" s="21"/>
      <c r="G20" s="22"/>
    </row>
    <row r="21" spans="1:7" ht="13" x14ac:dyDescent="0.25">
      <c r="A21" s="29" t="s">
        <v>169</v>
      </c>
      <c r="B21" s="29"/>
      <c r="C21" s="29"/>
      <c r="D21" s="29"/>
      <c r="E21" s="29"/>
      <c r="F21" s="29"/>
      <c r="G21" s="30"/>
    </row>
    <row r="22" spans="1:7" x14ac:dyDescent="0.25">
      <c r="A22" s="19" t="s">
        <v>170</v>
      </c>
      <c r="B22" s="19" t="s">
        <v>56</v>
      </c>
      <c r="C22" s="26">
        <v>3000</v>
      </c>
      <c r="D22" s="26">
        <v>5000</v>
      </c>
      <c r="E22" s="26">
        <v>10000</v>
      </c>
      <c r="F22" s="21" t="s">
        <v>89</v>
      </c>
      <c r="G22" s="22" t="s">
        <v>178</v>
      </c>
    </row>
    <row r="23" spans="1:7" ht="13" x14ac:dyDescent="0.25">
      <c r="A23" s="8" t="s">
        <v>171</v>
      </c>
      <c r="B23" s="8" t="s">
        <v>172</v>
      </c>
      <c r="C23" s="28">
        <f t="shared" ref="C23:E23" si="5">C20-C22</f>
        <v>-48029.821428571449</v>
      </c>
      <c r="D23" s="28">
        <f t="shared" si="5"/>
        <v>-147315.57657142862</v>
      </c>
      <c r="E23" s="28">
        <f t="shared" si="5"/>
        <v>-362594.57657142874</v>
      </c>
      <c r="F23" s="21"/>
      <c r="G23" s="22"/>
    </row>
    <row r="24" spans="1:7" ht="13" x14ac:dyDescent="0.25">
      <c r="A24" s="8" t="s">
        <v>173</v>
      </c>
      <c r="B24" s="8" t="s">
        <v>172</v>
      </c>
      <c r="C24" s="28">
        <f>C23</f>
        <v>-48029.821428571449</v>
      </c>
      <c r="D24" s="28">
        <f t="shared" ref="D24:E24" si="6">C24+D23</f>
        <v>-195345.39800000007</v>
      </c>
      <c r="E24" s="28">
        <f t="shared" si="6"/>
        <v>-557939.97457142884</v>
      </c>
      <c r="F24" s="21"/>
      <c r="G24" s="22"/>
    </row>
    <row r="25" spans="1:7" ht="13" x14ac:dyDescent="0.25">
      <c r="A25" s="8" t="s">
        <v>174</v>
      </c>
      <c r="B25" s="8" t="s">
        <v>165</v>
      </c>
      <c r="C25" s="39">
        <f t="shared" ref="C25:E25" si="7">IF(C11&gt;0,IF(C15&gt;0,C19/(C15/C11),0),0)</f>
        <v>0</v>
      </c>
      <c r="D25" s="39">
        <f t="shared" si="7"/>
        <v>0</v>
      </c>
      <c r="E25" s="39">
        <f t="shared" si="7"/>
        <v>0</v>
      </c>
      <c r="F25" s="21"/>
      <c r="G25" s="22"/>
    </row>
    <row r="27" spans="1:7" ht="13" x14ac:dyDescent="0.3">
      <c r="A27" s="2" t="s">
        <v>175</v>
      </c>
      <c r="B27" s="2" t="s">
        <v>172</v>
      </c>
      <c r="C27" s="17">
        <f>MAX(0,-MIN(C24:E24))</f>
        <v>557939.97457142884</v>
      </c>
    </row>
    <row r="29" spans="1:7" ht="13" x14ac:dyDescent="0.3">
      <c r="A29" s="4" t="s">
        <v>176</v>
      </c>
    </row>
  </sheetData>
  <dataValidations count="1">
    <dataValidation type="list" allowBlank="1" showInputMessage="1" showErrorMessage="1" sqref="F7:F25" xr:uid="{CE6E7BBF-D2B8-4903-BD10-C829B0A39B99}">
      <formula1>"F,I,P,H"</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99EF4-2BFD-4A30-9CB8-0FD18304D49C}">
  <dimension ref="A1:I27"/>
  <sheetViews>
    <sheetView workbookViewId="0"/>
  </sheetViews>
  <sheetFormatPr baseColWidth="10" defaultRowHeight="12.5" x14ac:dyDescent="0.25"/>
  <cols>
    <col min="1" max="1" width="46.6328125" style="1" customWidth="1"/>
    <col min="2" max="2" width="10.6328125" style="1" customWidth="1"/>
    <col min="3" max="3" width="16.6328125" style="1" customWidth="1"/>
    <col min="4" max="5" width="13.6328125" style="1" customWidth="1"/>
    <col min="6" max="7" width="16.6328125" style="1" customWidth="1"/>
    <col min="8" max="8" width="8.6328125" style="1" customWidth="1"/>
    <col min="9" max="9" width="70.6328125" style="1" customWidth="1"/>
    <col min="10" max="16384" width="10.90625" style="1"/>
  </cols>
  <sheetData>
    <row r="1" spans="1:9" ht="18" x14ac:dyDescent="0.4">
      <c r="A1" s="3" t="s">
        <v>191</v>
      </c>
    </row>
    <row r="2" spans="1:9" ht="13" x14ac:dyDescent="0.3">
      <c r="A2" s="4" t="s">
        <v>192</v>
      </c>
    </row>
    <row r="4" spans="1:9" ht="13" x14ac:dyDescent="0.3">
      <c r="A4" s="2" t="s">
        <v>193</v>
      </c>
      <c r="C4" s="47">
        <v>0.45</v>
      </c>
      <c r="D4" s="4" t="s">
        <v>194</v>
      </c>
    </row>
    <row r="6" spans="1:9" ht="13" x14ac:dyDescent="0.3">
      <c r="A6" s="10" t="s">
        <v>195</v>
      </c>
      <c r="B6" s="10"/>
      <c r="C6" s="10"/>
      <c r="D6" s="10"/>
      <c r="E6" s="10"/>
      <c r="F6" s="10"/>
      <c r="G6" s="10"/>
      <c r="H6" s="10"/>
      <c r="I6" s="10"/>
    </row>
    <row r="7" spans="1:9" ht="42" customHeight="1" x14ac:dyDescent="0.25">
      <c r="A7" s="6" t="s">
        <v>31</v>
      </c>
      <c r="B7" s="6" t="s">
        <v>196</v>
      </c>
      <c r="C7" s="6" t="s">
        <v>197</v>
      </c>
      <c r="D7" s="6" t="s">
        <v>198</v>
      </c>
      <c r="E7" s="6" t="s">
        <v>199</v>
      </c>
      <c r="F7" s="6" t="s">
        <v>200</v>
      </c>
      <c r="G7" s="6" t="s">
        <v>201</v>
      </c>
      <c r="H7" s="6" t="s">
        <v>37</v>
      </c>
      <c r="I7" s="6" t="s">
        <v>38</v>
      </c>
    </row>
    <row r="8" spans="1:9" ht="25" x14ac:dyDescent="0.25">
      <c r="A8" s="21" t="s">
        <v>202</v>
      </c>
      <c r="B8" s="20">
        <v>2</v>
      </c>
      <c r="C8" s="25">
        <v>2500</v>
      </c>
      <c r="D8" s="20">
        <v>0</v>
      </c>
      <c r="E8" s="20">
        <v>12</v>
      </c>
      <c r="F8" s="48">
        <f t="shared" ref="F8:F12" si="0">B8*C8*D8*(1+$C$4)</f>
        <v>0</v>
      </c>
      <c r="G8" s="48">
        <f t="shared" ref="G8:G12" si="1">B8*C8*E8*(1+$C$4)</f>
        <v>87000</v>
      </c>
      <c r="H8" s="21" t="s">
        <v>89</v>
      </c>
      <c r="I8" s="22" t="s">
        <v>203</v>
      </c>
    </row>
    <row r="9" spans="1:9" ht="25" x14ac:dyDescent="0.25">
      <c r="A9" s="21" t="s">
        <v>204</v>
      </c>
      <c r="B9" s="20">
        <v>1</v>
      </c>
      <c r="C9" s="25">
        <v>1867.02</v>
      </c>
      <c r="D9" s="20">
        <v>12</v>
      </c>
      <c r="E9" s="20">
        <v>12</v>
      </c>
      <c r="F9" s="48">
        <f t="shared" si="0"/>
        <v>32486.147999999997</v>
      </c>
      <c r="G9" s="48">
        <f t="shared" si="1"/>
        <v>32486.147999999997</v>
      </c>
      <c r="H9" s="21" t="s">
        <v>89</v>
      </c>
      <c r="I9" s="22" t="s">
        <v>205</v>
      </c>
    </row>
    <row r="10" spans="1:9" ht="25" x14ac:dyDescent="0.25">
      <c r="A10" s="21" t="s">
        <v>206</v>
      </c>
      <c r="B10" s="20">
        <v>1</v>
      </c>
      <c r="C10" s="25">
        <v>2800</v>
      </c>
      <c r="D10" s="20">
        <v>0</v>
      </c>
      <c r="E10" s="20">
        <v>12</v>
      </c>
      <c r="F10" s="48">
        <f t="shared" si="0"/>
        <v>0</v>
      </c>
      <c r="G10" s="48">
        <f t="shared" si="1"/>
        <v>48720</v>
      </c>
      <c r="H10" s="21" t="s">
        <v>89</v>
      </c>
      <c r="I10" s="22" t="s">
        <v>207</v>
      </c>
    </row>
    <row r="11" spans="1:9" x14ac:dyDescent="0.25">
      <c r="A11" s="21"/>
      <c r="B11" s="20"/>
      <c r="C11" s="25"/>
      <c r="D11" s="20"/>
      <c r="E11" s="20"/>
      <c r="F11" s="48">
        <f t="shared" si="0"/>
        <v>0</v>
      </c>
      <c r="G11" s="48">
        <f t="shared" si="1"/>
        <v>0</v>
      </c>
      <c r="H11" s="21"/>
      <c r="I11" s="22"/>
    </row>
    <row r="12" spans="1:9" x14ac:dyDescent="0.25">
      <c r="A12" s="21"/>
      <c r="B12" s="20"/>
      <c r="C12" s="25"/>
      <c r="D12" s="20"/>
      <c r="E12" s="20"/>
      <c r="F12" s="48">
        <f t="shared" si="0"/>
        <v>0</v>
      </c>
      <c r="G12" s="48">
        <f t="shared" si="1"/>
        <v>0</v>
      </c>
      <c r="H12" s="21"/>
      <c r="I12" s="22"/>
    </row>
    <row r="13" spans="1:9" ht="13" x14ac:dyDescent="0.25">
      <c r="A13" s="8" t="s">
        <v>187</v>
      </c>
      <c r="B13" s="24">
        <f>SUM(B8:B12)</f>
        <v>4</v>
      </c>
      <c r="C13" s="8"/>
      <c r="D13" s="8"/>
      <c r="E13" s="8"/>
      <c r="F13" s="28">
        <f>SUM(F8:F12)</f>
        <v>32486.147999999997</v>
      </c>
      <c r="G13" s="28">
        <f>SUM(G8:G12)</f>
        <v>168206.14799999999</v>
      </c>
      <c r="H13" s="19"/>
      <c r="I13" s="9"/>
    </row>
    <row r="14" spans="1:9" x14ac:dyDescent="0.25">
      <c r="A14" s="19"/>
      <c r="B14" s="19"/>
      <c r="C14" s="19"/>
      <c r="D14" s="19"/>
      <c r="E14" s="19"/>
      <c r="F14" s="19"/>
      <c r="G14" s="19"/>
      <c r="H14" s="19"/>
      <c r="I14" s="9"/>
    </row>
    <row r="15" spans="1:9" ht="13" x14ac:dyDescent="0.25">
      <c r="A15" s="29" t="s">
        <v>208</v>
      </c>
      <c r="B15" s="29"/>
      <c r="C15" s="29"/>
      <c r="D15" s="29"/>
      <c r="E15" s="29"/>
      <c r="F15" s="29"/>
      <c r="G15" s="29"/>
      <c r="H15" s="29"/>
      <c r="I15" s="30"/>
    </row>
    <row r="16" spans="1:9" ht="13" x14ac:dyDescent="0.25">
      <c r="A16" s="49" t="s">
        <v>31</v>
      </c>
      <c r="B16" s="49"/>
      <c r="C16" s="49"/>
      <c r="D16" s="49"/>
      <c r="E16" s="49"/>
      <c r="F16" s="49" t="s">
        <v>209</v>
      </c>
      <c r="G16" s="49" t="s">
        <v>210</v>
      </c>
      <c r="H16" s="49" t="s">
        <v>37</v>
      </c>
      <c r="I16" s="49" t="s">
        <v>38</v>
      </c>
    </row>
    <row r="17" spans="1:9" ht="25" x14ac:dyDescent="0.25">
      <c r="A17" s="19" t="s">
        <v>126</v>
      </c>
      <c r="B17" s="19"/>
      <c r="C17" s="19"/>
      <c r="D17" s="19"/>
      <c r="E17" s="19"/>
      <c r="F17" s="26">
        <v>0</v>
      </c>
      <c r="G17" s="26">
        <v>10800</v>
      </c>
      <c r="H17" s="21" t="s">
        <v>89</v>
      </c>
      <c r="I17" s="22" t="s">
        <v>211</v>
      </c>
    </row>
    <row r="18" spans="1:9" x14ac:dyDescent="0.25">
      <c r="A18" s="19" t="s">
        <v>212</v>
      </c>
      <c r="B18" s="19"/>
      <c r="C18" s="19"/>
      <c r="D18" s="19"/>
      <c r="E18" s="19"/>
      <c r="F18" s="26">
        <v>1500</v>
      </c>
      <c r="G18" s="26">
        <v>3000</v>
      </c>
      <c r="H18" s="21" t="s">
        <v>89</v>
      </c>
      <c r="I18" s="22" t="s">
        <v>213</v>
      </c>
    </row>
    <row r="19" spans="1:9" x14ac:dyDescent="0.25">
      <c r="A19" s="19" t="s">
        <v>128</v>
      </c>
      <c r="B19" s="19"/>
      <c r="C19" s="19"/>
      <c r="D19" s="19"/>
      <c r="E19" s="19"/>
      <c r="F19" s="26">
        <v>15000</v>
      </c>
      <c r="G19" s="26">
        <v>30000</v>
      </c>
      <c r="H19" s="21" t="s">
        <v>89</v>
      </c>
      <c r="I19" s="22" t="s">
        <v>214</v>
      </c>
    </row>
    <row r="20" spans="1:9" ht="25" x14ac:dyDescent="0.25">
      <c r="A20" s="19" t="s">
        <v>129</v>
      </c>
      <c r="B20" s="19"/>
      <c r="C20" s="19"/>
      <c r="D20" s="19"/>
      <c r="E20" s="19"/>
      <c r="F20" s="26">
        <v>1200</v>
      </c>
      <c r="G20" s="26">
        <v>2000</v>
      </c>
      <c r="H20" s="21" t="s">
        <v>89</v>
      </c>
      <c r="I20" s="22" t="s">
        <v>215</v>
      </c>
    </row>
    <row r="21" spans="1:9" x14ac:dyDescent="0.25">
      <c r="A21" s="19" t="s">
        <v>130</v>
      </c>
      <c r="B21" s="19"/>
      <c r="C21" s="19"/>
      <c r="D21" s="19"/>
      <c r="E21" s="19"/>
      <c r="F21" s="26">
        <v>4000</v>
      </c>
      <c r="G21" s="26">
        <v>6000</v>
      </c>
      <c r="H21" s="21" t="s">
        <v>89</v>
      </c>
      <c r="I21" s="22" t="s">
        <v>216</v>
      </c>
    </row>
    <row r="22" spans="1:9" x14ac:dyDescent="0.25">
      <c r="A22" s="19" t="s">
        <v>131</v>
      </c>
      <c r="B22" s="19"/>
      <c r="C22" s="19"/>
      <c r="D22" s="19"/>
      <c r="E22" s="19"/>
      <c r="F22" s="26">
        <v>600</v>
      </c>
      <c r="G22" s="26">
        <v>1000</v>
      </c>
      <c r="H22" s="21" t="s">
        <v>89</v>
      </c>
      <c r="I22" s="22" t="s">
        <v>89</v>
      </c>
    </row>
    <row r="23" spans="1:9" x14ac:dyDescent="0.25">
      <c r="A23" s="19" t="s">
        <v>132</v>
      </c>
      <c r="B23" s="19"/>
      <c r="C23" s="19"/>
      <c r="D23" s="19"/>
      <c r="E23" s="19"/>
      <c r="F23" s="26">
        <v>2000</v>
      </c>
      <c r="G23" s="26">
        <v>4000</v>
      </c>
      <c r="H23" s="21" t="s">
        <v>89</v>
      </c>
      <c r="I23" s="22" t="s">
        <v>217</v>
      </c>
    </row>
    <row r="24" spans="1:9" x14ac:dyDescent="0.25">
      <c r="A24" s="19" t="s">
        <v>218</v>
      </c>
      <c r="B24" s="19"/>
      <c r="C24" s="19"/>
      <c r="D24" s="19"/>
      <c r="E24" s="19"/>
      <c r="F24" s="26">
        <v>0</v>
      </c>
      <c r="G24" s="26">
        <v>1000</v>
      </c>
      <c r="H24" s="21" t="s">
        <v>89</v>
      </c>
      <c r="I24" s="22" t="s">
        <v>89</v>
      </c>
    </row>
    <row r="25" spans="1:9" ht="13" x14ac:dyDescent="0.3">
      <c r="A25" s="2" t="s">
        <v>189</v>
      </c>
      <c r="B25" s="2"/>
      <c r="C25" s="2"/>
      <c r="D25" s="2"/>
      <c r="E25" s="2"/>
      <c r="F25" s="17">
        <f>SUM(F17:F24)</f>
        <v>24300</v>
      </c>
      <c r="G25" s="17">
        <f>SUM(G17:G24)</f>
        <v>57800</v>
      </c>
    </row>
    <row r="27" spans="1:9" ht="13" x14ac:dyDescent="0.3">
      <c r="A27" s="45" t="s">
        <v>190</v>
      </c>
      <c r="B27" s="45"/>
      <c r="C27" s="45"/>
      <c r="D27" s="45"/>
      <c r="E27" s="45"/>
      <c r="F27" s="46">
        <f>F13+F25</f>
        <v>56786.148000000001</v>
      </c>
      <c r="G27" s="46">
        <f>G13+G25</f>
        <v>226006.14799999999</v>
      </c>
    </row>
  </sheetData>
  <dataValidations count="1">
    <dataValidation type="list" allowBlank="1" showInputMessage="1" showErrorMessage="1" sqref="H8:H24" xr:uid="{17BF4D97-1CC3-431D-AE47-E54A12C319AD}">
      <formula1>"F,I,P,H"</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Mode d'emploi</vt:lpstr>
      <vt:lpstr>Prix et marges</vt:lpstr>
      <vt:lpstr>Staffing</vt:lpstr>
      <vt:lpstr>Budget mensuel</vt:lpstr>
      <vt:lpstr>Prévu et réel</vt:lpstr>
      <vt:lpstr>Plan financier 3 ans</vt:lpstr>
      <vt:lpstr>Frais généraux 3 ans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vianney vautier</dc:creator>
  <cp:lastModifiedBy>vianney vautier</cp:lastModifiedBy>
  <dcterms:created xsi:type="dcterms:W3CDTF">2026-10-27T22:12:38Z</dcterms:created>
  <dcterms:modified xsi:type="dcterms:W3CDTF">2026-10-28T08:39:14Z</dcterms:modified>
</cp:coreProperties>
</file>