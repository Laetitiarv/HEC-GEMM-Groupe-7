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vians\Documents\Claude\Projects\HEC-GEMM-Groupe-7\2 FINANCE\PREVISIONS\"/>
    </mc:Choice>
  </mc:AlternateContent>
  <xr:revisionPtr revIDLastSave="0" documentId="13_ncr:1_{2A8DBC3A-486E-40A6-BFAF-35066D0D0378}" xr6:coauthVersionLast="47" xr6:coauthVersionMax="47" xr10:uidLastSave="{00000000-0000-0000-0000-000000000000}"/>
  <bookViews>
    <workbookView xWindow="-110" yWindow="-110" windowWidth="25820" windowHeight="13900" xr2:uid="{09426CC5-4BCC-48B7-8854-C5C8E2CE30D1}"/>
  </bookViews>
  <sheets>
    <sheet name="Mode d'emploi" sheetId="1" r:id="rId1"/>
    <sheet name="Prix et marges" sheetId="2" r:id="rId2"/>
    <sheet name="Budget mensuel" sheetId="3" r:id="rId3"/>
    <sheet name="Prévu et réel" sheetId="4" r:id="rId4"/>
    <sheet name="Plan financier 3 an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1" i="5" l="1"/>
  <c r="E11" i="5"/>
  <c r="B23" i="4"/>
  <c r="C24" i="4"/>
  <c r="D24" i="4"/>
  <c r="E24" i="4"/>
  <c r="F24" i="4"/>
  <c r="G24" i="4"/>
  <c r="H24" i="4"/>
  <c r="I24" i="4"/>
  <c r="J24" i="4"/>
  <c r="K24" i="4"/>
  <c r="L24" i="4"/>
  <c r="M24" i="4"/>
  <c r="N24" i="4"/>
  <c r="B18" i="4"/>
  <c r="C19" i="4"/>
  <c r="D19" i="4"/>
  <c r="E19" i="4"/>
  <c r="F19" i="4"/>
  <c r="G19" i="4"/>
  <c r="H19" i="4"/>
  <c r="I19" i="4"/>
  <c r="J19" i="4"/>
  <c r="K19" i="4"/>
  <c r="L19" i="4"/>
  <c r="M19" i="4"/>
  <c r="N19" i="4"/>
  <c r="B13" i="4"/>
  <c r="C14" i="4"/>
  <c r="D14" i="4"/>
  <c r="E14" i="4"/>
  <c r="F14" i="4"/>
  <c r="G14" i="4"/>
  <c r="H14" i="4"/>
  <c r="I14" i="4"/>
  <c r="J14" i="4"/>
  <c r="K14" i="4"/>
  <c r="L14" i="4"/>
  <c r="M14" i="4"/>
  <c r="N14" i="4"/>
  <c r="B8" i="4"/>
  <c r="C9" i="4"/>
  <c r="D9" i="4"/>
  <c r="E9" i="4"/>
  <c r="F9" i="4"/>
  <c r="G9" i="4"/>
  <c r="H9" i="4"/>
  <c r="I9" i="4"/>
  <c r="J9" i="4"/>
  <c r="K9" i="4"/>
  <c r="L9" i="4"/>
  <c r="M9" i="4"/>
  <c r="N9" i="4"/>
  <c r="C5" i="4"/>
  <c r="D5" i="4"/>
  <c r="E5" i="4"/>
  <c r="F5" i="4"/>
  <c r="G5" i="4"/>
  <c r="H5" i="4"/>
  <c r="I5" i="4"/>
  <c r="J5" i="4"/>
  <c r="K5" i="4"/>
  <c r="L5" i="4"/>
  <c r="M5" i="4"/>
  <c r="N5" i="4"/>
  <c r="C26" i="3"/>
  <c r="C17" i="4" s="1"/>
  <c r="D26" i="3"/>
  <c r="D17" i="4" s="1"/>
  <c r="E26" i="3"/>
  <c r="E17" i="4" s="1"/>
  <c r="F26" i="3"/>
  <c r="F17" i="4" s="1"/>
  <c r="G26" i="3"/>
  <c r="G17" i="4" s="1"/>
  <c r="H26" i="3"/>
  <c r="H17" i="4" s="1"/>
  <c r="I26" i="3"/>
  <c r="I17" i="4" s="1"/>
  <c r="J26" i="3"/>
  <c r="J17" i="4" s="1"/>
  <c r="K26" i="3"/>
  <c r="K17" i="4" s="1"/>
  <c r="L26" i="3"/>
  <c r="L17" i="4" s="1"/>
  <c r="M26" i="3"/>
  <c r="M17" i="4" s="1"/>
  <c r="N26" i="3"/>
  <c r="N17" i="4" s="1"/>
  <c r="B25" i="3"/>
  <c r="B24" i="3"/>
  <c r="B23" i="3"/>
  <c r="B22" i="3"/>
  <c r="B21" i="3"/>
  <c r="B20" i="3"/>
  <c r="B19" i="3"/>
  <c r="B18" i="3"/>
  <c r="B17" i="3"/>
  <c r="C11" i="3"/>
  <c r="C7" i="4" s="1"/>
  <c r="D11" i="3"/>
  <c r="D7" i="4" s="1"/>
  <c r="E11" i="3"/>
  <c r="E7" i="4" s="1"/>
  <c r="F11" i="3"/>
  <c r="F7" i="4" s="1"/>
  <c r="G11" i="3"/>
  <c r="G7" i="4" s="1"/>
  <c r="H11" i="3"/>
  <c r="H7" i="4" s="1"/>
  <c r="I11" i="3"/>
  <c r="I7" i="4" s="1"/>
  <c r="J11" i="3"/>
  <c r="J7" i="4" s="1"/>
  <c r="K11" i="3"/>
  <c r="K7" i="4" s="1"/>
  <c r="L11" i="3"/>
  <c r="L7" i="4" s="1"/>
  <c r="M11" i="3"/>
  <c r="M7" i="4" s="1"/>
  <c r="N11" i="3"/>
  <c r="N7" i="4" s="1"/>
  <c r="B10" i="3"/>
  <c r="C10" i="5" s="1"/>
  <c r="B9" i="3"/>
  <c r="C9" i="5" s="1"/>
  <c r="B8" i="3"/>
  <c r="C8" i="5" s="1"/>
  <c r="B7" i="3"/>
  <c r="C7" i="5" s="1"/>
  <c r="C5" i="3"/>
  <c r="D5" i="3"/>
  <c r="E5" i="3"/>
  <c r="F5" i="3"/>
  <c r="G5" i="3"/>
  <c r="H5" i="3"/>
  <c r="I5" i="3"/>
  <c r="J5" i="3"/>
  <c r="K5" i="3"/>
  <c r="L5" i="3"/>
  <c r="M5" i="3"/>
  <c r="N5" i="3"/>
  <c r="C14" i="2"/>
  <c r="D14" i="2"/>
  <c r="E14" i="2"/>
  <c r="F14" i="2"/>
  <c r="C13" i="2"/>
  <c r="C43" i="2" s="1"/>
  <c r="D13" i="2"/>
  <c r="D43" i="2" s="1"/>
  <c r="E13" i="2"/>
  <c r="E43" i="2" s="1"/>
  <c r="F13" i="2"/>
  <c r="F43" i="2" s="1"/>
  <c r="C9" i="2"/>
  <c r="C42" i="2" s="1"/>
  <c r="D9" i="2"/>
  <c r="E9" i="2"/>
  <c r="F9" i="2"/>
  <c r="B24" i="4" l="1"/>
  <c r="B14" i="4"/>
  <c r="B19" i="4"/>
  <c r="B9" i="4"/>
  <c r="B17" i="4"/>
  <c r="B7" i="4"/>
  <c r="C11" i="5"/>
  <c r="B26" i="3"/>
  <c r="C17" i="5" s="1"/>
  <c r="B11" i="3"/>
  <c r="F42" i="2"/>
  <c r="F25" i="2"/>
  <c r="F17" i="2"/>
  <c r="E17" i="2"/>
  <c r="E42" i="2"/>
  <c r="E25" i="2"/>
  <c r="D42" i="2"/>
  <c r="D25" i="2"/>
  <c r="D17" i="2"/>
  <c r="C17" i="2"/>
  <c r="C25" i="2"/>
  <c r="C13" i="5" l="1"/>
  <c r="D13" i="5"/>
  <c r="E13" i="5"/>
  <c r="C13" i="3"/>
  <c r="E13" i="3"/>
  <c r="F13" i="3"/>
  <c r="H13" i="3"/>
  <c r="J13" i="3"/>
  <c r="L13" i="3"/>
  <c r="N13" i="3"/>
  <c r="D13" i="3"/>
  <c r="G13" i="3"/>
  <c r="I13" i="3"/>
  <c r="K13" i="3"/>
  <c r="M13" i="3"/>
  <c r="F39" i="2"/>
  <c r="F22" i="2"/>
  <c r="F40" i="2" s="1"/>
  <c r="F32" i="2"/>
  <c r="E32" i="2"/>
  <c r="E22" i="2"/>
  <c r="E39" i="2"/>
  <c r="D22" i="2"/>
  <c r="D40" i="2" s="1"/>
  <c r="D32" i="2"/>
  <c r="D39" i="2"/>
  <c r="C39" i="2"/>
  <c r="C32" i="2"/>
  <c r="C22" i="2"/>
  <c r="C40" i="2" s="1"/>
  <c r="B13" i="3" l="1"/>
  <c r="C12" i="4"/>
  <c r="E12" i="4"/>
  <c r="F12" i="4"/>
  <c r="H12" i="4"/>
  <c r="J12" i="4"/>
  <c r="L12" i="4"/>
  <c r="N12" i="4"/>
  <c r="D12" i="4"/>
  <c r="G12" i="4"/>
  <c r="I12" i="4"/>
  <c r="K12" i="4"/>
  <c r="M12" i="4"/>
  <c r="E34" i="2"/>
  <c r="E36" i="2" s="1"/>
  <c r="E40" i="2"/>
  <c r="D34" i="2"/>
  <c r="D36" i="2" s="1"/>
  <c r="F34" i="2"/>
  <c r="F36" i="2" s="1"/>
  <c r="C34" i="2"/>
  <c r="B12" i="4" l="1"/>
  <c r="C36" i="2"/>
  <c r="D14" i="5"/>
  <c r="D15" i="5" s="1"/>
  <c r="E14" i="5"/>
  <c r="E15" i="5" s="1"/>
  <c r="C14" i="3"/>
  <c r="E14" i="3"/>
  <c r="E15" i="3" s="1"/>
  <c r="E28" i="3" s="1"/>
  <c r="E22" i="4" s="1"/>
  <c r="F14" i="3"/>
  <c r="F15" i="3" s="1"/>
  <c r="F28" i="3" s="1"/>
  <c r="F22" i="4" s="1"/>
  <c r="G14" i="3"/>
  <c r="G15" i="3" s="1"/>
  <c r="G28" i="3" s="1"/>
  <c r="G22" i="4" s="1"/>
  <c r="H14" i="3"/>
  <c r="H15" i="3" s="1"/>
  <c r="H28" i="3" s="1"/>
  <c r="H22" i="4" s="1"/>
  <c r="K14" i="3"/>
  <c r="K15" i="3" s="1"/>
  <c r="K28" i="3" s="1"/>
  <c r="K22" i="4" s="1"/>
  <c r="L14" i="3"/>
  <c r="L15" i="3" s="1"/>
  <c r="L28" i="3" s="1"/>
  <c r="L22" i="4" s="1"/>
  <c r="D14" i="3"/>
  <c r="D15" i="3" s="1"/>
  <c r="D28" i="3" s="1"/>
  <c r="D22" i="4" s="1"/>
  <c r="J14" i="3"/>
  <c r="J15" i="3" s="1"/>
  <c r="J28" i="3" s="1"/>
  <c r="J22" i="4" s="1"/>
  <c r="M14" i="3"/>
  <c r="M15" i="3" s="1"/>
  <c r="M28" i="3" s="1"/>
  <c r="M22" i="4" s="1"/>
  <c r="N14" i="3"/>
  <c r="N15" i="3" s="1"/>
  <c r="N28" i="3" s="1"/>
  <c r="N22" i="4" s="1"/>
  <c r="I14" i="3"/>
  <c r="I15" i="3" s="1"/>
  <c r="I28" i="3" s="1"/>
  <c r="I22" i="4" s="1"/>
  <c r="C14" i="5"/>
  <c r="C15" i="5" s="1"/>
  <c r="E38" i="2"/>
  <c r="E37" i="2"/>
  <c r="E41" i="2" s="1"/>
  <c r="F38" i="2"/>
  <c r="F37" i="2"/>
  <c r="F41" i="2" s="1"/>
  <c r="D38" i="2"/>
  <c r="D37" i="2"/>
  <c r="D41" i="2" s="1"/>
  <c r="C37" i="2" l="1"/>
  <c r="C41" i="2" s="1"/>
  <c r="C38" i="2"/>
  <c r="D18" i="5"/>
  <c r="D21" i="5" s="1"/>
  <c r="D23" i="5"/>
  <c r="D16" i="5"/>
  <c r="E18" i="5"/>
  <c r="E21" i="5" s="1"/>
  <c r="E23" i="5"/>
  <c r="E16" i="5"/>
  <c r="C15" i="3"/>
  <c r="B14" i="3"/>
  <c r="C16" i="5"/>
  <c r="C18" i="5"/>
  <c r="C21" i="5" s="1"/>
  <c r="C22" i="5" s="1"/>
  <c r="C23" i="5"/>
  <c r="D22" i="5" l="1"/>
  <c r="E22" i="5" s="1"/>
  <c r="C25" i="5" s="1"/>
  <c r="B15" i="3"/>
  <c r="C28" i="3"/>
  <c r="B28" i="3" l="1"/>
  <c r="C29" i="3"/>
  <c r="D29" i="3" s="1"/>
  <c r="E29" i="3" s="1"/>
  <c r="F29" i="3" s="1"/>
  <c r="G29" i="3" s="1"/>
  <c r="H29" i="3" s="1"/>
  <c r="I29" i="3" s="1"/>
  <c r="J29" i="3" s="1"/>
  <c r="K29" i="3" s="1"/>
  <c r="L29" i="3" s="1"/>
  <c r="M29" i="3" s="1"/>
  <c r="N29" i="3" s="1"/>
  <c r="B29" i="3" s="1"/>
  <c r="C22" i="4"/>
  <c r="B22" i="4" s="1"/>
</calcChain>
</file>

<file path=xl/sharedStrings.xml><?xml version="1.0" encoding="utf-8"?>
<sst xmlns="http://schemas.openxmlformats.org/spreadsheetml/2006/main" count="307" uniqueCount="185">
  <si>
    <t>Prévisions — budget, plan financier, prix et marges</t>
  </si>
  <si>
    <t>HEC GEMM Groupe 7 · Pôle Finance · Modèle vide créé le 27/10/2026, données à compléter</t>
  </si>
  <si>
    <t>Rubrique</t>
  </si>
  <si>
    <t>Contenu</t>
  </si>
  <si>
    <t>Objet</t>
  </si>
  <si>
    <t>Budget, plan financier, prix et marges (2 FINANCE/PREVISIONS/LISEZ-MOI.md).</t>
  </si>
  <si>
    <t>État du fichier</t>
  </si>
  <si>
    <t>Mis à jour le 27/10/2026 avec les données disponibles dans le dépôt (offre et prix du Produit, repères de marché du Marketing, coûts sourcés) et des hypothèses temporaires (H) pour les données manquantes. Liste des données manquantes et de ceux qui peuvent les fournir : 2 FINANCE/2026 1027 Données financières manquantes et hypothèses temporaires.md.</t>
  </si>
  <si>
    <t>Onglets</t>
  </si>
  <si>
    <t>« Prix et marges » : prix, coûts directs, marge, partage de la valeur et seuils d'une soirée, par offre. « Budget mensuel » : 12 mois (novembre 2026 à octobre 2027). « Prévu et réel » : à remplir dès le premier réel. « Plan financier 3 ans » : compte de résultat simplifié et besoin de financement.</t>
  </si>
  <si>
    <t>Offres modélisées</t>
  </si>
  <si>
    <t>Les trois soirées de l'offre A (Premier soir, Le Voyage, La Grande Nuit) et la privatisation de l'offre B avec un chef confirmé pour 10 convives, d'après 5 PRODUIT (offre, pricing, pilotes). Les prix y sont des propositions (P), non validées par l'équipe.</t>
  </si>
  <si>
    <t>Prévision et résultat</t>
  </si>
  <si>
    <t>Une prévision n'est pas un résultat : la comparer au réel dès qu'il est connu (onglet « Prévu et réel »), en citant la pièce du réel. Un objectif de chiffre d'affaires n'est pas une facture.</t>
  </si>
  <si>
    <t>Simplifications</t>
  </si>
  <si>
    <t>Prix affichés TTC convertis en HT avec un taux de TVA moyen (H). Ni impôt sur les sociétés, ni délais de paiement. Les acomptes et remboursements (seuil de 70 % à J-14) ne sont pas modélisés.</t>
  </si>
  <si>
    <t>Légende des cellules</t>
  </si>
  <si>
    <t>Cellule jaune, texte bleu : donnée à saisir. Cellule grise : formule, ne pas modifier. Texte vert : valeur reprise d'un autre onglet. Ligne verte « Exemple » : montre le format attendu, à remplacer ou supprimer.</t>
  </si>
  <si>
    <t>Colonne « Nature »</t>
  </si>
  <si>
    <t>F = fait constaté dans une pièce citée · I = inférence · P = proposition · H = hypothèse à valider (voir RULES.md). Si la pièce ne dit pas le chiffre : « non établi par les sources ».</t>
  </si>
  <si>
    <t>Colonne « Source »</t>
  </si>
  <si>
    <t>La pièce et l'endroit exact (ex. : S04, § Contexte, ou le nom de la note du dépôt). Signaler un chiffre tiré d'un argumentaire (plan d'affaires, présentation) plutôt que d'un document de gestion (facture, relevé, procès-verbal).</t>
  </si>
  <si>
    <t>Unités</t>
  </si>
  <si>
    <t>Montants en euros hors taxes, sauf mention contraire. Pourcentages saisis en % (ex. : 15 %).</t>
  </si>
  <si>
    <t>Cadre du projet</t>
  </si>
  <si>
    <t>Société d'événementiel : périodes vacantes de restaurants et de lieux avec cuisine, vivier de chefs d'exception, événements pour des communautés de foodies et pour des entreprises (privés éventuellement). Source : 1 DIRECTION/STRATEGIE/2026 1027 Descriptif du projet - Cadre de référence, décision D-01 du 27/10/2026.</t>
  </si>
  <si>
    <t>Références</t>
  </si>
  <si>
    <t>2 FINANCE/PREVISIONS/LISEZ-MOI.md · 2 FINANCE/AGENT.md · RULES.md · 5 PRODUIT (offre, pricing, pilotes) · 3 MARKETING/new project (concurrence, communication)</t>
  </si>
  <si>
    <t>Prix et marges d'une soirée</t>
  </si>
  <si>
    <t>Une offre par colonne. Lignes grises calculées. Montants HT sauf mention TTC.</t>
  </si>
  <si>
    <t>Valeurs du 27/10/2026 : prix et capacités proposés par le Produit (P) ; coûts en hypothèses temporaires (H), à remplacer par des devis.</t>
  </si>
  <si>
    <t>Poste</t>
  </si>
  <si>
    <t>Unité</t>
  </si>
  <si>
    <t>Premier soir (offre A)</t>
  </si>
  <si>
    <t>Le Voyage (offre A)</t>
  </si>
  <si>
    <t>La Grande Nuit (offre A)</t>
  </si>
  <si>
    <t>Privatisation, chef confirmé (offre B)</t>
  </si>
  <si>
    <t>Nature</t>
  </si>
  <si>
    <t>Source</t>
  </si>
  <si>
    <t>Fourni par</t>
  </si>
  <si>
    <t>1. Recettes</t>
  </si>
  <si>
    <t>Capacité</t>
  </si>
  <si>
    <t>couverts</t>
  </si>
  <si>
    <t>Taux de remplissage</t>
  </si>
  <si>
    <t>% des couverts</t>
  </si>
  <si>
    <t>Convives payants</t>
  </si>
  <si>
    <t>personnes</t>
  </si>
  <si>
    <t>Prix affiché TTC par convive</t>
  </si>
  <si>
    <t>€ TTC par personne</t>
  </si>
  <si>
    <t>Forfait affiché TTC par soirée (privatisation)</t>
  </si>
  <si>
    <t>€ TTC</t>
  </si>
  <si>
    <t>Taux de TVA moyen</t>
  </si>
  <si>
    <t>%</t>
  </si>
  <si>
    <t>Prix HT par convive</t>
  </si>
  <si>
    <t>€ HT par personne</t>
  </si>
  <si>
    <t>Forfait HT</t>
  </si>
  <si>
    <t>€ HT</t>
  </si>
  <si>
    <t>Minimum facturé (0 si aucun)</t>
  </si>
  <si>
    <t>Revenus complémentaires (partenariats, options)</t>
  </si>
  <si>
    <t>Chiffre d'affaires de la soirée</t>
  </si>
  <si>
    <t>2. Coûts directs de la soirée</t>
  </si>
  <si>
    <t>Mise à disposition du lieu (restaurateur)</t>
  </si>
  <si>
    <t>Chef : cachet et déplacement (part fixe)</t>
  </si>
  <si>
    <t>Chef : part du chiffre d'affaires</t>
  </si>
  <si>
    <t>% du CA</t>
  </si>
  <si>
    <t>Rémunération du chef</t>
  </si>
  <si>
    <t>Matières premières par convive</t>
  </si>
  <si>
    <t>Vins ou jus d'accord par convive</t>
  </si>
  <si>
    <t>Matières et boissons</t>
  </si>
  <si>
    <t>Équipe de service et sommelier</t>
  </si>
  <si>
    <t>Ménage et remise en état du lieu</t>
  </si>
  <si>
    <t>Assurance de la soirée</t>
  </si>
  <si>
    <t>Décor, souvenir numéroté, petit matériel</t>
  </si>
  <si>
    <t>Frais de paiement</t>
  </si>
  <si>
    <t>Commission d'apporteur (concierge, agence)</t>
  </si>
  <si>
    <t>Frais et commissions</t>
  </si>
  <si>
    <t>Autres coûts directs (photographe)</t>
  </si>
  <si>
    <t>Total des coûts directs</t>
  </si>
  <si>
    <t>3. Marge, partage de la valeur et seuils</t>
  </si>
  <si>
    <t>Marge sur coûts directs</t>
  </si>
  <si>
    <t>Taux de marge</t>
  </si>
  <si>
    <t>Marge par convive payant</t>
  </si>
  <si>
    <t>Part du lieu</t>
  </si>
  <si>
    <t>Part du chef</t>
  </si>
  <si>
    <t>Part de la société (marge)</t>
  </si>
  <si>
    <t>Prix plancher TTC par convive (marge nulle, hors minimum)</t>
  </si>
  <si>
    <t>Taux de remplissage d'équilibre au prix affiché</t>
  </si>
  <si>
    <t>P</t>
  </si>
  <si>
    <t>5 PRODUIT/Fou d'un soir le pricing.md (@Fréd, 27/10/2026) ; offre B : exemple « table de 10 avec un chef confirmé », usage de l'hôte d'affaires (5 PRODUIT/Fou d'un soir l'offre.md)</t>
  </si>
  <si>
    <t>Produit</t>
  </si>
  <si>
    <t>H</t>
  </si>
  <si>
    <t>Hypothèse temporaire. Seuil de confirmation proposé : 70 % des sièges vendus à J-14 (5 PRODUIT, plan des deux soirées pilotes) ; privatisation : groupe du client</t>
  </si>
  <si>
    <t>Finance</t>
  </si>
  <si>
    <t>5 PRODUIT/Fou d'un soir le pricing.md (@Fréd, 27/10/2026), prix des soirées et grille de privatisation (prix TTC tout compris)</t>
  </si>
  <si>
    <t>5 PRODUIT/Fou d'un soir le pricing.md (@Fréd, 27/10/2026), forfait de privatisation chef confirmé ; H : forfait supposé TTC comme les prix de l'offre A</t>
  </si>
  <si>
    <t>Taux mixte (le pricing le signale « à vérifier avec la finance ») : 10 % sur la restauration, 20 % sur les boissons alcoolisées (règle fiscale à confirmer par un expert-comptable) ; H : boissons alcoolisées environ 20 % du prix</t>
  </si>
  <si>
    <t>Aucun minimum prévu par le Produit</t>
  </si>
  <si>
    <t>Non établi par les sources : partenariats vins et champagne envisagés, aucun accord</t>
  </si>
  <si>
    <t>Ventes</t>
  </si>
  <si>
    <t>F location de restaurants à Paris de 35 à 620 €/h, moyenne environ 373 à 386 €/h (Giggster) ; privatisation « à partir de 2 916 € » (Privateaser), cités dans 3 MARKETING/old project/MARCHE. La cible du Produit (11 à 12 % du prix HT) donnerait 750 à 1 350 € : écart signalé</t>
  </si>
  <si>
    <t>Calé sur la répartition cible du Produit (chef 15 / 22 / 30 % du prix HT, P, 5 PRODUIT/Fou d'un soir le pricing.md (@Fréd, 27/10/2026)) ; F chef privé 500 à 1 400 € par jour hors matières (Chefs Talents 2026, cité dans 3 MARKETING/new project/3 Concurrence)</t>
  </si>
  <si>
    <t>Rémunération du chef supposée entièrement fixe ; une part variable reste possible (descriptif du projet 3, § 6)</t>
  </si>
  <si>
    <t>Calé sur la cible du Produit (matières et vins 33 / 30 / 27 % du prix HT, P) ; F ratio matières et boissons idéalement sous 35 % (Keobiz, cité dans le descriptif du projet 3)</t>
  </si>
  <si>
    <t>Opérations</t>
  </si>
  <si>
    <t>Même source ; accord mets-jus au même coût que l'accord mets-vins (pricing : « coût réel reste à chiffrer »)</t>
  </si>
  <si>
    <t>Calé sur la cible du Produit (équipe de service et sommelier 14 / 12 / 11 % du prix HT). Qui assure le service (restaurant ou nous) reste à décider (pricing, point 3)</t>
  </si>
  <si>
    <t>Hypothèse temporaire ; cible « frais » du Produit 8 / 6 / 5 % du prix HT</t>
  </si>
  <si>
    <t>Hypothèse temporaire, devis d'assureur à obtenir</t>
  </si>
  <si>
    <t>Juridique</t>
  </si>
  <si>
    <t>Hypothèse temporaire (menu numéroté, souvenir, mise en scène)</t>
  </si>
  <si>
    <t>F Stripe 1,5 % + 0,25 € par carte européenne (stripe.com/fr/pricing, consulté le 27/10/2026), arrondi à 1,6 % ; privatisation réglée par virement (H)</t>
  </si>
  <si>
    <t>F honoraires d'agence 10 à 20 % du budget (BlackTrombone 2026, cité dans le descriptif du projet 3) ; part des ventes via les concierges à mesurer pendant les pilotes</t>
  </si>
  <si>
    <t>Marketing</t>
  </si>
  <si>
    <t>Photographe une demi-journée ; F tarif journalier 410 à 520 € (Malt, via Modèles de Business Plan, 15/09/2026) ; pas de photo en privatisation (confidentialité)</t>
  </si>
  <si>
    <t>Budget mensuel sur 12 mois</t>
  </si>
  <si>
    <t>Nombre de soirées et charges fixes saisis par mois ; recettes et coûts directs repris de l'onglet Prix et marges.</t>
  </si>
  <si>
    <t>Premier mois du budget (date) :</t>
  </si>
  <si>
    <t>H : préparation en novembre et décembre 2026, Premier soir en janvier 2027 (rétroplanning de 10 semaines des pilotes)</t>
  </si>
  <si>
    <t>Total 12 mois</t>
  </si>
  <si>
    <t>Activité (nombre de soirées)</t>
  </si>
  <si>
    <t>Premier soir</t>
  </si>
  <si>
    <t>Le Voyage</t>
  </si>
  <si>
    <t>La Grande Nuit</t>
  </si>
  <si>
    <t>Privatisations (chef confirmé)</t>
  </si>
  <si>
    <t>Nombre total de soirées</t>
  </si>
  <si>
    <t>Chiffre d'affaires et marge</t>
  </si>
  <si>
    <t>Chiffre d'affaires</t>
  </si>
  <si>
    <t>Coûts directs</t>
  </si>
  <si>
    <t>Charges fixes</t>
  </si>
  <si>
    <t>Salaires et charges sociales</t>
  </si>
  <si>
    <t>Locaux et bureaux</t>
  </si>
  <si>
    <t>Logiciels et outils (site, billetterie, CRM)</t>
  </si>
  <si>
    <t>Marketing et communication</t>
  </si>
  <si>
    <t>Assurance responsabilité civile professionnelle</t>
  </si>
  <si>
    <t>Honoraires (comptable, juridique)</t>
  </si>
  <si>
    <t>Banque</t>
  </si>
  <si>
    <t>Déplacements</t>
  </si>
  <si>
    <t>Autres charges (création de la société)</t>
  </si>
  <si>
    <t>Total des charges fixes</t>
  </si>
  <si>
    <t>Résultat</t>
  </si>
  <si>
    <t>Résultat d'exploitation du mois</t>
  </si>
  <si>
    <t>Résultat cumulé</t>
  </si>
  <si>
    <t>H : une soirée de l'offre A par mois (5 PRODUIT, offre, « Rythme et unicité ») ; pilotes Premier soir puis La Grande Nuit à cinq semaines d'écart (plan des pilotes)</t>
  </si>
  <si>
    <t>H : privatisations après la décision de S+7 ; 2 par mois en septembre et octobre, période la plus demandée (F Prestagency, cité dans le descriptif du projet 3) ; août sans soirée</t>
  </si>
  <si>
    <t>H : fondateurs non rémunérés la première année</t>
  </si>
  <si>
    <t>H : pas de bureaux, travail à distance</t>
  </si>
  <si>
    <t>H : site, billetterie et fichier clients ; devis à obtenir</t>
  </si>
  <si>
    <t>H : 300 €/mois (contenus, cartes, coffrets) + 3 dîners de concierges à 1 200 € (2 à 3 dîners prévus par 3 MARKETING/new project/4 Communication)</t>
  </si>
  <si>
    <t>F 200 à 300 €/an pour une start-up en amorçage (Coover 2026) ; H : doublé pour une activité d'événements, devis à demander</t>
  </si>
  <si>
    <t>H : expert-comptable 100 €/mois ; contrats types lieux, chefs et clients 1 500 € en novembre</t>
  </si>
  <si>
    <t>H : compte professionnel et terminal de paiement</t>
  </si>
  <si>
    <t>H : repérage des lieux et rendez-vous</t>
  </si>
  <si>
    <t>F</t>
  </si>
  <si>
    <t>Création d'une SAS : 252 € (immatriculation, annonce légale, bénéficiaires effectifs ; LegalPlace, 06/08/2026, cité dans PRODUCTIONS ASSISTANTS/2026 1027 Synthèse marketing…)</t>
  </si>
  <si>
    <t>Prévu et réel, mois par mois</t>
  </si>
  <si>
    <t>Le prévu vient du budget mensuel ; saisir le réel dès qu'il est connu, avec sa pièce. Aucun réel au 27/10/2026.</t>
  </si>
  <si>
    <t>Indicateur</t>
  </si>
  <si>
    <t>Nombre de soirées</t>
  </si>
  <si>
    <t>Prévu</t>
  </si>
  <si>
    <t>Réel</t>
  </si>
  <si>
    <t>Écart (réel − prévu)</t>
  </si>
  <si>
    <t>Résultat d'exploitation</t>
  </si>
  <si>
    <t>Pièces du réel</t>
  </si>
  <si>
    <t>Pièce justifiant le réel (comptabilité, relevé, factures)</t>
  </si>
  <si>
    <t>Plan financier sur 3 ans (simplifié)</t>
  </si>
  <si>
    <t>Prix et coûts par soirée constants (onglet Prix et marges). Ni TVA, ni impôt, ni délais de paiement.</t>
  </si>
  <si>
    <t>Année 1</t>
  </si>
  <si>
    <t>Année 2</t>
  </si>
  <si>
    <t>Année 3</t>
  </si>
  <si>
    <t>Activité</t>
  </si>
  <si>
    <t>soirées par an</t>
  </si>
  <si>
    <t>Privatisations</t>
  </si>
  <si>
    <t>Compte de résultat simplifié</t>
  </si>
  <si>
    <t>€ HT par an</t>
  </si>
  <si>
    <t>Besoin de financement</t>
  </si>
  <si>
    <t>Investissements (site, identité, coffrets, matériel)</t>
  </si>
  <si>
    <t>Flux de l'année (résultat − investissements)</t>
  </si>
  <si>
    <t>€</t>
  </si>
  <si>
    <t>Flux cumulé</t>
  </si>
  <si>
    <t>Seuil de rentabilité</t>
  </si>
  <si>
    <t>Besoin de financement (point bas du flux cumulé)</t>
  </si>
  <si>
    <t>Année 1 : nombre de soirées et charges fixes repris du budget mensuel (texte vert). Années 2 et 3 : hypothèses temporaires. Le financement se suit dans 2 FINANCE/FINANCEMENT.</t>
  </si>
  <si>
    <t>Année 1 : budget mensuel. H : 2 soirées A par mois en année 2, 3 en année 3 ; privatisations et contrats cadres de 2 à 4 soirées par an et par client (5 PRODUIT, offre ; 3 MARKETING, personas)</t>
  </si>
  <si>
    <t>Année 1 : budget mensuel. H année 2 : un coordinateur au SMIC (F 1 867,02 € brut par mois au 01/06/2026, Éditions Tissot), marketing et honoraires. H année 3 : deux fondateurs rémunérés et un commercial</t>
  </si>
  <si>
    <t>H : site et identité visuelle, coffrets cadeaux numérotés, petit matériel de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</si>
</sst>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quot;-&quot;"/>
    <numFmt numFmtId="165" formatCode="0.0%;\-0.0%;&quot;-&quot;"/>
    <numFmt numFmtId="166" formatCode="#,##0.00\ &quot;€&quot;;\-#,##0.00\ &quot;€&quot;;&quot;-&quot;"/>
    <numFmt numFmtId="167" formatCode="#,##0\ &quot;€&quot;;\-#,##0\ &quot;€&quot;;&quot;-&quot;"/>
    <numFmt numFmtId="168" formatCode="mmm\ yyyy"/>
    <numFmt numFmtId="169" formatCode="#,##0.0;\-#,##0.0;&quot;-&quot;"/>
  </numFmts>
  <fonts count="11" x14ac:knownFonts="1">
    <font>
      <sz val="11"/>
      <color theme="1"/>
      <name val="Aptos Narrow"/>
      <family val="2"/>
      <scheme val="minor"/>
    </font>
    <font>
      <sz val="10"/>
      <color theme="1"/>
      <name val="Arial"/>
      <family val="2"/>
    </font>
    <font>
      <b/>
      <sz val="10"/>
      <color theme="1"/>
      <name val="Arial"/>
      <family val="2"/>
    </font>
    <font>
      <b/>
      <sz val="14"/>
      <color theme="1"/>
      <name val="Arial"/>
      <family val="2"/>
    </font>
    <font>
      <i/>
      <sz val="10"/>
      <color theme="1"/>
      <name val="Arial"/>
      <family val="2"/>
    </font>
    <font>
      <b/>
      <sz val="10"/>
      <color rgb="FFFFFFFF"/>
      <name val="Arial"/>
      <family val="2"/>
    </font>
    <font>
      <sz val="10"/>
      <color rgb="FF0000FF"/>
      <name val="Arial"/>
      <family val="2"/>
    </font>
    <font>
      <sz val="10"/>
      <color rgb="FF000000"/>
      <name val="Arial"/>
      <family val="2"/>
    </font>
    <font>
      <b/>
      <sz val="10"/>
      <color rgb="FF000000"/>
      <name val="Arial"/>
      <family val="2"/>
    </font>
    <font>
      <b/>
      <sz val="10"/>
      <color rgb="FF008000"/>
      <name val="Arial"/>
      <family val="2"/>
    </font>
    <font>
      <sz val="10"/>
      <color rgb="FF008000"/>
      <name val="Arial"/>
      <family val="2"/>
    </font>
  </fonts>
  <fills count="6">
    <fill>
      <patternFill patternType="none"/>
    </fill>
    <fill>
      <patternFill patternType="gray125"/>
    </fill>
    <fill>
      <patternFill patternType="solid">
        <fgColor rgb="FF1F3864"/>
        <bgColor indexed="64"/>
      </patternFill>
    </fill>
    <fill>
      <patternFill patternType="solid">
        <fgColor rgb="FFDDEBF7"/>
        <bgColor indexed="64"/>
      </patternFill>
    </fill>
    <fill>
      <patternFill patternType="solid">
        <fgColor rgb="FFFFF2CC"/>
        <bgColor indexed="64"/>
      </patternFill>
    </fill>
    <fill>
      <patternFill patternType="solid">
        <fgColor rgb="FFF2F2F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5" fillId="2" borderId="0" xfId="0" applyFont="1" applyFill="1" applyAlignment="1">
      <alignment vertical="center" wrapText="1"/>
    </xf>
    <xf numFmtId="0" fontId="1" fillId="0" borderId="0" xfId="0" applyFont="1" applyAlignment="1">
      <alignment wrapText="1"/>
    </xf>
    <xf numFmtId="0" fontId="2" fillId="0" borderId="0" xfId="0" applyFont="1" applyAlignment="1">
      <alignment vertical="top"/>
    </xf>
    <xf numFmtId="0" fontId="1" fillId="0" borderId="0" xfId="0" applyFont="1" applyAlignment="1">
      <alignment vertical="top" wrapText="1"/>
    </xf>
    <xf numFmtId="0" fontId="2" fillId="3" borderId="0" xfId="0" applyFont="1" applyFill="1"/>
    <xf numFmtId="0" fontId="6" fillId="4" borderId="1" xfId="0" applyFont="1" applyFill="1" applyBorder="1"/>
    <xf numFmtId="164" fontId="6" fillId="4" borderId="1" xfId="0" applyNumberFormat="1" applyFont="1" applyFill="1" applyBorder="1"/>
    <xf numFmtId="164" fontId="7" fillId="5" borderId="1" xfId="0" applyNumberFormat="1" applyFont="1" applyFill="1" applyBorder="1"/>
    <xf numFmtId="164" fontId="8" fillId="5" borderId="1" xfId="0" applyNumberFormat="1" applyFont="1" applyFill="1" applyBorder="1"/>
    <xf numFmtId="167" fontId="6" fillId="4" borderId="1" xfId="0" applyNumberFormat="1" applyFont="1" applyFill="1" applyBorder="1"/>
    <xf numFmtId="167" fontId="7" fillId="5" borderId="1" xfId="0" applyNumberFormat="1" applyFont="1" applyFill="1" applyBorder="1"/>
    <xf numFmtId="167" fontId="8" fillId="5" borderId="1" xfId="0" applyNumberFormat="1" applyFont="1" applyFill="1" applyBorder="1"/>
    <xf numFmtId="0" fontId="6" fillId="4" borderId="1" xfId="0" applyFont="1" applyFill="1" applyBorder="1" applyAlignment="1">
      <alignment wrapText="1"/>
    </xf>
    <xf numFmtId="0" fontId="1" fillId="0" borderId="0" xfId="0" applyFont="1" applyAlignment="1">
      <alignment vertical="top"/>
    </xf>
    <xf numFmtId="164" fontId="6" fillId="4" borderId="1" xfId="0" applyNumberFormat="1" applyFont="1" applyFill="1" applyBorder="1" applyAlignment="1">
      <alignment vertical="top"/>
    </xf>
    <xf numFmtId="0" fontId="6" fillId="4" borderId="1" xfId="0" applyFont="1" applyFill="1" applyBorder="1" applyAlignment="1">
      <alignment vertical="top"/>
    </xf>
    <xf numFmtId="0" fontId="6" fillId="4" borderId="1" xfId="0" applyFont="1" applyFill="1" applyBorder="1" applyAlignment="1">
      <alignment vertical="top" wrapText="1"/>
    </xf>
    <xf numFmtId="165" fontId="6" fillId="4" borderId="1" xfId="0" applyNumberFormat="1" applyFont="1" applyFill="1" applyBorder="1" applyAlignment="1">
      <alignment vertical="top"/>
    </xf>
    <xf numFmtId="164" fontId="8" fillId="5" borderId="1" xfId="0" applyNumberFormat="1" applyFont="1" applyFill="1" applyBorder="1" applyAlignment="1">
      <alignment vertical="top"/>
    </xf>
    <xf numFmtId="166" fontId="6" fillId="4" borderId="1" xfId="0" applyNumberFormat="1" applyFont="1" applyFill="1" applyBorder="1" applyAlignment="1">
      <alignment vertical="top"/>
    </xf>
    <xf numFmtId="167" fontId="6" fillId="4" borderId="1" xfId="0" applyNumberFormat="1" applyFont="1" applyFill="1" applyBorder="1" applyAlignment="1">
      <alignment vertical="top"/>
    </xf>
    <xf numFmtId="166" fontId="8" fillId="5" borderId="1" xfId="0" applyNumberFormat="1" applyFont="1" applyFill="1" applyBorder="1" applyAlignment="1">
      <alignment vertical="top"/>
    </xf>
    <xf numFmtId="167" fontId="8" fillId="5" borderId="1" xfId="0" applyNumberFormat="1" applyFont="1" applyFill="1" applyBorder="1" applyAlignment="1">
      <alignment vertical="top"/>
    </xf>
    <xf numFmtId="0" fontId="2" fillId="3" borderId="0" xfId="0" applyFont="1" applyFill="1" applyAlignment="1">
      <alignment vertical="top"/>
    </xf>
    <xf numFmtId="0" fontId="2" fillId="3" borderId="0" xfId="0" applyFont="1" applyFill="1" applyAlignment="1">
      <alignment vertical="top" wrapText="1"/>
    </xf>
    <xf numFmtId="165" fontId="8" fillId="5" borderId="1" xfId="0" applyNumberFormat="1" applyFont="1" applyFill="1" applyBorder="1" applyAlignment="1">
      <alignment vertical="top"/>
    </xf>
    <xf numFmtId="168" fontId="6" fillId="4" borderId="1" xfId="0" applyNumberFormat="1" applyFont="1" applyFill="1" applyBorder="1"/>
    <xf numFmtId="168" fontId="5" fillId="2" borderId="0" xfId="0" applyNumberFormat="1" applyFont="1" applyFill="1" applyAlignment="1">
      <alignment horizontal="right"/>
    </xf>
    <xf numFmtId="167" fontId="9" fillId="5" borderId="1" xfId="0" applyNumberFormat="1" applyFont="1" applyFill="1" applyBorder="1"/>
    <xf numFmtId="164" fontId="10" fillId="5" borderId="1" xfId="0" applyNumberFormat="1" applyFont="1" applyFill="1" applyBorder="1"/>
    <xf numFmtId="167" fontId="10" fillId="5" borderId="1" xfId="0" applyNumberFormat="1" applyFont="1" applyFill="1" applyBorder="1"/>
    <xf numFmtId="164" fontId="10" fillId="5" borderId="1" xfId="0" applyNumberFormat="1" applyFont="1" applyFill="1" applyBorder="1" applyAlignment="1">
      <alignment vertical="top"/>
    </xf>
    <xf numFmtId="167" fontId="9" fillId="5" borderId="1" xfId="0" applyNumberFormat="1" applyFont="1" applyFill="1" applyBorder="1" applyAlignment="1">
      <alignment vertical="top"/>
    </xf>
    <xf numFmtId="167" fontId="10" fillId="5" borderId="1" xfId="0" applyNumberFormat="1" applyFont="1" applyFill="1" applyBorder="1" applyAlignment="1">
      <alignment vertical="top"/>
    </xf>
    <xf numFmtId="169" fontId="8" fillId="5" borderId="1" xfId="0" applyNumberFormat="1"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644DB-8C71-4A8A-A457-0A27A3813ADD}">
  <dimension ref="A1:B16"/>
  <sheetViews>
    <sheetView tabSelected="1" zoomScaleNormal="100" workbookViewId="0"/>
  </sheetViews>
  <sheetFormatPr baseColWidth="10" defaultRowHeight="12.5" x14ac:dyDescent="0.25"/>
  <cols>
    <col min="1" max="1" width="26.6328125" style="1" customWidth="1"/>
    <col min="2" max="2" width="110.6328125" style="1" customWidth="1"/>
    <col min="3" max="16384" width="10.90625" style="1"/>
  </cols>
  <sheetData>
    <row r="1" spans="1:2" ht="18" x14ac:dyDescent="0.4">
      <c r="A1" s="3" t="s">
        <v>0</v>
      </c>
    </row>
    <row r="2" spans="1:2" ht="13" x14ac:dyDescent="0.3">
      <c r="A2" s="4" t="s">
        <v>1</v>
      </c>
    </row>
    <row r="4" spans="1:2" ht="13" x14ac:dyDescent="0.25">
      <c r="A4" s="6" t="s">
        <v>2</v>
      </c>
      <c r="B4" s="6" t="s">
        <v>3</v>
      </c>
    </row>
    <row r="5" spans="1:2" ht="13" x14ac:dyDescent="0.25">
      <c r="A5" s="8" t="s">
        <v>4</v>
      </c>
      <c r="B5" s="9" t="s">
        <v>5</v>
      </c>
    </row>
    <row r="6" spans="1:2" ht="37.5" x14ac:dyDescent="0.25">
      <c r="A6" s="8" t="s">
        <v>6</v>
      </c>
      <c r="B6" s="9" t="s">
        <v>7</v>
      </c>
    </row>
    <row r="7" spans="1:2" ht="37.5" x14ac:dyDescent="0.25">
      <c r="A7" s="8" t="s">
        <v>8</v>
      </c>
      <c r="B7" s="9" t="s">
        <v>9</v>
      </c>
    </row>
    <row r="8" spans="1:2" ht="25" x14ac:dyDescent="0.25">
      <c r="A8" s="8" t="s">
        <v>10</v>
      </c>
      <c r="B8" s="9" t="s">
        <v>11</v>
      </c>
    </row>
    <row r="9" spans="1:2" ht="25" x14ac:dyDescent="0.25">
      <c r="A9" s="8" t="s">
        <v>12</v>
      </c>
      <c r="B9" s="9" t="s">
        <v>13</v>
      </c>
    </row>
    <row r="10" spans="1:2" ht="25" x14ac:dyDescent="0.25">
      <c r="A10" s="8" t="s">
        <v>14</v>
      </c>
      <c r="B10" s="9" t="s">
        <v>15</v>
      </c>
    </row>
    <row r="11" spans="1:2" ht="25" x14ac:dyDescent="0.25">
      <c r="A11" s="8" t="s">
        <v>16</v>
      </c>
      <c r="B11" s="9" t="s">
        <v>17</v>
      </c>
    </row>
    <row r="12" spans="1:2" ht="25" x14ac:dyDescent="0.25">
      <c r="A12" s="8" t="s">
        <v>18</v>
      </c>
      <c r="B12" s="9" t="s">
        <v>19</v>
      </c>
    </row>
    <row r="13" spans="1:2" ht="25" x14ac:dyDescent="0.25">
      <c r="A13" s="8" t="s">
        <v>20</v>
      </c>
      <c r="B13" s="9" t="s">
        <v>21</v>
      </c>
    </row>
    <row r="14" spans="1:2" ht="13" x14ac:dyDescent="0.25">
      <c r="A14" s="8" t="s">
        <v>22</v>
      </c>
      <c r="B14" s="9" t="s">
        <v>23</v>
      </c>
    </row>
    <row r="15" spans="1:2" ht="37.5" x14ac:dyDescent="0.25">
      <c r="A15" s="8" t="s">
        <v>24</v>
      </c>
      <c r="B15" s="9" t="s">
        <v>25</v>
      </c>
    </row>
    <row r="16" spans="1:2" ht="25" x14ac:dyDescent="0.25">
      <c r="A16" s="8" t="s">
        <v>26</v>
      </c>
      <c r="B16" s="9"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1D319-BD4D-4D17-92CD-E81490C46EAF}">
  <dimension ref="A1:I43"/>
  <sheetViews>
    <sheetView zoomScaleNormal="100" workbookViewId="0">
      <pane ySplit="5" topLeftCell="A6" activePane="bottomLeft" state="frozenSplit"/>
      <selection pane="bottomLeft"/>
    </sheetView>
  </sheetViews>
  <sheetFormatPr baseColWidth="10" defaultRowHeight="12.5" x14ac:dyDescent="0.25"/>
  <cols>
    <col min="1" max="1" width="50.6328125" style="1" customWidth="1"/>
    <col min="2" max="2" width="18.6328125" style="1" customWidth="1"/>
    <col min="3" max="5" width="15.6328125" style="1" customWidth="1"/>
    <col min="6" max="6" width="17.6328125" style="1" customWidth="1"/>
    <col min="7" max="7" width="8.6328125" style="1" customWidth="1"/>
    <col min="8" max="8" width="60.6328125" style="1" customWidth="1"/>
    <col min="9" max="9" width="12.6328125" style="1" customWidth="1"/>
    <col min="10" max="16384" width="10.90625" style="1"/>
  </cols>
  <sheetData>
    <row r="1" spans="1:9" ht="18" x14ac:dyDescent="0.4">
      <c r="A1" s="3" t="s">
        <v>28</v>
      </c>
    </row>
    <row r="2" spans="1:9" ht="13" x14ac:dyDescent="0.3">
      <c r="A2" s="4" t="s">
        <v>29</v>
      </c>
    </row>
    <row r="3" spans="1:9" ht="13" x14ac:dyDescent="0.3">
      <c r="A3" s="4" t="s">
        <v>30</v>
      </c>
    </row>
    <row r="5" spans="1:9" ht="42" customHeight="1" x14ac:dyDescent="0.25">
      <c r="A5" s="6" t="s">
        <v>31</v>
      </c>
      <c r="B5" s="6" t="s">
        <v>32</v>
      </c>
      <c r="C5" s="6" t="s">
        <v>33</v>
      </c>
      <c r="D5" s="6" t="s">
        <v>34</v>
      </c>
      <c r="E5" s="6" t="s">
        <v>35</v>
      </c>
      <c r="F5" s="6" t="s">
        <v>36</v>
      </c>
      <c r="G5" s="6" t="s">
        <v>37</v>
      </c>
      <c r="H5" s="6" t="s">
        <v>38</v>
      </c>
      <c r="I5" s="6" t="s">
        <v>39</v>
      </c>
    </row>
    <row r="6" spans="1:9" ht="13" x14ac:dyDescent="0.3">
      <c r="A6" s="10" t="s">
        <v>40</v>
      </c>
      <c r="B6" s="10"/>
      <c r="C6" s="10"/>
      <c r="D6" s="10"/>
      <c r="E6" s="10"/>
      <c r="F6" s="10"/>
      <c r="G6" s="10"/>
      <c r="H6" s="10"/>
      <c r="I6" s="10"/>
    </row>
    <row r="7" spans="1:9" ht="37.5" x14ac:dyDescent="0.25">
      <c r="A7" s="19" t="s">
        <v>41</v>
      </c>
      <c r="B7" s="19" t="s">
        <v>42</v>
      </c>
      <c r="C7" s="20">
        <v>24</v>
      </c>
      <c r="D7" s="20">
        <v>24</v>
      </c>
      <c r="E7" s="20">
        <v>20</v>
      </c>
      <c r="F7" s="20">
        <v>10</v>
      </c>
      <c r="G7" s="21" t="s">
        <v>87</v>
      </c>
      <c r="H7" s="22" t="s">
        <v>88</v>
      </c>
      <c r="I7" s="21" t="s">
        <v>89</v>
      </c>
    </row>
    <row r="8" spans="1:9" ht="37.5" x14ac:dyDescent="0.25">
      <c r="A8" s="19" t="s">
        <v>43</v>
      </c>
      <c r="B8" s="19" t="s">
        <v>44</v>
      </c>
      <c r="C8" s="23">
        <v>0.8</v>
      </c>
      <c r="D8" s="23">
        <v>0.8</v>
      </c>
      <c r="E8" s="23">
        <v>0.8</v>
      </c>
      <c r="F8" s="23">
        <v>1</v>
      </c>
      <c r="G8" s="21" t="s">
        <v>90</v>
      </c>
      <c r="H8" s="22" t="s">
        <v>91</v>
      </c>
      <c r="I8" s="21" t="s">
        <v>92</v>
      </c>
    </row>
    <row r="9" spans="1:9" ht="13" x14ac:dyDescent="0.25">
      <c r="A9" s="8" t="s">
        <v>45</v>
      </c>
      <c r="B9" s="8" t="s">
        <v>46</v>
      </c>
      <c r="C9" s="24">
        <f t="shared" ref="C9:F9" si="0">ROUND(C7*C8,0)</f>
        <v>19</v>
      </c>
      <c r="D9" s="24">
        <f t="shared" si="0"/>
        <v>19</v>
      </c>
      <c r="E9" s="24">
        <f t="shared" si="0"/>
        <v>16</v>
      </c>
      <c r="F9" s="24">
        <f t="shared" si="0"/>
        <v>10</v>
      </c>
      <c r="G9" s="21"/>
      <c r="H9" s="22"/>
      <c r="I9" s="21"/>
    </row>
    <row r="10" spans="1:9" ht="25" x14ac:dyDescent="0.25">
      <c r="A10" s="19" t="s">
        <v>47</v>
      </c>
      <c r="B10" s="19" t="s">
        <v>48</v>
      </c>
      <c r="C10" s="25">
        <v>290</v>
      </c>
      <c r="D10" s="25">
        <v>420</v>
      </c>
      <c r="E10" s="25">
        <v>690</v>
      </c>
      <c r="F10" s="25">
        <v>300</v>
      </c>
      <c r="G10" s="21" t="s">
        <v>87</v>
      </c>
      <c r="H10" s="22" t="s">
        <v>93</v>
      </c>
      <c r="I10" s="21" t="s">
        <v>89</v>
      </c>
    </row>
    <row r="11" spans="1:9" ht="37.5" x14ac:dyDescent="0.25">
      <c r="A11" s="19" t="s">
        <v>49</v>
      </c>
      <c r="B11" s="19" t="s">
        <v>50</v>
      </c>
      <c r="C11" s="26">
        <v>0</v>
      </c>
      <c r="D11" s="26">
        <v>0</v>
      </c>
      <c r="E11" s="26">
        <v>0</v>
      </c>
      <c r="F11" s="26">
        <v>6000</v>
      </c>
      <c r="G11" s="21" t="s">
        <v>87</v>
      </c>
      <c r="H11" s="22" t="s">
        <v>94</v>
      </c>
      <c r="I11" s="21" t="s">
        <v>89</v>
      </c>
    </row>
    <row r="12" spans="1:9" ht="50" x14ac:dyDescent="0.25">
      <c r="A12" s="19" t="s">
        <v>51</v>
      </c>
      <c r="B12" s="19" t="s">
        <v>52</v>
      </c>
      <c r="C12" s="23">
        <v>0.12</v>
      </c>
      <c r="D12" s="23">
        <v>0.12</v>
      </c>
      <c r="E12" s="23">
        <v>0.12</v>
      </c>
      <c r="F12" s="23">
        <v>0.12</v>
      </c>
      <c r="G12" s="21" t="s">
        <v>90</v>
      </c>
      <c r="H12" s="22" t="s">
        <v>95</v>
      </c>
      <c r="I12" s="21" t="s">
        <v>92</v>
      </c>
    </row>
    <row r="13" spans="1:9" ht="13" x14ac:dyDescent="0.25">
      <c r="A13" s="8" t="s">
        <v>53</v>
      </c>
      <c r="B13" s="8" t="s">
        <v>54</v>
      </c>
      <c r="C13" s="27">
        <f t="shared" ref="C13:F13" si="1">C10/(1+C12)</f>
        <v>258.92857142857139</v>
      </c>
      <c r="D13" s="27">
        <f t="shared" si="1"/>
        <v>374.99999999999994</v>
      </c>
      <c r="E13" s="27">
        <f t="shared" si="1"/>
        <v>616.07142857142856</v>
      </c>
      <c r="F13" s="27">
        <f t="shared" si="1"/>
        <v>267.85714285714283</v>
      </c>
      <c r="G13" s="21"/>
      <c r="H13" s="22"/>
      <c r="I13" s="21"/>
    </row>
    <row r="14" spans="1:9" ht="13" x14ac:dyDescent="0.25">
      <c r="A14" s="8" t="s">
        <v>55</v>
      </c>
      <c r="B14" s="8" t="s">
        <v>56</v>
      </c>
      <c r="C14" s="28">
        <f t="shared" ref="C14:F14" si="2">C11/(1+C12)</f>
        <v>0</v>
      </c>
      <c r="D14" s="28">
        <f t="shared" si="2"/>
        <v>0</v>
      </c>
      <c r="E14" s="28">
        <f t="shared" si="2"/>
        <v>0</v>
      </c>
      <c r="F14" s="28">
        <f t="shared" si="2"/>
        <v>5357.1428571428569</v>
      </c>
      <c r="G14" s="21"/>
      <c r="H14" s="22"/>
      <c r="I14" s="21"/>
    </row>
    <row r="15" spans="1:9" x14ac:dyDescent="0.25">
      <c r="A15" s="19" t="s">
        <v>57</v>
      </c>
      <c r="B15" s="19" t="s">
        <v>56</v>
      </c>
      <c r="C15" s="26">
        <v>0</v>
      </c>
      <c r="D15" s="26">
        <v>0</v>
      </c>
      <c r="E15" s="26">
        <v>0</v>
      </c>
      <c r="F15" s="26">
        <v>0</v>
      </c>
      <c r="G15" s="21" t="s">
        <v>90</v>
      </c>
      <c r="H15" s="22" t="s">
        <v>96</v>
      </c>
      <c r="I15" s="21" t="s">
        <v>89</v>
      </c>
    </row>
    <row r="16" spans="1:9" ht="25" x14ac:dyDescent="0.25">
      <c r="A16" s="19" t="s">
        <v>58</v>
      </c>
      <c r="B16" s="19" t="s">
        <v>56</v>
      </c>
      <c r="C16" s="26">
        <v>0</v>
      </c>
      <c r="D16" s="26">
        <v>0</v>
      </c>
      <c r="E16" s="26">
        <v>0</v>
      </c>
      <c r="F16" s="26">
        <v>0</v>
      </c>
      <c r="G16" s="21" t="s">
        <v>90</v>
      </c>
      <c r="H16" s="22" t="s">
        <v>97</v>
      </c>
      <c r="I16" s="21" t="s">
        <v>98</v>
      </c>
    </row>
    <row r="17" spans="1:9" ht="13" x14ac:dyDescent="0.25">
      <c r="A17" s="8" t="s">
        <v>59</v>
      </c>
      <c r="B17" s="8" t="s">
        <v>56</v>
      </c>
      <c r="C17" s="28">
        <f t="shared" ref="C17:F17" si="3">MAX(C9*C13+C14,C15)+C16</f>
        <v>4919.642857142856</v>
      </c>
      <c r="D17" s="28">
        <f t="shared" si="3"/>
        <v>7124.9999999999991</v>
      </c>
      <c r="E17" s="28">
        <f t="shared" si="3"/>
        <v>9857.1428571428569</v>
      </c>
      <c r="F17" s="28">
        <f t="shared" si="3"/>
        <v>8035.7142857142853</v>
      </c>
      <c r="G17" s="21"/>
      <c r="H17" s="22"/>
      <c r="I17" s="21"/>
    </row>
    <row r="18" spans="1:9" ht="13" x14ac:dyDescent="0.25">
      <c r="A18" s="29" t="s">
        <v>60</v>
      </c>
      <c r="B18" s="29"/>
      <c r="C18" s="29"/>
      <c r="D18" s="29"/>
      <c r="E18" s="29"/>
      <c r="F18" s="29"/>
      <c r="G18" s="29"/>
      <c r="H18" s="30"/>
      <c r="I18" s="29"/>
    </row>
    <row r="19" spans="1:9" ht="50" x14ac:dyDescent="0.25">
      <c r="A19" s="19" t="s">
        <v>61</v>
      </c>
      <c r="B19" s="19" t="s">
        <v>56</v>
      </c>
      <c r="C19" s="26">
        <v>1500</v>
      </c>
      <c r="D19" s="26">
        <v>1500</v>
      </c>
      <c r="E19" s="26">
        <v>2500</v>
      </c>
      <c r="F19" s="26">
        <v>2000</v>
      </c>
      <c r="G19" s="21" t="s">
        <v>90</v>
      </c>
      <c r="H19" s="22" t="s">
        <v>99</v>
      </c>
      <c r="I19" s="21" t="s">
        <v>98</v>
      </c>
    </row>
    <row r="20" spans="1:9" ht="50" x14ac:dyDescent="0.25">
      <c r="A20" s="19" t="s">
        <v>62</v>
      </c>
      <c r="B20" s="19" t="s">
        <v>56</v>
      </c>
      <c r="C20" s="26">
        <v>950</v>
      </c>
      <c r="D20" s="26">
        <v>2000</v>
      </c>
      <c r="E20" s="26">
        <v>3700</v>
      </c>
      <c r="F20" s="26">
        <v>1800</v>
      </c>
      <c r="G20" s="21" t="s">
        <v>90</v>
      </c>
      <c r="H20" s="22" t="s">
        <v>100</v>
      </c>
      <c r="I20" s="21" t="s">
        <v>98</v>
      </c>
    </row>
    <row r="21" spans="1:9" ht="25" x14ac:dyDescent="0.25">
      <c r="A21" s="19" t="s">
        <v>63</v>
      </c>
      <c r="B21" s="19" t="s">
        <v>64</v>
      </c>
      <c r="C21" s="23">
        <v>0</v>
      </c>
      <c r="D21" s="23">
        <v>0</v>
      </c>
      <c r="E21" s="23">
        <v>0</v>
      </c>
      <c r="F21" s="23">
        <v>0</v>
      </c>
      <c r="G21" s="21" t="s">
        <v>90</v>
      </c>
      <c r="H21" s="22" t="s">
        <v>101</v>
      </c>
      <c r="I21" s="21" t="s">
        <v>98</v>
      </c>
    </row>
    <row r="22" spans="1:9" ht="13" x14ac:dyDescent="0.25">
      <c r="A22" s="8" t="s">
        <v>65</v>
      </c>
      <c r="B22" s="8" t="s">
        <v>56</v>
      </c>
      <c r="C22" s="28">
        <f t="shared" ref="C22:F22" si="4">C20+C21*C17</f>
        <v>950</v>
      </c>
      <c r="D22" s="28">
        <f t="shared" si="4"/>
        <v>2000</v>
      </c>
      <c r="E22" s="28">
        <f t="shared" si="4"/>
        <v>3700</v>
      </c>
      <c r="F22" s="28">
        <f t="shared" si="4"/>
        <v>1800</v>
      </c>
      <c r="G22" s="21"/>
      <c r="H22" s="22"/>
      <c r="I22" s="21"/>
    </row>
    <row r="23" spans="1:9" ht="37.5" x14ac:dyDescent="0.25">
      <c r="A23" s="19" t="s">
        <v>66</v>
      </c>
      <c r="B23" s="19" t="s">
        <v>54</v>
      </c>
      <c r="C23" s="25">
        <v>55</v>
      </c>
      <c r="D23" s="25">
        <v>70</v>
      </c>
      <c r="E23" s="25">
        <v>100</v>
      </c>
      <c r="F23" s="25">
        <v>50</v>
      </c>
      <c r="G23" s="21" t="s">
        <v>90</v>
      </c>
      <c r="H23" s="22" t="s">
        <v>102</v>
      </c>
      <c r="I23" s="21" t="s">
        <v>103</v>
      </c>
    </row>
    <row r="24" spans="1:9" ht="25" x14ac:dyDescent="0.25">
      <c r="A24" s="19" t="s">
        <v>67</v>
      </c>
      <c r="B24" s="19" t="s">
        <v>54</v>
      </c>
      <c r="C24" s="25">
        <v>30</v>
      </c>
      <c r="D24" s="25">
        <v>42</v>
      </c>
      <c r="E24" s="25">
        <v>66</v>
      </c>
      <c r="F24" s="25">
        <v>30</v>
      </c>
      <c r="G24" s="21" t="s">
        <v>90</v>
      </c>
      <c r="H24" s="22" t="s">
        <v>104</v>
      </c>
      <c r="I24" s="21" t="s">
        <v>103</v>
      </c>
    </row>
    <row r="25" spans="1:9" ht="13" x14ac:dyDescent="0.25">
      <c r="A25" s="8" t="s">
        <v>68</v>
      </c>
      <c r="B25" s="8" t="s">
        <v>56</v>
      </c>
      <c r="C25" s="28">
        <f t="shared" ref="C25:F25" si="5">C9*(C23+C24)</f>
        <v>1615</v>
      </c>
      <c r="D25" s="28">
        <f t="shared" si="5"/>
        <v>2128</v>
      </c>
      <c r="E25" s="28">
        <f t="shared" si="5"/>
        <v>2656</v>
      </c>
      <c r="F25" s="28">
        <f t="shared" si="5"/>
        <v>800</v>
      </c>
      <c r="G25" s="21"/>
      <c r="H25" s="22"/>
      <c r="I25" s="21"/>
    </row>
    <row r="26" spans="1:9" ht="37.5" x14ac:dyDescent="0.25">
      <c r="A26" s="19" t="s">
        <v>69</v>
      </c>
      <c r="B26" s="19" t="s">
        <v>56</v>
      </c>
      <c r="C26" s="26">
        <v>870</v>
      </c>
      <c r="D26" s="26">
        <v>1080</v>
      </c>
      <c r="E26" s="26">
        <v>1350</v>
      </c>
      <c r="F26" s="26">
        <v>950</v>
      </c>
      <c r="G26" s="21" t="s">
        <v>90</v>
      </c>
      <c r="H26" s="22" t="s">
        <v>105</v>
      </c>
      <c r="I26" s="21" t="s">
        <v>103</v>
      </c>
    </row>
    <row r="27" spans="1:9" x14ac:dyDescent="0.25">
      <c r="A27" s="19" t="s">
        <v>70</v>
      </c>
      <c r="B27" s="19" t="s">
        <v>56</v>
      </c>
      <c r="C27" s="26">
        <v>150</v>
      </c>
      <c r="D27" s="26">
        <v>150</v>
      </c>
      <c r="E27" s="26">
        <v>150</v>
      </c>
      <c r="F27" s="26">
        <v>150</v>
      </c>
      <c r="G27" s="21" t="s">
        <v>90</v>
      </c>
      <c r="H27" s="22" t="s">
        <v>106</v>
      </c>
      <c r="I27" s="21" t="s">
        <v>103</v>
      </c>
    </row>
    <row r="28" spans="1:9" x14ac:dyDescent="0.25">
      <c r="A28" s="19" t="s">
        <v>71</v>
      </c>
      <c r="B28" s="19" t="s">
        <v>56</v>
      </c>
      <c r="C28" s="26">
        <v>150</v>
      </c>
      <c r="D28" s="26">
        <v>150</v>
      </c>
      <c r="E28" s="26">
        <v>150</v>
      </c>
      <c r="F28" s="26">
        <v>150</v>
      </c>
      <c r="G28" s="21" t="s">
        <v>90</v>
      </c>
      <c r="H28" s="22" t="s">
        <v>107</v>
      </c>
      <c r="I28" s="21" t="s">
        <v>108</v>
      </c>
    </row>
    <row r="29" spans="1:9" x14ac:dyDescent="0.25">
      <c r="A29" s="19" t="s">
        <v>72</v>
      </c>
      <c r="B29" s="19" t="s">
        <v>56</v>
      </c>
      <c r="C29" s="26">
        <v>200</v>
      </c>
      <c r="D29" s="26">
        <v>250</v>
      </c>
      <c r="E29" s="26">
        <v>300</v>
      </c>
      <c r="F29" s="26">
        <v>150</v>
      </c>
      <c r="G29" s="21" t="s">
        <v>90</v>
      </c>
      <c r="H29" s="22" t="s">
        <v>109</v>
      </c>
      <c r="I29" s="21" t="s">
        <v>103</v>
      </c>
    </row>
    <row r="30" spans="1:9" ht="37.5" x14ac:dyDescent="0.25">
      <c r="A30" s="19" t="s">
        <v>73</v>
      </c>
      <c r="B30" s="19" t="s">
        <v>64</v>
      </c>
      <c r="C30" s="23">
        <v>1.6E-2</v>
      </c>
      <c r="D30" s="23">
        <v>1.6E-2</v>
      </c>
      <c r="E30" s="23">
        <v>1.6E-2</v>
      </c>
      <c r="F30" s="23">
        <v>0</v>
      </c>
      <c r="G30" s="21" t="s">
        <v>90</v>
      </c>
      <c r="H30" s="22" t="s">
        <v>110</v>
      </c>
      <c r="I30" s="21" t="s">
        <v>92</v>
      </c>
    </row>
    <row r="31" spans="1:9" ht="37.5" x14ac:dyDescent="0.25">
      <c r="A31" s="19" t="s">
        <v>74</v>
      </c>
      <c r="B31" s="19" t="s">
        <v>64</v>
      </c>
      <c r="C31" s="23">
        <v>0</v>
      </c>
      <c r="D31" s="23">
        <v>0.05</v>
      </c>
      <c r="E31" s="23">
        <v>0.1</v>
      </c>
      <c r="F31" s="23">
        <v>0.1</v>
      </c>
      <c r="G31" s="21" t="s">
        <v>90</v>
      </c>
      <c r="H31" s="22" t="s">
        <v>111</v>
      </c>
      <c r="I31" s="21" t="s">
        <v>112</v>
      </c>
    </row>
    <row r="32" spans="1:9" ht="13" x14ac:dyDescent="0.25">
      <c r="A32" s="8" t="s">
        <v>75</v>
      </c>
      <c r="B32" s="8" t="s">
        <v>56</v>
      </c>
      <c r="C32" s="28">
        <f t="shared" ref="C32:F32" si="6">(C30+C31)*C17</f>
        <v>78.714285714285694</v>
      </c>
      <c r="D32" s="28">
        <f t="shared" si="6"/>
        <v>470.24999999999994</v>
      </c>
      <c r="E32" s="28">
        <f t="shared" si="6"/>
        <v>1143.4285714285716</v>
      </c>
      <c r="F32" s="28">
        <f t="shared" si="6"/>
        <v>803.57142857142856</v>
      </c>
      <c r="G32" s="21"/>
      <c r="H32" s="22"/>
      <c r="I32" s="21"/>
    </row>
    <row r="33" spans="1:9" ht="37.5" x14ac:dyDescent="0.25">
      <c r="A33" s="19" t="s">
        <v>76</v>
      </c>
      <c r="B33" s="19" t="s">
        <v>56</v>
      </c>
      <c r="C33" s="26">
        <v>260</v>
      </c>
      <c r="D33" s="26">
        <v>260</v>
      </c>
      <c r="E33" s="26">
        <v>260</v>
      </c>
      <c r="F33" s="26">
        <v>0</v>
      </c>
      <c r="G33" s="21" t="s">
        <v>90</v>
      </c>
      <c r="H33" s="22" t="s">
        <v>113</v>
      </c>
      <c r="I33" s="21" t="s">
        <v>112</v>
      </c>
    </row>
    <row r="34" spans="1:9" ht="13" x14ac:dyDescent="0.25">
      <c r="A34" s="8" t="s">
        <v>77</v>
      </c>
      <c r="B34" s="8" t="s">
        <v>56</v>
      </c>
      <c r="C34" s="28">
        <f t="shared" ref="C34:F34" si="7">C19+C22+C25+C26+C27+C28+C29+C32+C33</f>
        <v>5773.7142857142853</v>
      </c>
      <c r="D34" s="28">
        <f t="shared" si="7"/>
        <v>7988.25</v>
      </c>
      <c r="E34" s="28">
        <f t="shared" si="7"/>
        <v>12209.428571428572</v>
      </c>
      <c r="F34" s="28">
        <f t="shared" si="7"/>
        <v>6803.5714285714284</v>
      </c>
      <c r="G34" s="21"/>
      <c r="H34" s="22"/>
      <c r="I34" s="21"/>
    </row>
    <row r="35" spans="1:9" ht="13" x14ac:dyDescent="0.25">
      <c r="A35" s="29" t="s">
        <v>78</v>
      </c>
      <c r="B35" s="29"/>
      <c r="C35" s="29"/>
      <c r="D35" s="29"/>
      <c r="E35" s="29"/>
      <c r="F35" s="29"/>
      <c r="G35" s="29"/>
      <c r="H35" s="30"/>
      <c r="I35" s="29"/>
    </row>
    <row r="36" spans="1:9" ht="13" x14ac:dyDescent="0.25">
      <c r="A36" s="8" t="s">
        <v>79</v>
      </c>
      <c r="B36" s="8" t="s">
        <v>56</v>
      </c>
      <c r="C36" s="28">
        <f t="shared" ref="C36:F36" si="8">C17-C34</f>
        <v>-854.07142857142935</v>
      </c>
      <c r="D36" s="28">
        <f t="shared" si="8"/>
        <v>-863.25000000000091</v>
      </c>
      <c r="E36" s="28">
        <f t="shared" si="8"/>
        <v>-2352.2857142857156</v>
      </c>
      <c r="F36" s="28">
        <f t="shared" si="8"/>
        <v>1232.1428571428569</v>
      </c>
      <c r="G36" s="21"/>
      <c r="H36" s="22"/>
      <c r="I36" s="21"/>
    </row>
    <row r="37" spans="1:9" ht="13" x14ac:dyDescent="0.25">
      <c r="A37" s="8" t="s">
        <v>80</v>
      </c>
      <c r="B37" s="8" t="s">
        <v>64</v>
      </c>
      <c r="C37" s="31">
        <f t="shared" ref="C37:F37" si="9">IF(C17&gt;0,C36/C17,0)</f>
        <v>-0.1736043557168786</v>
      </c>
      <c r="D37" s="31">
        <f t="shared" si="9"/>
        <v>-0.12115789473684224</v>
      </c>
      <c r="E37" s="31">
        <f t="shared" si="9"/>
        <v>-0.23863768115942044</v>
      </c>
      <c r="F37" s="31">
        <f t="shared" si="9"/>
        <v>0.15333333333333332</v>
      </c>
      <c r="G37" s="21"/>
      <c r="H37" s="22"/>
      <c r="I37" s="21"/>
    </row>
    <row r="38" spans="1:9" ht="13" x14ac:dyDescent="0.25">
      <c r="A38" s="8" t="s">
        <v>81</v>
      </c>
      <c r="B38" s="8" t="s">
        <v>54</v>
      </c>
      <c r="C38" s="27">
        <f t="shared" ref="C38:F38" si="10">IF(C9&gt;0,C36/C9,0)</f>
        <v>-44.951127819548915</v>
      </c>
      <c r="D38" s="27">
        <f t="shared" si="10"/>
        <v>-45.434210526315837</v>
      </c>
      <c r="E38" s="27">
        <f t="shared" si="10"/>
        <v>-147.01785714285722</v>
      </c>
      <c r="F38" s="27">
        <f t="shared" si="10"/>
        <v>123.21428571428569</v>
      </c>
      <c r="G38" s="21"/>
      <c r="H38" s="22"/>
      <c r="I38" s="21"/>
    </row>
    <row r="39" spans="1:9" ht="13" x14ac:dyDescent="0.25">
      <c r="A39" s="8" t="s">
        <v>82</v>
      </c>
      <c r="B39" s="8" t="s">
        <v>64</v>
      </c>
      <c r="C39" s="31">
        <f t="shared" ref="C39:F39" si="11">IF(C17&gt;0,C19/C17,0)</f>
        <v>0.30490018148820336</v>
      </c>
      <c r="D39" s="31">
        <f t="shared" si="11"/>
        <v>0.2105263157894737</v>
      </c>
      <c r="E39" s="31">
        <f t="shared" si="11"/>
        <v>0.25362318840579712</v>
      </c>
      <c r="F39" s="31">
        <f t="shared" si="11"/>
        <v>0.24888888888888891</v>
      </c>
      <c r="G39" s="21"/>
      <c r="H39" s="22"/>
      <c r="I39" s="21"/>
    </row>
    <row r="40" spans="1:9" ht="13" x14ac:dyDescent="0.25">
      <c r="A40" s="8" t="s">
        <v>83</v>
      </c>
      <c r="B40" s="8" t="s">
        <v>64</v>
      </c>
      <c r="C40" s="31">
        <f t="shared" ref="C40:F40" si="12">IF(C17&gt;0,C22/C17,0)</f>
        <v>0.19310344827586212</v>
      </c>
      <c r="D40" s="31">
        <f t="shared" si="12"/>
        <v>0.28070175438596495</v>
      </c>
      <c r="E40" s="31">
        <f t="shared" si="12"/>
        <v>0.37536231884057975</v>
      </c>
      <c r="F40" s="31">
        <f t="shared" si="12"/>
        <v>0.224</v>
      </c>
      <c r="G40" s="21"/>
      <c r="H40" s="22"/>
      <c r="I40" s="21"/>
    </row>
    <row r="41" spans="1:9" ht="13" x14ac:dyDescent="0.25">
      <c r="A41" s="8" t="s">
        <v>84</v>
      </c>
      <c r="B41" s="8" t="s">
        <v>64</v>
      </c>
      <c r="C41" s="31">
        <f t="shared" ref="C41:F41" si="13">C37</f>
        <v>-0.1736043557168786</v>
      </c>
      <c r="D41" s="31">
        <f t="shared" si="13"/>
        <v>-0.12115789473684224</v>
      </c>
      <c r="E41" s="31">
        <f t="shared" si="13"/>
        <v>-0.23863768115942044</v>
      </c>
      <c r="F41" s="31">
        <f t="shared" si="13"/>
        <v>0.15333333333333332</v>
      </c>
      <c r="G41" s="21"/>
      <c r="H41" s="22"/>
      <c r="I41" s="21"/>
    </row>
    <row r="42" spans="1:9" ht="13" x14ac:dyDescent="0.25">
      <c r="A42" s="8" t="s">
        <v>85</v>
      </c>
      <c r="B42" s="8" t="s">
        <v>48</v>
      </c>
      <c r="C42" s="27">
        <f t="shared" ref="C42:F42" si="14">IF(AND(C9&gt;0,1-C21-C30-C31&gt;0),((C19+C20+C26+C27+C28+C29+C33+C9*(C23+C24))/(1-C21-C30-C31)-C14-C16)/C9*(1+C12),0)</f>
        <v>341.16388532306382</v>
      </c>
      <c r="D42" s="27">
        <f t="shared" si="14"/>
        <v>474.48213681956508</v>
      </c>
      <c r="E42" s="27">
        <f t="shared" si="14"/>
        <v>876.26696832579194</v>
      </c>
      <c r="F42" s="27">
        <f t="shared" si="14"/>
        <v>146.66666666666663</v>
      </c>
      <c r="G42" s="21"/>
      <c r="H42" s="22"/>
      <c r="I42" s="21"/>
    </row>
    <row r="43" spans="1:9" ht="13" x14ac:dyDescent="0.25">
      <c r="A43" s="8" t="s">
        <v>86</v>
      </c>
      <c r="B43" s="8" t="s">
        <v>44</v>
      </c>
      <c r="C43" s="31">
        <f t="shared" ref="C43:F43" si="15">IF(AND(C7&gt;0,C13*(1-C21-C30-C31)-(C23+C24)&gt;0),MAX(0,(C19+C20+C26+C27+C28+C29+C33-(C14+C16)*(1-C21-C30-C31))/(C13*(1-C21-C30-C31)-(C23+C24)))/C7,0)</f>
        <v>1.0012620950778295</v>
      </c>
      <c r="D43" s="31">
        <f t="shared" si="15"/>
        <v>0.94263728576425343</v>
      </c>
      <c r="E43" s="31">
        <f t="shared" si="15"/>
        <v>1.1106499386850297</v>
      </c>
      <c r="F43" s="31">
        <f t="shared" si="15"/>
        <v>0.23503325942350325</v>
      </c>
      <c r="G43" s="21"/>
      <c r="H43" s="22"/>
      <c r="I43" s="21"/>
    </row>
  </sheetData>
  <dataValidations count="2">
    <dataValidation type="list" allowBlank="1" showInputMessage="1" showErrorMessage="1" sqref="G7:G43" xr:uid="{367BEC60-7B5C-4261-9AAC-AAFB02185C2C}">
      <formula1>"F,I,P,H"</formula1>
    </dataValidation>
    <dataValidation type="list" allowBlank="1" showInputMessage="1" showErrorMessage="1" sqref="I7:I43" xr:uid="{8805CBC0-3FD3-42C2-8700-8117D67FA7D0}">
      <formula1>"Finance,Opérations,Ventes,Produit,Marketing,Juridique,Direction"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117B-BF63-41C1-92C8-4FEDF95C8C14}">
  <dimension ref="A1:P29"/>
  <sheetViews>
    <sheetView zoomScaleNormal="100" workbookViewId="0">
      <pane xSplit="2" ySplit="5" topLeftCell="C6" activePane="bottomRight" state="frozenSplit"/>
      <selection pane="topRight" activeCell="C1" sqref="C1"/>
      <selection pane="bottomLeft" activeCell="A6" sqref="A6"/>
      <selection pane="bottomRight"/>
    </sheetView>
  </sheetViews>
  <sheetFormatPr baseColWidth="10" defaultRowHeight="12.5" x14ac:dyDescent="0.25"/>
  <cols>
    <col min="1" max="1" width="44.6328125" style="1" customWidth="1"/>
    <col min="2" max="2" width="14.6328125" style="1" customWidth="1"/>
    <col min="3" max="14" width="11.6328125" style="1" customWidth="1"/>
    <col min="15" max="15" width="8.6328125" style="1" customWidth="1"/>
    <col min="16" max="16" width="60.6328125" style="1" customWidth="1"/>
    <col min="17" max="16384" width="10.90625" style="1"/>
  </cols>
  <sheetData>
    <row r="1" spans="1:16" ht="18" x14ac:dyDescent="0.4">
      <c r="A1" s="3" t="s">
        <v>114</v>
      </c>
    </row>
    <row r="2" spans="1:16" ht="13" x14ac:dyDescent="0.3">
      <c r="A2" s="4" t="s">
        <v>115</v>
      </c>
    </row>
    <row r="3" spans="1:16" ht="13" x14ac:dyDescent="0.3">
      <c r="A3" s="2" t="s">
        <v>116</v>
      </c>
      <c r="C3" s="32">
        <v>46327</v>
      </c>
      <c r="D3" s="4" t="s">
        <v>117</v>
      </c>
    </row>
    <row r="5" spans="1:16" ht="13" x14ac:dyDescent="0.3">
      <c r="A5" s="5" t="s">
        <v>31</v>
      </c>
      <c r="B5" s="5" t="s">
        <v>118</v>
      </c>
      <c r="C5" s="33">
        <f t="shared" ref="C5:N5" si="0">IF($C$3="","Mois "&amp;(COLUMN()-2),EDATE($C$3,COLUMN()-3))</f>
        <v>46327</v>
      </c>
      <c r="D5" s="33">
        <f t="shared" si="0"/>
        <v>46357</v>
      </c>
      <c r="E5" s="33">
        <f t="shared" si="0"/>
        <v>46388</v>
      </c>
      <c r="F5" s="33">
        <f t="shared" si="0"/>
        <v>46419</v>
      </c>
      <c r="G5" s="33">
        <f t="shared" si="0"/>
        <v>46447</v>
      </c>
      <c r="H5" s="33">
        <f t="shared" si="0"/>
        <v>46478</v>
      </c>
      <c r="I5" s="33">
        <f t="shared" si="0"/>
        <v>46508</v>
      </c>
      <c r="J5" s="33">
        <f t="shared" si="0"/>
        <v>46539</v>
      </c>
      <c r="K5" s="33">
        <f t="shared" si="0"/>
        <v>46569</v>
      </c>
      <c r="L5" s="33">
        <f t="shared" si="0"/>
        <v>46600</v>
      </c>
      <c r="M5" s="33">
        <f t="shared" si="0"/>
        <v>46631</v>
      </c>
      <c r="N5" s="33">
        <f t="shared" si="0"/>
        <v>46661</v>
      </c>
      <c r="O5" s="5" t="s">
        <v>37</v>
      </c>
      <c r="P5" s="5" t="s">
        <v>38</v>
      </c>
    </row>
    <row r="6" spans="1:16" ht="13" x14ac:dyDescent="0.3">
      <c r="A6" s="10" t="s">
        <v>119</v>
      </c>
      <c r="B6" s="10"/>
      <c r="C6" s="10"/>
      <c r="D6" s="10"/>
      <c r="E6" s="10"/>
      <c r="F6" s="10"/>
      <c r="G6" s="10"/>
      <c r="H6" s="10"/>
      <c r="I6" s="10"/>
      <c r="J6" s="10"/>
      <c r="K6" s="10"/>
      <c r="L6" s="10"/>
      <c r="M6" s="10"/>
      <c r="N6" s="10"/>
      <c r="O6" s="10"/>
      <c r="P6" s="10"/>
    </row>
    <row r="7" spans="1:16" ht="13" x14ac:dyDescent="0.3">
      <c r="A7" s="1" t="s">
        <v>120</v>
      </c>
      <c r="B7" s="14">
        <f>SUM(C7:N7)</f>
        <v>3</v>
      </c>
      <c r="C7" s="12">
        <v>0</v>
      </c>
      <c r="D7" s="12">
        <v>0</v>
      </c>
      <c r="E7" s="12">
        <v>1</v>
      </c>
      <c r="F7" s="12">
        <v>0</v>
      </c>
      <c r="G7" s="12">
        <v>0</v>
      </c>
      <c r="H7" s="12">
        <v>1</v>
      </c>
      <c r="I7" s="12">
        <v>0</v>
      </c>
      <c r="J7" s="12">
        <v>0</v>
      </c>
      <c r="K7" s="12">
        <v>1</v>
      </c>
      <c r="L7" s="12">
        <v>0</v>
      </c>
      <c r="M7" s="12">
        <v>0</v>
      </c>
      <c r="N7" s="12">
        <v>0</v>
      </c>
      <c r="O7" s="11" t="s">
        <v>90</v>
      </c>
      <c r="P7" s="11" t="s">
        <v>142</v>
      </c>
    </row>
    <row r="8" spans="1:16" ht="13" x14ac:dyDescent="0.3">
      <c r="A8" s="1" t="s">
        <v>121</v>
      </c>
      <c r="B8" s="14">
        <f>SUM(C8:N8)</f>
        <v>3</v>
      </c>
      <c r="C8" s="12">
        <v>0</v>
      </c>
      <c r="D8" s="12">
        <v>0</v>
      </c>
      <c r="E8" s="12">
        <v>0</v>
      </c>
      <c r="F8" s="12">
        <v>0</v>
      </c>
      <c r="G8" s="12">
        <v>1</v>
      </c>
      <c r="H8" s="12">
        <v>0</v>
      </c>
      <c r="I8" s="12">
        <v>0</v>
      </c>
      <c r="J8" s="12">
        <v>1</v>
      </c>
      <c r="K8" s="12">
        <v>0</v>
      </c>
      <c r="L8" s="12">
        <v>0</v>
      </c>
      <c r="M8" s="12">
        <v>0</v>
      </c>
      <c r="N8" s="12">
        <v>1</v>
      </c>
      <c r="O8" s="11" t="s">
        <v>90</v>
      </c>
      <c r="P8" s="11" t="s">
        <v>142</v>
      </c>
    </row>
    <row r="9" spans="1:16" ht="13" x14ac:dyDescent="0.3">
      <c r="A9" s="1" t="s">
        <v>122</v>
      </c>
      <c r="B9" s="14">
        <f>SUM(C9:N9)</f>
        <v>3</v>
      </c>
      <c r="C9" s="12">
        <v>0</v>
      </c>
      <c r="D9" s="12">
        <v>0</v>
      </c>
      <c r="E9" s="12">
        <v>0</v>
      </c>
      <c r="F9" s="12">
        <v>1</v>
      </c>
      <c r="G9" s="12">
        <v>0</v>
      </c>
      <c r="H9" s="12">
        <v>0</v>
      </c>
      <c r="I9" s="12">
        <v>1</v>
      </c>
      <c r="J9" s="12">
        <v>0</v>
      </c>
      <c r="K9" s="12">
        <v>0</v>
      </c>
      <c r="L9" s="12">
        <v>0</v>
      </c>
      <c r="M9" s="12">
        <v>1</v>
      </c>
      <c r="N9" s="12">
        <v>0</v>
      </c>
      <c r="O9" s="11" t="s">
        <v>90</v>
      </c>
      <c r="P9" s="11" t="s">
        <v>142</v>
      </c>
    </row>
    <row r="10" spans="1:16" ht="13" x14ac:dyDescent="0.3">
      <c r="A10" s="1" t="s">
        <v>123</v>
      </c>
      <c r="B10" s="14">
        <f>SUM(C10:N10)</f>
        <v>7</v>
      </c>
      <c r="C10" s="12">
        <v>0</v>
      </c>
      <c r="D10" s="12">
        <v>0</v>
      </c>
      <c r="E10" s="12">
        <v>0</v>
      </c>
      <c r="F10" s="12">
        <v>0</v>
      </c>
      <c r="G10" s="12">
        <v>0</v>
      </c>
      <c r="H10" s="12">
        <v>1</v>
      </c>
      <c r="I10" s="12">
        <v>1</v>
      </c>
      <c r="J10" s="12">
        <v>1</v>
      </c>
      <c r="K10" s="12">
        <v>0</v>
      </c>
      <c r="L10" s="12">
        <v>0</v>
      </c>
      <c r="M10" s="12">
        <v>2</v>
      </c>
      <c r="N10" s="12">
        <v>2</v>
      </c>
      <c r="O10" s="11" t="s">
        <v>90</v>
      </c>
      <c r="P10" s="11" t="s">
        <v>143</v>
      </c>
    </row>
    <row r="11" spans="1:16" ht="13" x14ac:dyDescent="0.3">
      <c r="A11" s="2" t="s">
        <v>124</v>
      </c>
      <c r="B11" s="14">
        <f>SUM(C11:N11)</f>
        <v>16</v>
      </c>
      <c r="C11" s="14">
        <f t="shared" ref="C11:N11" si="1">SUM(C7:C10)</f>
        <v>0</v>
      </c>
      <c r="D11" s="14">
        <f t="shared" si="1"/>
        <v>0</v>
      </c>
      <c r="E11" s="14">
        <f t="shared" si="1"/>
        <v>1</v>
      </c>
      <c r="F11" s="14">
        <f t="shared" si="1"/>
        <v>1</v>
      </c>
      <c r="G11" s="14">
        <f t="shared" si="1"/>
        <v>1</v>
      </c>
      <c r="H11" s="14">
        <f t="shared" si="1"/>
        <v>2</v>
      </c>
      <c r="I11" s="14">
        <f t="shared" si="1"/>
        <v>2</v>
      </c>
      <c r="J11" s="14">
        <f t="shared" si="1"/>
        <v>2</v>
      </c>
      <c r="K11" s="14">
        <f t="shared" si="1"/>
        <v>1</v>
      </c>
      <c r="L11" s="14">
        <f t="shared" si="1"/>
        <v>0</v>
      </c>
      <c r="M11" s="14">
        <f t="shared" si="1"/>
        <v>3</v>
      </c>
      <c r="N11" s="14">
        <f t="shared" si="1"/>
        <v>3</v>
      </c>
    </row>
    <row r="12" spans="1:16" ht="13" x14ac:dyDescent="0.3">
      <c r="A12" s="10" t="s">
        <v>125</v>
      </c>
      <c r="B12" s="10"/>
      <c r="C12" s="10"/>
      <c r="D12" s="10"/>
      <c r="E12" s="10"/>
      <c r="F12" s="10"/>
      <c r="G12" s="10"/>
      <c r="H12" s="10"/>
      <c r="I12" s="10"/>
      <c r="J12" s="10"/>
      <c r="K12" s="10"/>
      <c r="L12" s="10"/>
      <c r="M12" s="10"/>
      <c r="N12" s="10"/>
      <c r="O12" s="10"/>
      <c r="P12" s="10"/>
    </row>
    <row r="13" spans="1:16" ht="13" x14ac:dyDescent="0.3">
      <c r="A13" s="2" t="s">
        <v>126</v>
      </c>
      <c r="B13" s="17">
        <f>SUM(C13:N13)</f>
        <v>121955.35714285714</v>
      </c>
      <c r="C13" s="34">
        <f>C7*'Prix et marges'!$C$17+C8*'Prix et marges'!$D$17+C9*'Prix et marges'!$E$17+C10*'Prix et marges'!$F$17</f>
        <v>0</v>
      </c>
      <c r="D13" s="34">
        <f>D7*'Prix et marges'!$C$17+D8*'Prix et marges'!$D$17+D9*'Prix et marges'!$E$17+D10*'Prix et marges'!$F$17</f>
        <v>0</v>
      </c>
      <c r="E13" s="34">
        <f>E7*'Prix et marges'!$C$17+E8*'Prix et marges'!$D$17+E9*'Prix et marges'!$E$17+E10*'Prix et marges'!$F$17</f>
        <v>4919.642857142856</v>
      </c>
      <c r="F13" s="34">
        <f>F7*'Prix et marges'!$C$17+F8*'Prix et marges'!$D$17+F9*'Prix et marges'!$E$17+F10*'Prix et marges'!$F$17</f>
        <v>9857.1428571428569</v>
      </c>
      <c r="G13" s="34">
        <f>G7*'Prix et marges'!$C$17+G8*'Prix et marges'!$D$17+G9*'Prix et marges'!$E$17+G10*'Prix et marges'!$F$17</f>
        <v>7124.9999999999991</v>
      </c>
      <c r="H13" s="34">
        <f>H7*'Prix et marges'!$C$17+H8*'Prix et marges'!$D$17+H9*'Prix et marges'!$E$17+H10*'Prix et marges'!$F$17</f>
        <v>12955.357142857141</v>
      </c>
      <c r="I13" s="34">
        <f>I7*'Prix et marges'!$C$17+I8*'Prix et marges'!$D$17+I9*'Prix et marges'!$E$17+I10*'Prix et marges'!$F$17</f>
        <v>17892.857142857141</v>
      </c>
      <c r="J13" s="34">
        <f>J7*'Prix et marges'!$C$17+J8*'Prix et marges'!$D$17+J9*'Prix et marges'!$E$17+J10*'Prix et marges'!$F$17</f>
        <v>15160.714285714284</v>
      </c>
      <c r="K13" s="34">
        <f>K7*'Prix et marges'!$C$17+K8*'Prix et marges'!$D$17+K9*'Prix et marges'!$E$17+K10*'Prix et marges'!$F$17</f>
        <v>4919.642857142856</v>
      </c>
      <c r="L13" s="34">
        <f>L7*'Prix et marges'!$C$17+L8*'Prix et marges'!$D$17+L9*'Prix et marges'!$E$17+L10*'Prix et marges'!$F$17</f>
        <v>0</v>
      </c>
      <c r="M13" s="34">
        <f>M7*'Prix et marges'!$C$17+M8*'Prix et marges'!$D$17+M9*'Prix et marges'!$E$17+M10*'Prix et marges'!$F$17</f>
        <v>25928.571428571428</v>
      </c>
      <c r="N13" s="34">
        <f>N7*'Prix et marges'!$C$17+N8*'Prix et marges'!$D$17+N9*'Prix et marges'!$E$17+N10*'Prix et marges'!$F$17</f>
        <v>23196.428571428569</v>
      </c>
    </row>
    <row r="14" spans="1:16" ht="13" x14ac:dyDescent="0.3">
      <c r="A14" s="2" t="s">
        <v>127</v>
      </c>
      <c r="B14" s="17">
        <f>SUM(C14:N14)</f>
        <v>125539.17857142857</v>
      </c>
      <c r="C14" s="34">
        <f>C7*'Prix et marges'!$C$34+C8*'Prix et marges'!$D$34+C9*'Prix et marges'!$E$34+C10*'Prix et marges'!$F$34</f>
        <v>0</v>
      </c>
      <c r="D14" s="34">
        <f>D7*'Prix et marges'!$C$34+D8*'Prix et marges'!$D$34+D9*'Prix et marges'!$E$34+D10*'Prix et marges'!$F$34</f>
        <v>0</v>
      </c>
      <c r="E14" s="34">
        <f>E7*'Prix et marges'!$C$34+E8*'Prix et marges'!$D$34+E9*'Prix et marges'!$E$34+E10*'Prix et marges'!$F$34</f>
        <v>5773.7142857142853</v>
      </c>
      <c r="F14" s="34">
        <f>F7*'Prix et marges'!$C$34+F8*'Prix et marges'!$D$34+F9*'Prix et marges'!$E$34+F10*'Prix et marges'!$F$34</f>
        <v>12209.428571428572</v>
      </c>
      <c r="G14" s="34">
        <f>G7*'Prix et marges'!$C$34+G8*'Prix et marges'!$D$34+G9*'Prix et marges'!$E$34+G10*'Prix et marges'!$F$34</f>
        <v>7988.25</v>
      </c>
      <c r="H14" s="34">
        <f>H7*'Prix et marges'!$C$34+H8*'Prix et marges'!$D$34+H9*'Prix et marges'!$E$34+H10*'Prix et marges'!$F$34</f>
        <v>12577.285714285714</v>
      </c>
      <c r="I14" s="34">
        <f>I7*'Prix et marges'!$C$34+I8*'Prix et marges'!$D$34+I9*'Prix et marges'!$E$34+I10*'Prix et marges'!$F$34</f>
        <v>19013</v>
      </c>
      <c r="J14" s="34">
        <f>J7*'Prix et marges'!$C$34+J8*'Prix et marges'!$D$34+J9*'Prix et marges'!$E$34+J10*'Prix et marges'!$F$34</f>
        <v>14791.821428571428</v>
      </c>
      <c r="K14" s="34">
        <f>K7*'Prix et marges'!$C$34+K8*'Prix et marges'!$D$34+K9*'Prix et marges'!$E$34+K10*'Prix et marges'!$F$34</f>
        <v>5773.7142857142853</v>
      </c>
      <c r="L14" s="34">
        <f>L7*'Prix et marges'!$C$34+L8*'Prix et marges'!$D$34+L9*'Prix et marges'!$E$34+L10*'Prix et marges'!$F$34</f>
        <v>0</v>
      </c>
      <c r="M14" s="34">
        <f>M7*'Prix et marges'!$C$34+M8*'Prix et marges'!$D$34+M9*'Prix et marges'!$E$34+M10*'Prix et marges'!$F$34</f>
        <v>25816.571428571428</v>
      </c>
      <c r="N14" s="34">
        <f>N7*'Prix et marges'!$C$34+N8*'Prix et marges'!$D$34+N9*'Prix et marges'!$E$34+N10*'Prix et marges'!$F$34</f>
        <v>21595.392857142855</v>
      </c>
    </row>
    <row r="15" spans="1:16" ht="13" x14ac:dyDescent="0.3">
      <c r="A15" s="2" t="s">
        <v>79</v>
      </c>
      <c r="B15" s="17">
        <f>SUM(C15:N15)</f>
        <v>-3583.8214285714357</v>
      </c>
      <c r="C15" s="17">
        <f t="shared" ref="C15:N15" si="2">C13-C14</f>
        <v>0</v>
      </c>
      <c r="D15" s="17">
        <f t="shared" si="2"/>
        <v>0</v>
      </c>
      <c r="E15" s="17">
        <f t="shared" si="2"/>
        <v>-854.07142857142935</v>
      </c>
      <c r="F15" s="17">
        <f t="shared" si="2"/>
        <v>-2352.2857142857156</v>
      </c>
      <c r="G15" s="17">
        <f t="shared" si="2"/>
        <v>-863.25000000000091</v>
      </c>
      <c r="H15" s="17">
        <f t="shared" si="2"/>
        <v>378.07142857142753</v>
      </c>
      <c r="I15" s="17">
        <f t="shared" si="2"/>
        <v>-1120.1428571428587</v>
      </c>
      <c r="J15" s="17">
        <f t="shared" si="2"/>
        <v>368.89285714285688</v>
      </c>
      <c r="K15" s="17">
        <f t="shared" si="2"/>
        <v>-854.07142857142935</v>
      </c>
      <c r="L15" s="17">
        <f t="shared" si="2"/>
        <v>0</v>
      </c>
      <c r="M15" s="17">
        <f t="shared" si="2"/>
        <v>112</v>
      </c>
      <c r="N15" s="17">
        <f t="shared" si="2"/>
        <v>1601.0357142857138</v>
      </c>
    </row>
    <row r="16" spans="1:16" ht="13" x14ac:dyDescent="0.3">
      <c r="A16" s="10" t="s">
        <v>128</v>
      </c>
      <c r="B16" s="10"/>
      <c r="C16" s="10"/>
      <c r="D16" s="10"/>
      <c r="E16" s="10"/>
      <c r="F16" s="10"/>
      <c r="G16" s="10"/>
      <c r="H16" s="10"/>
      <c r="I16" s="10"/>
      <c r="J16" s="10"/>
      <c r="K16" s="10"/>
      <c r="L16" s="10"/>
      <c r="M16" s="10"/>
      <c r="N16" s="10"/>
      <c r="O16" s="10"/>
      <c r="P16" s="10"/>
    </row>
    <row r="17" spans="1:16" ht="13" x14ac:dyDescent="0.3">
      <c r="A17" s="1" t="s">
        <v>129</v>
      </c>
      <c r="B17" s="17">
        <f t="shared" ref="B17:B26" si="3">SUM(C17:N17)</f>
        <v>0</v>
      </c>
      <c r="C17" s="15">
        <v>0</v>
      </c>
      <c r="D17" s="15">
        <v>0</v>
      </c>
      <c r="E17" s="15">
        <v>0</v>
      </c>
      <c r="F17" s="15">
        <v>0</v>
      </c>
      <c r="G17" s="15">
        <v>0</v>
      </c>
      <c r="H17" s="15">
        <v>0</v>
      </c>
      <c r="I17" s="15">
        <v>0</v>
      </c>
      <c r="J17" s="15">
        <v>0</v>
      </c>
      <c r="K17" s="15">
        <v>0</v>
      </c>
      <c r="L17" s="15">
        <v>0</v>
      </c>
      <c r="M17" s="15">
        <v>0</v>
      </c>
      <c r="N17" s="15">
        <v>0</v>
      </c>
      <c r="O17" s="11" t="s">
        <v>90</v>
      </c>
      <c r="P17" s="11" t="s">
        <v>144</v>
      </c>
    </row>
    <row r="18" spans="1:16" ht="13" x14ac:dyDescent="0.3">
      <c r="A18" s="1" t="s">
        <v>130</v>
      </c>
      <c r="B18" s="17">
        <f t="shared" si="3"/>
        <v>0</v>
      </c>
      <c r="C18" s="15">
        <v>0</v>
      </c>
      <c r="D18" s="15">
        <v>0</v>
      </c>
      <c r="E18" s="15">
        <v>0</v>
      </c>
      <c r="F18" s="15">
        <v>0</v>
      </c>
      <c r="G18" s="15">
        <v>0</v>
      </c>
      <c r="H18" s="15">
        <v>0</v>
      </c>
      <c r="I18" s="15">
        <v>0</v>
      </c>
      <c r="J18" s="15">
        <v>0</v>
      </c>
      <c r="K18" s="15">
        <v>0</v>
      </c>
      <c r="L18" s="15">
        <v>0</v>
      </c>
      <c r="M18" s="15">
        <v>0</v>
      </c>
      <c r="N18" s="15">
        <v>0</v>
      </c>
      <c r="O18" s="11" t="s">
        <v>90</v>
      </c>
      <c r="P18" s="11" t="s">
        <v>145</v>
      </c>
    </row>
    <row r="19" spans="1:16" ht="13" x14ac:dyDescent="0.3">
      <c r="A19" s="1" t="s">
        <v>131</v>
      </c>
      <c r="B19" s="17">
        <f t="shared" si="3"/>
        <v>960</v>
      </c>
      <c r="C19" s="15">
        <v>80</v>
      </c>
      <c r="D19" s="15">
        <v>80</v>
      </c>
      <c r="E19" s="15">
        <v>80</v>
      </c>
      <c r="F19" s="15">
        <v>80</v>
      </c>
      <c r="G19" s="15">
        <v>80</v>
      </c>
      <c r="H19" s="15">
        <v>80</v>
      </c>
      <c r="I19" s="15">
        <v>80</v>
      </c>
      <c r="J19" s="15">
        <v>80</v>
      </c>
      <c r="K19" s="15">
        <v>80</v>
      </c>
      <c r="L19" s="15">
        <v>80</v>
      </c>
      <c r="M19" s="15">
        <v>80</v>
      </c>
      <c r="N19" s="15">
        <v>80</v>
      </c>
      <c r="O19" s="11" t="s">
        <v>90</v>
      </c>
      <c r="P19" s="11" t="s">
        <v>146</v>
      </c>
    </row>
    <row r="20" spans="1:16" ht="13" x14ac:dyDescent="0.3">
      <c r="A20" s="1" t="s">
        <v>132</v>
      </c>
      <c r="B20" s="17">
        <f t="shared" si="3"/>
        <v>7200</v>
      </c>
      <c r="C20" s="15">
        <v>300</v>
      </c>
      <c r="D20" s="15">
        <v>1500</v>
      </c>
      <c r="E20" s="15">
        <v>1500</v>
      </c>
      <c r="F20" s="15">
        <v>1500</v>
      </c>
      <c r="G20" s="15">
        <v>300</v>
      </c>
      <c r="H20" s="15">
        <v>300</v>
      </c>
      <c r="I20" s="15">
        <v>300</v>
      </c>
      <c r="J20" s="15">
        <v>300</v>
      </c>
      <c r="K20" s="15">
        <v>300</v>
      </c>
      <c r="L20" s="15">
        <v>300</v>
      </c>
      <c r="M20" s="15">
        <v>300</v>
      </c>
      <c r="N20" s="15">
        <v>300</v>
      </c>
      <c r="O20" s="11" t="s">
        <v>90</v>
      </c>
      <c r="P20" s="11" t="s">
        <v>147</v>
      </c>
    </row>
    <row r="21" spans="1:16" ht="13" x14ac:dyDescent="0.3">
      <c r="A21" s="1" t="s">
        <v>133</v>
      </c>
      <c r="B21" s="17">
        <f t="shared" si="3"/>
        <v>600</v>
      </c>
      <c r="C21" s="15">
        <v>50</v>
      </c>
      <c r="D21" s="15">
        <v>50</v>
      </c>
      <c r="E21" s="15">
        <v>50</v>
      </c>
      <c r="F21" s="15">
        <v>50</v>
      </c>
      <c r="G21" s="15">
        <v>50</v>
      </c>
      <c r="H21" s="15">
        <v>50</v>
      </c>
      <c r="I21" s="15">
        <v>50</v>
      </c>
      <c r="J21" s="15">
        <v>50</v>
      </c>
      <c r="K21" s="15">
        <v>50</v>
      </c>
      <c r="L21" s="15">
        <v>50</v>
      </c>
      <c r="M21" s="15">
        <v>50</v>
      </c>
      <c r="N21" s="15">
        <v>50</v>
      </c>
      <c r="O21" s="11" t="s">
        <v>90</v>
      </c>
      <c r="P21" s="11" t="s">
        <v>148</v>
      </c>
    </row>
    <row r="22" spans="1:16" ht="13" x14ac:dyDescent="0.3">
      <c r="A22" s="1" t="s">
        <v>134</v>
      </c>
      <c r="B22" s="17">
        <f t="shared" si="3"/>
        <v>2700</v>
      </c>
      <c r="C22" s="15">
        <v>1600</v>
      </c>
      <c r="D22" s="15">
        <v>100</v>
      </c>
      <c r="E22" s="15">
        <v>100</v>
      </c>
      <c r="F22" s="15">
        <v>100</v>
      </c>
      <c r="G22" s="15">
        <v>100</v>
      </c>
      <c r="H22" s="15">
        <v>100</v>
      </c>
      <c r="I22" s="15">
        <v>100</v>
      </c>
      <c r="J22" s="15">
        <v>100</v>
      </c>
      <c r="K22" s="15">
        <v>100</v>
      </c>
      <c r="L22" s="15">
        <v>100</v>
      </c>
      <c r="M22" s="15">
        <v>100</v>
      </c>
      <c r="N22" s="15">
        <v>100</v>
      </c>
      <c r="O22" s="11" t="s">
        <v>90</v>
      </c>
      <c r="P22" s="11" t="s">
        <v>149</v>
      </c>
    </row>
    <row r="23" spans="1:16" ht="13" x14ac:dyDescent="0.3">
      <c r="A23" s="1" t="s">
        <v>135</v>
      </c>
      <c r="B23" s="17">
        <f t="shared" si="3"/>
        <v>360</v>
      </c>
      <c r="C23" s="15">
        <v>30</v>
      </c>
      <c r="D23" s="15">
        <v>30</v>
      </c>
      <c r="E23" s="15">
        <v>30</v>
      </c>
      <c r="F23" s="15">
        <v>30</v>
      </c>
      <c r="G23" s="15">
        <v>30</v>
      </c>
      <c r="H23" s="15">
        <v>30</v>
      </c>
      <c r="I23" s="15">
        <v>30</v>
      </c>
      <c r="J23" s="15">
        <v>30</v>
      </c>
      <c r="K23" s="15">
        <v>30</v>
      </c>
      <c r="L23" s="15">
        <v>30</v>
      </c>
      <c r="M23" s="15">
        <v>30</v>
      </c>
      <c r="N23" s="15">
        <v>30</v>
      </c>
      <c r="O23" s="11" t="s">
        <v>90</v>
      </c>
      <c r="P23" s="11" t="s">
        <v>150</v>
      </c>
    </row>
    <row r="24" spans="1:16" ht="13" x14ac:dyDescent="0.3">
      <c r="A24" s="1" t="s">
        <v>136</v>
      </c>
      <c r="B24" s="17">
        <f t="shared" si="3"/>
        <v>600</v>
      </c>
      <c r="C24" s="15">
        <v>50</v>
      </c>
      <c r="D24" s="15">
        <v>50</v>
      </c>
      <c r="E24" s="15">
        <v>50</v>
      </c>
      <c r="F24" s="15">
        <v>50</v>
      </c>
      <c r="G24" s="15">
        <v>50</v>
      </c>
      <c r="H24" s="15">
        <v>50</v>
      </c>
      <c r="I24" s="15">
        <v>50</v>
      </c>
      <c r="J24" s="15">
        <v>50</v>
      </c>
      <c r="K24" s="15">
        <v>50</v>
      </c>
      <c r="L24" s="15">
        <v>50</v>
      </c>
      <c r="M24" s="15">
        <v>50</v>
      </c>
      <c r="N24" s="15">
        <v>50</v>
      </c>
      <c r="O24" s="11" t="s">
        <v>90</v>
      </c>
      <c r="P24" s="11" t="s">
        <v>151</v>
      </c>
    </row>
    <row r="25" spans="1:16" ht="13" x14ac:dyDescent="0.3">
      <c r="A25" s="1" t="s">
        <v>137</v>
      </c>
      <c r="B25" s="17">
        <f t="shared" si="3"/>
        <v>252</v>
      </c>
      <c r="C25" s="15">
        <v>252</v>
      </c>
      <c r="D25" s="15">
        <v>0</v>
      </c>
      <c r="E25" s="15">
        <v>0</v>
      </c>
      <c r="F25" s="15">
        <v>0</v>
      </c>
      <c r="G25" s="15">
        <v>0</v>
      </c>
      <c r="H25" s="15">
        <v>0</v>
      </c>
      <c r="I25" s="15">
        <v>0</v>
      </c>
      <c r="J25" s="15">
        <v>0</v>
      </c>
      <c r="K25" s="15">
        <v>0</v>
      </c>
      <c r="L25" s="15">
        <v>0</v>
      </c>
      <c r="M25" s="15">
        <v>0</v>
      </c>
      <c r="N25" s="15">
        <v>0</v>
      </c>
      <c r="O25" s="11" t="s">
        <v>152</v>
      </c>
      <c r="P25" s="11" t="s">
        <v>153</v>
      </c>
    </row>
    <row r="26" spans="1:16" ht="13" x14ac:dyDescent="0.3">
      <c r="A26" s="2" t="s">
        <v>138</v>
      </c>
      <c r="B26" s="17">
        <f t="shared" si="3"/>
        <v>12672</v>
      </c>
      <c r="C26" s="17">
        <f t="shared" ref="C26:N26" si="4">SUM(C17:C25)</f>
        <v>2362</v>
      </c>
      <c r="D26" s="17">
        <f t="shared" si="4"/>
        <v>1810</v>
      </c>
      <c r="E26" s="17">
        <f t="shared" si="4"/>
        <v>1810</v>
      </c>
      <c r="F26" s="17">
        <f t="shared" si="4"/>
        <v>1810</v>
      </c>
      <c r="G26" s="17">
        <f t="shared" si="4"/>
        <v>610</v>
      </c>
      <c r="H26" s="17">
        <f t="shared" si="4"/>
        <v>610</v>
      </c>
      <c r="I26" s="17">
        <f t="shared" si="4"/>
        <v>610</v>
      </c>
      <c r="J26" s="17">
        <f t="shared" si="4"/>
        <v>610</v>
      </c>
      <c r="K26" s="17">
        <f t="shared" si="4"/>
        <v>610</v>
      </c>
      <c r="L26" s="17">
        <f t="shared" si="4"/>
        <v>610</v>
      </c>
      <c r="M26" s="17">
        <f t="shared" si="4"/>
        <v>610</v>
      </c>
      <c r="N26" s="17">
        <f t="shared" si="4"/>
        <v>610</v>
      </c>
    </row>
    <row r="27" spans="1:16" ht="13" x14ac:dyDescent="0.3">
      <c r="A27" s="10" t="s">
        <v>139</v>
      </c>
      <c r="B27" s="10"/>
      <c r="C27" s="10"/>
      <c r="D27" s="10"/>
      <c r="E27" s="10"/>
      <c r="F27" s="10"/>
      <c r="G27" s="10"/>
      <c r="H27" s="10"/>
      <c r="I27" s="10"/>
      <c r="J27" s="10"/>
      <c r="K27" s="10"/>
      <c r="L27" s="10"/>
      <c r="M27" s="10"/>
      <c r="N27" s="10"/>
      <c r="O27" s="10"/>
      <c r="P27" s="10"/>
    </row>
    <row r="28" spans="1:16" ht="13" x14ac:dyDescent="0.3">
      <c r="A28" s="2" t="s">
        <v>140</v>
      </c>
      <c r="B28" s="17">
        <f>SUM(C28:N28)</f>
        <v>-16255.821428571435</v>
      </c>
      <c r="C28" s="17">
        <f t="shared" ref="C28:N28" si="5">C15-C26</f>
        <v>-2362</v>
      </c>
      <c r="D28" s="17">
        <f t="shared" si="5"/>
        <v>-1810</v>
      </c>
      <c r="E28" s="17">
        <f t="shared" si="5"/>
        <v>-2664.0714285714294</v>
      </c>
      <c r="F28" s="17">
        <f t="shared" si="5"/>
        <v>-4162.2857142857156</v>
      </c>
      <c r="G28" s="17">
        <f t="shared" si="5"/>
        <v>-1473.2500000000009</v>
      </c>
      <c r="H28" s="17">
        <f t="shared" si="5"/>
        <v>-231.92857142857247</v>
      </c>
      <c r="I28" s="17">
        <f t="shared" si="5"/>
        <v>-1730.1428571428587</v>
      </c>
      <c r="J28" s="17">
        <f t="shared" si="5"/>
        <v>-241.10714285714312</v>
      </c>
      <c r="K28" s="17">
        <f t="shared" si="5"/>
        <v>-1464.0714285714294</v>
      </c>
      <c r="L28" s="17">
        <f t="shared" si="5"/>
        <v>-610</v>
      </c>
      <c r="M28" s="17">
        <f t="shared" si="5"/>
        <v>-498</v>
      </c>
      <c r="N28" s="17">
        <f t="shared" si="5"/>
        <v>991.03571428571377</v>
      </c>
    </row>
    <row r="29" spans="1:16" ht="13" x14ac:dyDescent="0.3">
      <c r="A29" s="2" t="s">
        <v>141</v>
      </c>
      <c r="B29" s="17">
        <f>N29</f>
        <v>-16255.821428571435</v>
      </c>
      <c r="C29" s="17">
        <f>C28</f>
        <v>-2362</v>
      </c>
      <c r="D29" s="17">
        <f t="shared" ref="D29:N29" si="6">C29+D28</f>
        <v>-4172</v>
      </c>
      <c r="E29" s="17">
        <f t="shared" si="6"/>
        <v>-6836.0714285714294</v>
      </c>
      <c r="F29" s="17">
        <f t="shared" si="6"/>
        <v>-10998.357142857145</v>
      </c>
      <c r="G29" s="17">
        <f t="shared" si="6"/>
        <v>-12471.607142857145</v>
      </c>
      <c r="H29" s="17">
        <f t="shared" si="6"/>
        <v>-12703.535714285717</v>
      </c>
      <c r="I29" s="17">
        <f t="shared" si="6"/>
        <v>-14433.678571428576</v>
      </c>
      <c r="J29" s="17">
        <f t="shared" si="6"/>
        <v>-14674.785714285719</v>
      </c>
      <c r="K29" s="17">
        <f t="shared" si="6"/>
        <v>-16138.857142857149</v>
      </c>
      <c r="L29" s="17">
        <f t="shared" si="6"/>
        <v>-16748.857142857149</v>
      </c>
      <c r="M29" s="17">
        <f t="shared" si="6"/>
        <v>-17246.857142857149</v>
      </c>
      <c r="N29" s="17">
        <f t="shared" si="6"/>
        <v>-16255.821428571435</v>
      </c>
    </row>
  </sheetData>
  <dataValidations count="1">
    <dataValidation type="list" allowBlank="1" showInputMessage="1" showErrorMessage="1" sqref="O7:O25" xr:uid="{31226B02-E24A-4164-8201-A9757FEFEA83}">
      <formula1>"F,I,P,H"</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98DBE-F173-4946-8908-F62FA6ACEF06}">
  <dimension ref="A1:N27"/>
  <sheetViews>
    <sheetView zoomScaleNormal="100" workbookViewId="0">
      <pane xSplit="2" ySplit="5" topLeftCell="C6" activePane="bottomRight" state="frozenSplit"/>
      <selection pane="topRight" activeCell="C1" sqref="C1"/>
      <selection pane="bottomLeft" activeCell="A6" sqref="A6"/>
      <selection pane="bottomRight"/>
    </sheetView>
  </sheetViews>
  <sheetFormatPr baseColWidth="10" defaultRowHeight="12.5" x14ac:dyDescent="0.25"/>
  <cols>
    <col min="1" max="1" width="36.6328125" style="1" customWidth="1"/>
    <col min="2" max="2" width="14.6328125" style="1" customWidth="1"/>
    <col min="3" max="14" width="12.6328125" style="1" customWidth="1"/>
    <col min="15" max="16384" width="10.90625" style="1"/>
  </cols>
  <sheetData>
    <row r="1" spans="1:14" ht="18" x14ac:dyDescent="0.4">
      <c r="A1" s="3" t="s">
        <v>154</v>
      </c>
    </row>
    <row r="2" spans="1:14" ht="13" x14ac:dyDescent="0.3">
      <c r="A2" s="4" t="s">
        <v>155</v>
      </c>
    </row>
    <row r="5" spans="1:14" ht="13" x14ac:dyDescent="0.3">
      <c r="A5" s="5" t="s">
        <v>156</v>
      </c>
      <c r="B5" s="5" t="s">
        <v>118</v>
      </c>
      <c r="C5" s="33">
        <f>IF('Budget mensuel'!$C$3="","Mois "&amp;(COLUMN()-2),EDATE('Budget mensuel'!$C$3,COLUMN()-3))</f>
        <v>46327</v>
      </c>
      <c r="D5" s="33">
        <f>IF('Budget mensuel'!$C$3="","Mois "&amp;(COLUMN()-2),EDATE('Budget mensuel'!$C$3,COLUMN()-3))</f>
        <v>46357</v>
      </c>
      <c r="E5" s="33">
        <f>IF('Budget mensuel'!$C$3="","Mois "&amp;(COLUMN()-2),EDATE('Budget mensuel'!$C$3,COLUMN()-3))</f>
        <v>46388</v>
      </c>
      <c r="F5" s="33">
        <f>IF('Budget mensuel'!$C$3="","Mois "&amp;(COLUMN()-2),EDATE('Budget mensuel'!$C$3,COLUMN()-3))</f>
        <v>46419</v>
      </c>
      <c r="G5" s="33">
        <f>IF('Budget mensuel'!$C$3="","Mois "&amp;(COLUMN()-2),EDATE('Budget mensuel'!$C$3,COLUMN()-3))</f>
        <v>46447</v>
      </c>
      <c r="H5" s="33">
        <f>IF('Budget mensuel'!$C$3="","Mois "&amp;(COLUMN()-2),EDATE('Budget mensuel'!$C$3,COLUMN()-3))</f>
        <v>46478</v>
      </c>
      <c r="I5" s="33">
        <f>IF('Budget mensuel'!$C$3="","Mois "&amp;(COLUMN()-2),EDATE('Budget mensuel'!$C$3,COLUMN()-3))</f>
        <v>46508</v>
      </c>
      <c r="J5" s="33">
        <f>IF('Budget mensuel'!$C$3="","Mois "&amp;(COLUMN()-2),EDATE('Budget mensuel'!$C$3,COLUMN()-3))</f>
        <v>46539</v>
      </c>
      <c r="K5" s="33">
        <f>IF('Budget mensuel'!$C$3="","Mois "&amp;(COLUMN()-2),EDATE('Budget mensuel'!$C$3,COLUMN()-3))</f>
        <v>46569</v>
      </c>
      <c r="L5" s="33">
        <f>IF('Budget mensuel'!$C$3="","Mois "&amp;(COLUMN()-2),EDATE('Budget mensuel'!$C$3,COLUMN()-3))</f>
        <v>46600</v>
      </c>
      <c r="M5" s="33">
        <f>IF('Budget mensuel'!$C$3="","Mois "&amp;(COLUMN()-2),EDATE('Budget mensuel'!$C$3,COLUMN()-3))</f>
        <v>46631</v>
      </c>
      <c r="N5" s="33">
        <f>IF('Budget mensuel'!$C$3="","Mois "&amp;(COLUMN()-2),EDATE('Budget mensuel'!$C$3,COLUMN()-3))</f>
        <v>46661</v>
      </c>
    </row>
    <row r="6" spans="1:14" ht="13" x14ac:dyDescent="0.3">
      <c r="A6" s="10" t="s">
        <v>157</v>
      </c>
      <c r="B6" s="10"/>
      <c r="C6" s="10"/>
      <c r="D6" s="10"/>
      <c r="E6" s="10"/>
      <c r="F6" s="10"/>
      <c r="G6" s="10"/>
      <c r="H6" s="10"/>
      <c r="I6" s="10"/>
      <c r="J6" s="10"/>
      <c r="K6" s="10"/>
      <c r="L6" s="10"/>
      <c r="M6" s="10"/>
      <c r="N6" s="10"/>
    </row>
    <row r="7" spans="1:14" x14ac:dyDescent="0.25">
      <c r="A7" s="1" t="s">
        <v>158</v>
      </c>
      <c r="B7" s="13">
        <f>SUM(C7:N7)</f>
        <v>16</v>
      </c>
      <c r="C7" s="35">
        <f>'Budget mensuel'!C11</f>
        <v>0</v>
      </c>
      <c r="D7" s="35">
        <f>'Budget mensuel'!D11</f>
        <v>0</v>
      </c>
      <c r="E7" s="35">
        <f>'Budget mensuel'!E11</f>
        <v>1</v>
      </c>
      <c r="F7" s="35">
        <f>'Budget mensuel'!F11</f>
        <v>1</v>
      </c>
      <c r="G7" s="35">
        <f>'Budget mensuel'!G11</f>
        <v>1</v>
      </c>
      <c r="H7" s="35">
        <f>'Budget mensuel'!H11</f>
        <v>2</v>
      </c>
      <c r="I7" s="35">
        <f>'Budget mensuel'!I11</f>
        <v>2</v>
      </c>
      <c r="J7" s="35">
        <f>'Budget mensuel'!J11</f>
        <v>2</v>
      </c>
      <c r="K7" s="35">
        <f>'Budget mensuel'!K11</f>
        <v>1</v>
      </c>
      <c r="L7" s="35">
        <f>'Budget mensuel'!L11</f>
        <v>0</v>
      </c>
      <c r="M7" s="35">
        <f>'Budget mensuel'!M11</f>
        <v>3</v>
      </c>
      <c r="N7" s="35">
        <f>'Budget mensuel'!N11</f>
        <v>3</v>
      </c>
    </row>
    <row r="8" spans="1:14" x14ac:dyDescent="0.25">
      <c r="A8" s="1" t="s">
        <v>159</v>
      </c>
      <c r="B8" s="13">
        <f>SUM(C8:N8)</f>
        <v>0</v>
      </c>
      <c r="C8" s="12"/>
      <c r="D8" s="12"/>
      <c r="E8" s="12"/>
      <c r="F8" s="12"/>
      <c r="G8" s="12"/>
      <c r="H8" s="12"/>
      <c r="I8" s="12"/>
      <c r="J8" s="12"/>
      <c r="K8" s="12"/>
      <c r="L8" s="12"/>
      <c r="M8" s="12"/>
      <c r="N8" s="12"/>
    </row>
    <row r="9" spans="1:14" ht="13" x14ac:dyDescent="0.3">
      <c r="A9" s="2" t="s">
        <v>160</v>
      </c>
      <c r="B9" s="14">
        <f>SUM(C9:N9)</f>
        <v>0</v>
      </c>
      <c r="C9" s="14">
        <f t="shared" ref="C9:N9" si="0">IF(C8="",0,C8-C7)</f>
        <v>0</v>
      </c>
      <c r="D9" s="14">
        <f t="shared" si="0"/>
        <v>0</v>
      </c>
      <c r="E9" s="14">
        <f t="shared" si="0"/>
        <v>0</v>
      </c>
      <c r="F9" s="14">
        <f t="shared" si="0"/>
        <v>0</v>
      </c>
      <c r="G9" s="14">
        <f t="shared" si="0"/>
        <v>0</v>
      </c>
      <c r="H9" s="14">
        <f t="shared" si="0"/>
        <v>0</v>
      </c>
      <c r="I9" s="14">
        <f t="shared" si="0"/>
        <v>0</v>
      </c>
      <c r="J9" s="14">
        <f t="shared" si="0"/>
        <v>0</v>
      </c>
      <c r="K9" s="14">
        <f t="shared" si="0"/>
        <v>0</v>
      </c>
      <c r="L9" s="14">
        <f t="shared" si="0"/>
        <v>0</v>
      </c>
      <c r="M9" s="14">
        <f t="shared" si="0"/>
        <v>0</v>
      </c>
      <c r="N9" s="14">
        <f t="shared" si="0"/>
        <v>0</v>
      </c>
    </row>
    <row r="11" spans="1:14" ht="13" x14ac:dyDescent="0.3">
      <c r="A11" s="10" t="s">
        <v>126</v>
      </c>
      <c r="B11" s="10"/>
      <c r="C11" s="10"/>
      <c r="D11" s="10"/>
      <c r="E11" s="10"/>
      <c r="F11" s="10"/>
      <c r="G11" s="10"/>
      <c r="H11" s="10"/>
      <c r="I11" s="10"/>
      <c r="J11" s="10"/>
      <c r="K11" s="10"/>
      <c r="L11" s="10"/>
      <c r="M11" s="10"/>
      <c r="N11" s="10"/>
    </row>
    <row r="12" spans="1:14" x14ac:dyDescent="0.25">
      <c r="A12" s="1" t="s">
        <v>158</v>
      </c>
      <c r="B12" s="16">
        <f>SUM(C12:N12)</f>
        <v>121955.35714285714</v>
      </c>
      <c r="C12" s="36">
        <f>'Budget mensuel'!C13</f>
        <v>0</v>
      </c>
      <c r="D12" s="36">
        <f>'Budget mensuel'!D13</f>
        <v>0</v>
      </c>
      <c r="E12" s="36">
        <f>'Budget mensuel'!E13</f>
        <v>4919.642857142856</v>
      </c>
      <c r="F12" s="36">
        <f>'Budget mensuel'!F13</f>
        <v>9857.1428571428569</v>
      </c>
      <c r="G12" s="36">
        <f>'Budget mensuel'!G13</f>
        <v>7124.9999999999991</v>
      </c>
      <c r="H12" s="36">
        <f>'Budget mensuel'!H13</f>
        <v>12955.357142857141</v>
      </c>
      <c r="I12" s="36">
        <f>'Budget mensuel'!I13</f>
        <v>17892.857142857141</v>
      </c>
      <c r="J12" s="36">
        <f>'Budget mensuel'!J13</f>
        <v>15160.714285714284</v>
      </c>
      <c r="K12" s="36">
        <f>'Budget mensuel'!K13</f>
        <v>4919.642857142856</v>
      </c>
      <c r="L12" s="36">
        <f>'Budget mensuel'!L13</f>
        <v>0</v>
      </c>
      <c r="M12" s="36">
        <f>'Budget mensuel'!M13</f>
        <v>25928.571428571428</v>
      </c>
      <c r="N12" s="36">
        <f>'Budget mensuel'!N13</f>
        <v>23196.428571428569</v>
      </c>
    </row>
    <row r="13" spans="1:14" x14ac:dyDescent="0.25">
      <c r="A13" s="1" t="s">
        <v>159</v>
      </c>
      <c r="B13" s="16">
        <f>SUM(C13:N13)</f>
        <v>0</v>
      </c>
      <c r="C13" s="15"/>
      <c r="D13" s="15"/>
      <c r="E13" s="15"/>
      <c r="F13" s="15"/>
      <c r="G13" s="15"/>
      <c r="H13" s="15"/>
      <c r="I13" s="15"/>
      <c r="J13" s="15"/>
      <c r="K13" s="15"/>
      <c r="L13" s="15"/>
      <c r="M13" s="15"/>
      <c r="N13" s="15"/>
    </row>
    <row r="14" spans="1:14" ht="13" x14ac:dyDescent="0.3">
      <c r="A14" s="2" t="s">
        <v>160</v>
      </c>
      <c r="B14" s="17">
        <f>SUM(C14:N14)</f>
        <v>0</v>
      </c>
      <c r="C14" s="17">
        <f t="shared" ref="C14:N14" si="1">IF(C13="",0,C13-C12)</f>
        <v>0</v>
      </c>
      <c r="D14" s="17">
        <f t="shared" si="1"/>
        <v>0</v>
      </c>
      <c r="E14" s="17">
        <f t="shared" si="1"/>
        <v>0</v>
      </c>
      <c r="F14" s="17">
        <f t="shared" si="1"/>
        <v>0</v>
      </c>
      <c r="G14" s="17">
        <f t="shared" si="1"/>
        <v>0</v>
      </c>
      <c r="H14" s="17">
        <f t="shared" si="1"/>
        <v>0</v>
      </c>
      <c r="I14" s="17">
        <f t="shared" si="1"/>
        <v>0</v>
      </c>
      <c r="J14" s="17">
        <f t="shared" si="1"/>
        <v>0</v>
      </c>
      <c r="K14" s="17">
        <f t="shared" si="1"/>
        <v>0</v>
      </c>
      <c r="L14" s="17">
        <f t="shared" si="1"/>
        <v>0</v>
      </c>
      <c r="M14" s="17">
        <f t="shared" si="1"/>
        <v>0</v>
      </c>
      <c r="N14" s="17">
        <f t="shared" si="1"/>
        <v>0</v>
      </c>
    </row>
    <row r="16" spans="1:14" ht="13" x14ac:dyDescent="0.3">
      <c r="A16" s="10" t="s">
        <v>138</v>
      </c>
      <c r="B16" s="10"/>
      <c r="C16" s="10"/>
      <c r="D16" s="10"/>
      <c r="E16" s="10"/>
      <c r="F16" s="10"/>
      <c r="G16" s="10"/>
      <c r="H16" s="10"/>
      <c r="I16" s="10"/>
      <c r="J16" s="10"/>
      <c r="K16" s="10"/>
      <c r="L16" s="10"/>
      <c r="M16" s="10"/>
      <c r="N16" s="10"/>
    </row>
    <row r="17" spans="1:14" x14ac:dyDescent="0.25">
      <c r="A17" s="1" t="s">
        <v>158</v>
      </c>
      <c r="B17" s="16">
        <f>SUM(C17:N17)</f>
        <v>12672</v>
      </c>
      <c r="C17" s="36">
        <f>'Budget mensuel'!C26</f>
        <v>2362</v>
      </c>
      <c r="D17" s="36">
        <f>'Budget mensuel'!D26</f>
        <v>1810</v>
      </c>
      <c r="E17" s="36">
        <f>'Budget mensuel'!E26</f>
        <v>1810</v>
      </c>
      <c r="F17" s="36">
        <f>'Budget mensuel'!F26</f>
        <v>1810</v>
      </c>
      <c r="G17" s="36">
        <f>'Budget mensuel'!G26</f>
        <v>610</v>
      </c>
      <c r="H17" s="36">
        <f>'Budget mensuel'!H26</f>
        <v>610</v>
      </c>
      <c r="I17" s="36">
        <f>'Budget mensuel'!I26</f>
        <v>610</v>
      </c>
      <c r="J17" s="36">
        <f>'Budget mensuel'!J26</f>
        <v>610</v>
      </c>
      <c r="K17" s="36">
        <f>'Budget mensuel'!K26</f>
        <v>610</v>
      </c>
      <c r="L17" s="36">
        <f>'Budget mensuel'!L26</f>
        <v>610</v>
      </c>
      <c r="M17" s="36">
        <f>'Budget mensuel'!M26</f>
        <v>610</v>
      </c>
      <c r="N17" s="36">
        <f>'Budget mensuel'!N26</f>
        <v>610</v>
      </c>
    </row>
    <row r="18" spans="1:14" x14ac:dyDescent="0.25">
      <c r="A18" s="1" t="s">
        <v>159</v>
      </c>
      <c r="B18" s="16">
        <f>SUM(C18:N18)</f>
        <v>0</v>
      </c>
      <c r="C18" s="15"/>
      <c r="D18" s="15"/>
      <c r="E18" s="15"/>
      <c r="F18" s="15"/>
      <c r="G18" s="15"/>
      <c r="H18" s="15"/>
      <c r="I18" s="15"/>
      <c r="J18" s="15"/>
      <c r="K18" s="15"/>
      <c r="L18" s="15"/>
      <c r="M18" s="15"/>
      <c r="N18" s="15"/>
    </row>
    <row r="19" spans="1:14" ht="13" x14ac:dyDescent="0.3">
      <c r="A19" s="2" t="s">
        <v>160</v>
      </c>
      <c r="B19" s="17">
        <f>SUM(C19:N19)</f>
        <v>0</v>
      </c>
      <c r="C19" s="17">
        <f t="shared" ref="C19:N19" si="2">IF(C18="",0,C18-C17)</f>
        <v>0</v>
      </c>
      <c r="D19" s="17">
        <f t="shared" si="2"/>
        <v>0</v>
      </c>
      <c r="E19" s="17">
        <f t="shared" si="2"/>
        <v>0</v>
      </c>
      <c r="F19" s="17">
        <f t="shared" si="2"/>
        <v>0</v>
      </c>
      <c r="G19" s="17">
        <f t="shared" si="2"/>
        <v>0</v>
      </c>
      <c r="H19" s="17">
        <f t="shared" si="2"/>
        <v>0</v>
      </c>
      <c r="I19" s="17">
        <f t="shared" si="2"/>
        <v>0</v>
      </c>
      <c r="J19" s="17">
        <f t="shared" si="2"/>
        <v>0</v>
      </c>
      <c r="K19" s="17">
        <f t="shared" si="2"/>
        <v>0</v>
      </c>
      <c r="L19" s="17">
        <f t="shared" si="2"/>
        <v>0</v>
      </c>
      <c r="M19" s="17">
        <f t="shared" si="2"/>
        <v>0</v>
      </c>
      <c r="N19" s="17">
        <f t="shared" si="2"/>
        <v>0</v>
      </c>
    </row>
    <row r="21" spans="1:14" ht="13" x14ac:dyDescent="0.3">
      <c r="A21" s="10" t="s">
        <v>161</v>
      </c>
      <c r="B21" s="10"/>
      <c r="C21" s="10"/>
      <c r="D21" s="10"/>
      <c r="E21" s="10"/>
      <c r="F21" s="10"/>
      <c r="G21" s="10"/>
      <c r="H21" s="10"/>
      <c r="I21" s="10"/>
      <c r="J21" s="10"/>
      <c r="K21" s="10"/>
      <c r="L21" s="10"/>
      <c r="M21" s="10"/>
      <c r="N21" s="10"/>
    </row>
    <row r="22" spans="1:14" x14ac:dyDescent="0.25">
      <c r="A22" s="1" t="s">
        <v>158</v>
      </c>
      <c r="B22" s="16">
        <f>SUM(C22:N22)</f>
        <v>-16255.821428571435</v>
      </c>
      <c r="C22" s="36">
        <f>'Budget mensuel'!C28</f>
        <v>-2362</v>
      </c>
      <c r="D22" s="36">
        <f>'Budget mensuel'!D28</f>
        <v>-1810</v>
      </c>
      <c r="E22" s="36">
        <f>'Budget mensuel'!E28</f>
        <v>-2664.0714285714294</v>
      </c>
      <c r="F22" s="36">
        <f>'Budget mensuel'!F28</f>
        <v>-4162.2857142857156</v>
      </c>
      <c r="G22" s="36">
        <f>'Budget mensuel'!G28</f>
        <v>-1473.2500000000009</v>
      </c>
      <c r="H22" s="36">
        <f>'Budget mensuel'!H28</f>
        <v>-231.92857142857247</v>
      </c>
      <c r="I22" s="36">
        <f>'Budget mensuel'!I28</f>
        <v>-1730.1428571428587</v>
      </c>
      <c r="J22" s="36">
        <f>'Budget mensuel'!J28</f>
        <v>-241.10714285714312</v>
      </c>
      <c r="K22" s="36">
        <f>'Budget mensuel'!K28</f>
        <v>-1464.0714285714294</v>
      </c>
      <c r="L22" s="36">
        <f>'Budget mensuel'!L28</f>
        <v>-610</v>
      </c>
      <c r="M22" s="36">
        <f>'Budget mensuel'!M28</f>
        <v>-498</v>
      </c>
      <c r="N22" s="36">
        <f>'Budget mensuel'!N28</f>
        <v>991.03571428571377</v>
      </c>
    </row>
    <row r="23" spans="1:14" x14ac:dyDescent="0.25">
      <c r="A23" s="1" t="s">
        <v>159</v>
      </c>
      <c r="B23" s="16">
        <f>SUM(C23:N23)</f>
        <v>0</v>
      </c>
      <c r="C23" s="15"/>
      <c r="D23" s="15"/>
      <c r="E23" s="15"/>
      <c r="F23" s="15"/>
      <c r="G23" s="15"/>
      <c r="H23" s="15"/>
      <c r="I23" s="15"/>
      <c r="J23" s="15"/>
      <c r="K23" s="15"/>
      <c r="L23" s="15"/>
      <c r="M23" s="15"/>
      <c r="N23" s="15"/>
    </row>
    <row r="24" spans="1:14" ht="13" x14ac:dyDescent="0.3">
      <c r="A24" s="2" t="s">
        <v>160</v>
      </c>
      <c r="B24" s="17">
        <f>SUM(C24:N24)</f>
        <v>0</v>
      </c>
      <c r="C24" s="17">
        <f t="shared" ref="C24:N24" si="3">IF(C23="",0,C23-C22)</f>
        <v>0</v>
      </c>
      <c r="D24" s="17">
        <f t="shared" si="3"/>
        <v>0</v>
      </c>
      <c r="E24" s="17">
        <f t="shared" si="3"/>
        <v>0</v>
      </c>
      <c r="F24" s="17">
        <f t="shared" si="3"/>
        <v>0</v>
      </c>
      <c r="G24" s="17">
        <f t="shared" si="3"/>
        <v>0</v>
      </c>
      <c r="H24" s="17">
        <f t="shared" si="3"/>
        <v>0</v>
      </c>
      <c r="I24" s="17">
        <f t="shared" si="3"/>
        <v>0</v>
      </c>
      <c r="J24" s="17">
        <f t="shared" si="3"/>
        <v>0</v>
      </c>
      <c r="K24" s="17">
        <f t="shared" si="3"/>
        <v>0</v>
      </c>
      <c r="L24" s="17">
        <f t="shared" si="3"/>
        <v>0</v>
      </c>
      <c r="M24" s="17">
        <f t="shared" si="3"/>
        <v>0</v>
      </c>
      <c r="N24" s="17">
        <f t="shared" si="3"/>
        <v>0</v>
      </c>
    </row>
    <row r="26" spans="1:14" ht="13" x14ac:dyDescent="0.3">
      <c r="A26" s="10" t="s">
        <v>162</v>
      </c>
      <c r="B26" s="10"/>
      <c r="C26" s="10"/>
      <c r="D26" s="10"/>
      <c r="E26" s="10"/>
      <c r="F26" s="10"/>
      <c r="G26" s="10"/>
      <c r="H26" s="10"/>
      <c r="I26" s="10"/>
      <c r="J26" s="10"/>
      <c r="K26" s="10"/>
      <c r="L26" s="10"/>
      <c r="M26" s="10"/>
      <c r="N26" s="10"/>
    </row>
    <row r="27" spans="1:14" ht="45" customHeight="1" x14ac:dyDescent="0.25">
      <c r="A27" s="7" t="s">
        <v>163</v>
      </c>
      <c r="C27" s="18"/>
      <c r="D27" s="18"/>
      <c r="E27" s="18"/>
      <c r="F27" s="18"/>
      <c r="G27" s="18"/>
      <c r="H27" s="18"/>
      <c r="I27" s="18"/>
      <c r="J27" s="18"/>
      <c r="K27" s="18"/>
      <c r="L27" s="18"/>
      <c r="M27" s="18"/>
      <c r="N27"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26B6-A531-4D48-8F04-B3463A220999}">
  <dimension ref="A1:G27"/>
  <sheetViews>
    <sheetView zoomScaleNormal="100" workbookViewId="0"/>
  </sheetViews>
  <sheetFormatPr baseColWidth="10" defaultRowHeight="12.5" x14ac:dyDescent="0.25"/>
  <cols>
    <col min="1" max="1" width="46.6328125" style="1" customWidth="1"/>
    <col min="2" max="2" width="18.6328125" style="1" customWidth="1"/>
    <col min="3" max="5" width="16.6328125" style="1" customWidth="1"/>
    <col min="6" max="6" width="8.6328125" style="1" customWidth="1"/>
    <col min="7" max="7" width="70.6328125" style="1" customWidth="1"/>
    <col min="8" max="16384" width="10.90625" style="1"/>
  </cols>
  <sheetData>
    <row r="1" spans="1:7" ht="18" x14ac:dyDescent="0.4">
      <c r="A1" s="3" t="s">
        <v>164</v>
      </c>
    </row>
    <row r="2" spans="1:7" ht="13" x14ac:dyDescent="0.3">
      <c r="A2" s="4" t="s">
        <v>165</v>
      </c>
    </row>
    <row r="5" spans="1:7" ht="13" x14ac:dyDescent="0.25">
      <c r="A5" s="6" t="s">
        <v>31</v>
      </c>
      <c r="B5" s="6" t="s">
        <v>32</v>
      </c>
      <c r="C5" s="6" t="s">
        <v>166</v>
      </c>
      <c r="D5" s="6" t="s">
        <v>167</v>
      </c>
      <c r="E5" s="6" t="s">
        <v>168</v>
      </c>
      <c r="F5" s="6" t="s">
        <v>37</v>
      </c>
      <c r="G5" s="6" t="s">
        <v>38</v>
      </c>
    </row>
    <row r="6" spans="1:7" ht="13" x14ac:dyDescent="0.3">
      <c r="A6" s="10" t="s">
        <v>169</v>
      </c>
      <c r="B6" s="10"/>
      <c r="C6" s="10"/>
      <c r="D6" s="10"/>
      <c r="E6" s="10"/>
      <c r="F6" s="10"/>
      <c r="G6" s="10"/>
    </row>
    <row r="7" spans="1:7" ht="37.5" x14ac:dyDescent="0.25">
      <c r="A7" s="19" t="s">
        <v>120</v>
      </c>
      <c r="B7" s="19" t="s">
        <v>170</v>
      </c>
      <c r="C7" s="37">
        <f>'Budget mensuel'!$B$7</f>
        <v>3</v>
      </c>
      <c r="D7" s="20">
        <v>8</v>
      </c>
      <c r="E7" s="20">
        <v>12</v>
      </c>
      <c r="F7" s="21" t="s">
        <v>90</v>
      </c>
      <c r="G7" s="22" t="s">
        <v>182</v>
      </c>
    </row>
    <row r="8" spans="1:7" ht="37.5" x14ac:dyDescent="0.25">
      <c r="A8" s="19" t="s">
        <v>121</v>
      </c>
      <c r="B8" s="19" t="s">
        <v>170</v>
      </c>
      <c r="C8" s="37">
        <f>'Budget mensuel'!$B$8</f>
        <v>3</v>
      </c>
      <c r="D8" s="20">
        <v>8</v>
      </c>
      <c r="E8" s="20">
        <v>12</v>
      </c>
      <c r="F8" s="21" t="s">
        <v>90</v>
      </c>
      <c r="G8" s="22" t="s">
        <v>182</v>
      </c>
    </row>
    <row r="9" spans="1:7" ht="37.5" x14ac:dyDescent="0.25">
      <c r="A9" s="19" t="s">
        <v>122</v>
      </c>
      <c r="B9" s="19" t="s">
        <v>170</v>
      </c>
      <c r="C9" s="37">
        <f>'Budget mensuel'!$B$9</f>
        <v>3</v>
      </c>
      <c r="D9" s="20">
        <v>8</v>
      </c>
      <c r="E9" s="20">
        <v>12</v>
      </c>
      <c r="F9" s="21" t="s">
        <v>90</v>
      </c>
      <c r="G9" s="22" t="s">
        <v>182</v>
      </c>
    </row>
    <row r="10" spans="1:7" ht="37.5" x14ac:dyDescent="0.25">
      <c r="A10" s="19" t="s">
        <v>171</v>
      </c>
      <c r="B10" s="19" t="s">
        <v>170</v>
      </c>
      <c r="C10" s="37">
        <f>'Budget mensuel'!$B$10</f>
        <v>7</v>
      </c>
      <c r="D10" s="20">
        <v>24</v>
      </c>
      <c r="E10" s="20">
        <v>48</v>
      </c>
      <c r="F10" s="21" t="s">
        <v>90</v>
      </c>
      <c r="G10" s="22" t="s">
        <v>182</v>
      </c>
    </row>
    <row r="11" spans="1:7" ht="13" x14ac:dyDescent="0.25">
      <c r="A11" s="8" t="s">
        <v>124</v>
      </c>
      <c r="B11" s="8" t="s">
        <v>170</v>
      </c>
      <c r="C11" s="24">
        <f t="shared" ref="C11:E11" si="0">SUM(C7:C10)</f>
        <v>16</v>
      </c>
      <c r="D11" s="24">
        <f t="shared" si="0"/>
        <v>48</v>
      </c>
      <c r="E11" s="24">
        <f t="shared" si="0"/>
        <v>84</v>
      </c>
      <c r="F11" s="21"/>
      <c r="G11" s="22"/>
    </row>
    <row r="12" spans="1:7" ht="13" x14ac:dyDescent="0.25">
      <c r="A12" s="29" t="s">
        <v>172</v>
      </c>
      <c r="B12" s="29"/>
      <c r="C12" s="29"/>
      <c r="D12" s="29"/>
      <c r="E12" s="29"/>
      <c r="F12" s="29"/>
      <c r="G12" s="30"/>
    </row>
    <row r="13" spans="1:7" ht="13" x14ac:dyDescent="0.25">
      <c r="A13" s="8" t="s">
        <v>126</v>
      </c>
      <c r="B13" s="8" t="s">
        <v>56</v>
      </c>
      <c r="C13" s="38">
        <f>C7*'Prix et marges'!$C$17+C8*'Prix et marges'!$D$17+C9*'Prix et marges'!$E$17+C10*'Prix et marges'!$F$17</f>
        <v>121955.35714285713</v>
      </c>
      <c r="D13" s="38">
        <f>D7*'Prix et marges'!$C$17+D8*'Prix et marges'!$D$17+D9*'Prix et marges'!$E$17+D10*'Prix et marges'!$F$17</f>
        <v>368071.42857142852</v>
      </c>
      <c r="E13" s="38">
        <f>E7*'Prix et marges'!$C$17+E8*'Prix et marges'!$D$17+E9*'Prix et marges'!$E$17+E10*'Prix et marges'!$F$17</f>
        <v>648535.7142857142</v>
      </c>
      <c r="F13" s="21"/>
      <c r="G13" s="22"/>
    </row>
    <row r="14" spans="1:7" ht="13" x14ac:dyDescent="0.25">
      <c r="A14" s="8" t="s">
        <v>127</v>
      </c>
      <c r="B14" s="8" t="s">
        <v>56</v>
      </c>
      <c r="C14" s="38">
        <f>C7*'Prix et marges'!$C$34+C8*'Prix et marges'!$D$34+C9*'Prix et marges'!$E$34+C10*'Prix et marges'!$F$34</f>
        <v>125539.17857142858</v>
      </c>
      <c r="D14" s="38">
        <f>D7*'Prix et marges'!$C$34+D8*'Prix et marges'!$D$34+D9*'Prix et marges'!$E$34+D10*'Prix et marges'!$F$34</f>
        <v>371056.85714285716</v>
      </c>
      <c r="E14" s="38">
        <f>E7*'Prix et marges'!$C$34+E8*'Prix et marges'!$D$34+E9*'Prix et marges'!$E$34+E10*'Prix et marges'!$F$34</f>
        <v>638228.14285714296</v>
      </c>
      <c r="F14" s="21"/>
      <c r="G14" s="22"/>
    </row>
    <row r="15" spans="1:7" ht="13" x14ac:dyDescent="0.25">
      <c r="A15" s="8" t="s">
        <v>79</v>
      </c>
      <c r="B15" s="8" t="s">
        <v>56</v>
      </c>
      <c r="C15" s="28">
        <f t="shared" ref="C15:E15" si="1">C13-C14</f>
        <v>-3583.8214285714494</v>
      </c>
      <c r="D15" s="28">
        <f t="shared" si="1"/>
        <v>-2985.428571428638</v>
      </c>
      <c r="E15" s="28">
        <f t="shared" si="1"/>
        <v>10307.571428571246</v>
      </c>
      <c r="F15" s="21"/>
      <c r="G15" s="22"/>
    </row>
    <row r="16" spans="1:7" ht="13" x14ac:dyDescent="0.25">
      <c r="A16" s="8" t="s">
        <v>80</v>
      </c>
      <c r="B16" s="8" t="s">
        <v>64</v>
      </c>
      <c r="C16" s="31">
        <f t="shared" ref="C16:E16" si="2">IF(C13&gt;0,C15/C13,0)</f>
        <v>-2.9386338677795033E-2</v>
      </c>
      <c r="D16" s="31">
        <f t="shared" si="2"/>
        <v>-8.1110032990492787E-3</v>
      </c>
      <c r="E16" s="31">
        <f t="shared" si="2"/>
        <v>1.589360647612726E-2</v>
      </c>
      <c r="F16" s="21"/>
      <c r="G16" s="22"/>
    </row>
    <row r="17" spans="1:7" ht="37.5" x14ac:dyDescent="0.25">
      <c r="A17" s="19" t="s">
        <v>128</v>
      </c>
      <c r="B17" s="19" t="s">
        <v>173</v>
      </c>
      <c r="C17" s="39">
        <f>'Budget mensuel'!$B$26</f>
        <v>12672</v>
      </c>
      <c r="D17" s="26">
        <v>60000</v>
      </c>
      <c r="E17" s="26">
        <v>150000</v>
      </c>
      <c r="F17" s="21" t="s">
        <v>90</v>
      </c>
      <c r="G17" s="22" t="s">
        <v>183</v>
      </c>
    </row>
    <row r="18" spans="1:7" ht="13" x14ac:dyDescent="0.25">
      <c r="A18" s="8" t="s">
        <v>161</v>
      </c>
      <c r="B18" s="8" t="s">
        <v>56</v>
      </c>
      <c r="C18" s="28">
        <f t="shared" ref="C18:E18" si="3">C15-C17</f>
        <v>-16255.821428571449</v>
      </c>
      <c r="D18" s="28">
        <f t="shared" si="3"/>
        <v>-62985.428571428638</v>
      </c>
      <c r="E18" s="28">
        <f t="shared" si="3"/>
        <v>-139692.42857142875</v>
      </c>
      <c r="F18" s="21"/>
      <c r="G18" s="22"/>
    </row>
    <row r="19" spans="1:7" ht="13" x14ac:dyDescent="0.25">
      <c r="A19" s="29" t="s">
        <v>174</v>
      </c>
      <c r="B19" s="29"/>
      <c r="C19" s="29"/>
      <c r="D19" s="29"/>
      <c r="E19" s="29"/>
      <c r="F19" s="29"/>
      <c r="G19" s="30"/>
    </row>
    <row r="20" spans="1:7" x14ac:dyDescent="0.25">
      <c r="A20" s="19" t="s">
        <v>175</v>
      </c>
      <c r="B20" s="19" t="s">
        <v>56</v>
      </c>
      <c r="C20" s="26">
        <v>3000</v>
      </c>
      <c r="D20" s="26">
        <v>5000</v>
      </c>
      <c r="E20" s="26">
        <v>10000</v>
      </c>
      <c r="F20" s="21" t="s">
        <v>90</v>
      </c>
      <c r="G20" s="22" t="s">
        <v>184</v>
      </c>
    </row>
    <row r="21" spans="1:7" ht="13" x14ac:dyDescent="0.25">
      <c r="A21" s="8" t="s">
        <v>176</v>
      </c>
      <c r="B21" s="8" t="s">
        <v>177</v>
      </c>
      <c r="C21" s="28">
        <f t="shared" ref="C21:E21" si="4">C18-C20</f>
        <v>-19255.821428571449</v>
      </c>
      <c r="D21" s="28">
        <f t="shared" si="4"/>
        <v>-67985.428571428638</v>
      </c>
      <c r="E21" s="28">
        <f t="shared" si="4"/>
        <v>-149692.42857142875</v>
      </c>
      <c r="F21" s="21"/>
      <c r="G21" s="22"/>
    </row>
    <row r="22" spans="1:7" ht="13" x14ac:dyDescent="0.25">
      <c r="A22" s="8" t="s">
        <v>178</v>
      </c>
      <c r="B22" s="8" t="s">
        <v>177</v>
      </c>
      <c r="C22" s="28">
        <f>C21</f>
        <v>-19255.821428571449</v>
      </c>
      <c r="D22" s="28">
        <f t="shared" ref="D22:E22" si="5">C22+D21</f>
        <v>-87241.250000000087</v>
      </c>
      <c r="E22" s="28">
        <f t="shared" si="5"/>
        <v>-236933.67857142884</v>
      </c>
      <c r="F22" s="21"/>
      <c r="G22" s="22"/>
    </row>
    <row r="23" spans="1:7" ht="13" x14ac:dyDescent="0.25">
      <c r="A23" s="8" t="s">
        <v>179</v>
      </c>
      <c r="B23" s="8" t="s">
        <v>170</v>
      </c>
      <c r="C23" s="40">
        <f t="shared" ref="C23:E23" si="6">IF(C11&gt;0,IF(C15&gt;0,C17/(C15/C11),0),0)</f>
        <v>0</v>
      </c>
      <c r="D23" s="40">
        <f t="shared" si="6"/>
        <v>0</v>
      </c>
      <c r="E23" s="40">
        <f t="shared" si="6"/>
        <v>1222.4023949108362</v>
      </c>
      <c r="F23" s="21"/>
      <c r="G23" s="22"/>
    </row>
    <row r="25" spans="1:7" ht="13" x14ac:dyDescent="0.3">
      <c r="A25" s="2" t="s">
        <v>180</v>
      </c>
      <c r="B25" s="2" t="s">
        <v>177</v>
      </c>
      <c r="C25" s="17">
        <f>MAX(0,-MIN(C22:E22))</f>
        <v>236933.67857142884</v>
      </c>
    </row>
    <row r="27" spans="1:7" ht="13" x14ac:dyDescent="0.3">
      <c r="A27" s="4" t="s">
        <v>181</v>
      </c>
    </row>
  </sheetData>
  <dataValidations count="1">
    <dataValidation type="list" allowBlank="1" showInputMessage="1" showErrorMessage="1" sqref="F7:F23" xr:uid="{CE6E7BBF-D2B8-4903-BD10-C829B0A39B99}">
      <formula1>"F,I,P,H"</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d'emploi</vt:lpstr>
      <vt:lpstr>Prix et marges</vt:lpstr>
      <vt:lpstr>Budget mensuel</vt:lpstr>
      <vt:lpstr>Prévu et réel</vt:lpstr>
      <vt:lpstr>Plan financier 3 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vianney vautier</dc:creator>
  <cp:lastModifiedBy>vianney vautier</cp:lastModifiedBy>
  <dcterms:created xsi:type="dcterms:W3CDTF">2026-10-27T22:12:38Z</dcterms:created>
  <dcterms:modified xsi:type="dcterms:W3CDTF">2026-10-27T22:13:51Z</dcterms:modified>
</cp:coreProperties>
</file>