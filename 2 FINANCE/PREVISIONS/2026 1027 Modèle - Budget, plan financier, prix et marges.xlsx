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ans\Documents\Claude\Projects\HEC-GEMM-Groupe-7\2 FINANCE\PREVISIONS\"/>
    </mc:Choice>
  </mc:AlternateContent>
  <xr:revisionPtr revIDLastSave="0" documentId="13_ncr:1_{3F55C2F6-4C18-4A9D-B247-0FED85B16C82}" xr6:coauthVersionLast="47" xr6:coauthVersionMax="47" xr10:uidLastSave="{00000000-0000-0000-0000-000000000000}"/>
  <bookViews>
    <workbookView xWindow="-110" yWindow="-110" windowWidth="25820" windowHeight="13900" xr2:uid="{09426CC5-4BCC-48B7-8854-C5C8E2CE30D1}"/>
  </bookViews>
  <sheets>
    <sheet name="Mode d'emploi" sheetId="1" r:id="rId1"/>
    <sheet name="Prix et marges" sheetId="2" r:id="rId2"/>
    <sheet name="Staffing" sheetId="7" r:id="rId3"/>
    <sheet name="Budget mensuel" sheetId="3" r:id="rId4"/>
    <sheet name="TVA" sheetId="8" r:id="rId5"/>
    <sheet name="Prévu et réel" sheetId="4" r:id="rId6"/>
    <sheet name="Plan financier 3 ans" sheetId="5" r:id="rId7"/>
    <sheet name="Frais généraux 3 ans" sheetId="6"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47" i="8" l="1"/>
  <c r="N44" i="8"/>
  <c r="M44" i="8"/>
  <c r="L44" i="8"/>
  <c r="K44" i="8"/>
  <c r="J44" i="8"/>
  <c r="I44" i="8"/>
  <c r="H44" i="8"/>
  <c r="G44" i="8"/>
  <c r="F44" i="8"/>
  <c r="E44" i="8"/>
  <c r="D44" i="8"/>
  <c r="C45" i="8"/>
  <c r="B45" i="8" s="1"/>
  <c r="C44" i="8"/>
  <c r="B44" i="8" s="1"/>
  <c r="F24" i="8"/>
  <c r="E24" i="8"/>
  <c r="D24" i="8"/>
  <c r="C24" i="8"/>
  <c r="B39" i="3"/>
  <c r="B38" i="3"/>
  <c r="G36" i="7"/>
  <c r="F36" i="7"/>
  <c r="E36" i="7"/>
  <c r="D36" i="7"/>
  <c r="H34" i="7"/>
  <c r="C34" i="7"/>
  <c r="B34" i="7"/>
  <c r="A34" i="7"/>
  <c r="H33" i="7"/>
  <c r="C33" i="7"/>
  <c r="B33" i="7"/>
  <c r="A33" i="7"/>
  <c r="H32" i="7"/>
  <c r="C32" i="7"/>
  <c r="B32" i="7"/>
  <c r="A32" i="7"/>
  <c r="H31" i="7"/>
  <c r="C31" i="7"/>
  <c r="B31" i="7"/>
  <c r="A31" i="7"/>
  <c r="H30" i="7"/>
  <c r="C30" i="7"/>
  <c r="B30" i="7"/>
  <c r="A30" i="7"/>
  <c r="H29" i="7"/>
  <c r="C29" i="7"/>
  <c r="B29" i="7"/>
  <c r="A29" i="7"/>
  <c r="H28" i="7"/>
  <c r="C28" i="7"/>
  <c r="B28" i="7"/>
  <c r="A28" i="7"/>
  <c r="H27" i="7"/>
  <c r="C27" i="7"/>
  <c r="B27" i="7"/>
  <c r="A27" i="7"/>
  <c r="H26" i="7"/>
  <c r="C26" i="7"/>
  <c r="B26" i="7"/>
  <c r="A26" i="7"/>
  <c r="G21" i="7"/>
  <c r="G20" i="7"/>
  <c r="F21" i="7"/>
  <c r="F20" i="7"/>
  <c r="E21" i="7"/>
  <c r="E20" i="7"/>
  <c r="D21" i="7"/>
  <c r="D20" i="7"/>
  <c r="G19" i="7"/>
  <c r="G18" i="7"/>
  <c r="F19" i="7"/>
  <c r="F18" i="7"/>
  <c r="E19" i="7"/>
  <c r="E18" i="7"/>
  <c r="D19" i="7"/>
  <c r="D18" i="7"/>
  <c r="G26" i="6"/>
  <c r="E18" i="5" s="1"/>
  <c r="F26" i="6"/>
  <c r="D18" i="5" s="1"/>
  <c r="B13" i="6"/>
  <c r="G8" i="6"/>
  <c r="G9" i="6"/>
  <c r="G10" i="6"/>
  <c r="G11" i="6"/>
  <c r="G12" i="6"/>
  <c r="F8" i="6"/>
  <c r="F9" i="6"/>
  <c r="F10" i="6"/>
  <c r="F11" i="6"/>
  <c r="F12" i="6"/>
  <c r="C31" i="3"/>
  <c r="D31" i="3"/>
  <c r="E31" i="3"/>
  <c r="F31" i="3"/>
  <c r="G31" i="3"/>
  <c r="H31" i="3"/>
  <c r="I31" i="3"/>
  <c r="J31" i="3"/>
  <c r="K31" i="3"/>
  <c r="L31" i="3"/>
  <c r="M31" i="3"/>
  <c r="N31" i="3"/>
  <c r="C21" i="3"/>
  <c r="D21" i="3"/>
  <c r="D32" i="3" s="1"/>
  <c r="D17" i="4" s="1"/>
  <c r="E21" i="3"/>
  <c r="E32" i="3" s="1"/>
  <c r="E17" i="4" s="1"/>
  <c r="F21" i="3"/>
  <c r="F32" i="3" s="1"/>
  <c r="F17" i="4" s="1"/>
  <c r="G21" i="3"/>
  <c r="G32" i="3" s="1"/>
  <c r="G17" i="4" s="1"/>
  <c r="H21" i="3"/>
  <c r="H32" i="3" s="1"/>
  <c r="H17" i="4" s="1"/>
  <c r="I21" i="3"/>
  <c r="I32" i="3" s="1"/>
  <c r="I17" i="4" s="1"/>
  <c r="J21" i="3"/>
  <c r="J32" i="3" s="1"/>
  <c r="J17" i="4" s="1"/>
  <c r="K21" i="3"/>
  <c r="K32" i="3" s="1"/>
  <c r="K17" i="4" s="1"/>
  <c r="L21" i="3"/>
  <c r="L32" i="3" s="1"/>
  <c r="L17" i="4" s="1"/>
  <c r="M21" i="3"/>
  <c r="M32" i="3" s="1"/>
  <c r="M17" i="4" s="1"/>
  <c r="N21" i="3"/>
  <c r="N32" i="3" s="1"/>
  <c r="N17" i="4" s="1"/>
  <c r="B20" i="3"/>
  <c r="B19" i="3"/>
  <c r="B18" i="3"/>
  <c r="D11" i="5"/>
  <c r="E11" i="5"/>
  <c r="B23" i="4"/>
  <c r="C24" i="4"/>
  <c r="D24" i="4"/>
  <c r="E24" i="4"/>
  <c r="F24" i="4"/>
  <c r="G24" i="4"/>
  <c r="H24" i="4"/>
  <c r="I24" i="4"/>
  <c r="J24" i="4"/>
  <c r="K24" i="4"/>
  <c r="L24" i="4"/>
  <c r="M24" i="4"/>
  <c r="N24" i="4"/>
  <c r="B18" i="4"/>
  <c r="C19" i="4"/>
  <c r="D19" i="4"/>
  <c r="E19" i="4"/>
  <c r="F19" i="4"/>
  <c r="G19" i="4"/>
  <c r="H19" i="4"/>
  <c r="I19" i="4"/>
  <c r="J19" i="4"/>
  <c r="K19" i="4"/>
  <c r="L19" i="4"/>
  <c r="M19" i="4"/>
  <c r="N19" i="4"/>
  <c r="B13" i="4"/>
  <c r="C14" i="4"/>
  <c r="D14" i="4"/>
  <c r="E14" i="4"/>
  <c r="F14" i="4"/>
  <c r="G14" i="4"/>
  <c r="H14" i="4"/>
  <c r="I14" i="4"/>
  <c r="J14" i="4"/>
  <c r="K14" i="4"/>
  <c r="L14" i="4"/>
  <c r="M14" i="4"/>
  <c r="N14" i="4"/>
  <c r="B8" i="4"/>
  <c r="C9" i="4"/>
  <c r="D9" i="4"/>
  <c r="E9" i="4"/>
  <c r="F9" i="4"/>
  <c r="G9" i="4"/>
  <c r="H9" i="4"/>
  <c r="I9" i="4"/>
  <c r="J9" i="4"/>
  <c r="K9" i="4"/>
  <c r="L9" i="4"/>
  <c r="M9" i="4"/>
  <c r="N9" i="4"/>
  <c r="C5" i="4"/>
  <c r="D5" i="4"/>
  <c r="E5" i="4"/>
  <c r="F5" i="4"/>
  <c r="G5" i="4"/>
  <c r="H5" i="4"/>
  <c r="I5" i="4"/>
  <c r="J5" i="4"/>
  <c r="K5" i="4"/>
  <c r="L5" i="4"/>
  <c r="M5" i="4"/>
  <c r="N5" i="4"/>
  <c r="B30" i="3"/>
  <c r="B29" i="3"/>
  <c r="B28" i="3"/>
  <c r="B27" i="3"/>
  <c r="B26" i="3"/>
  <c r="B25" i="3"/>
  <c r="B24" i="3"/>
  <c r="B23" i="3"/>
  <c r="B17" i="3"/>
  <c r="C11" i="3"/>
  <c r="C7" i="4" s="1"/>
  <c r="D11" i="3"/>
  <c r="D7" i="4" s="1"/>
  <c r="E11" i="3"/>
  <c r="E7" i="4" s="1"/>
  <c r="F11" i="3"/>
  <c r="F7" i="4" s="1"/>
  <c r="G11" i="3"/>
  <c r="G7" i="4" s="1"/>
  <c r="H11" i="3"/>
  <c r="H7" i="4" s="1"/>
  <c r="I11" i="3"/>
  <c r="I7" i="4" s="1"/>
  <c r="J11" i="3"/>
  <c r="J7" i="4" s="1"/>
  <c r="K11" i="3"/>
  <c r="K7" i="4" s="1"/>
  <c r="L11" i="3"/>
  <c r="L7" i="4" s="1"/>
  <c r="M11" i="3"/>
  <c r="M7" i="4" s="1"/>
  <c r="N11" i="3"/>
  <c r="N7" i="4" s="1"/>
  <c r="B10" i="3"/>
  <c r="C10" i="5" s="1"/>
  <c r="B9" i="3"/>
  <c r="C9" i="5" s="1"/>
  <c r="B8" i="3"/>
  <c r="C8" i="5" s="1"/>
  <c r="B7" i="3"/>
  <c r="C7" i="5" s="1"/>
  <c r="C5" i="3"/>
  <c r="C41" i="8" s="1"/>
  <c r="D5" i="3"/>
  <c r="D41" i="8" s="1"/>
  <c r="E5" i="3"/>
  <c r="E41" i="8" s="1"/>
  <c r="F5" i="3"/>
  <c r="F41" i="8" s="1"/>
  <c r="G5" i="3"/>
  <c r="G41" i="8" s="1"/>
  <c r="H5" i="3"/>
  <c r="H41" i="8" s="1"/>
  <c r="I5" i="3"/>
  <c r="I41" i="8" s="1"/>
  <c r="J5" i="3"/>
  <c r="J41" i="8" s="1"/>
  <c r="K5" i="3"/>
  <c r="K41" i="8" s="1"/>
  <c r="L5" i="3"/>
  <c r="L41" i="8" s="1"/>
  <c r="M5" i="3"/>
  <c r="M41" i="8" s="1"/>
  <c r="N5" i="3"/>
  <c r="N41" i="8" s="1"/>
  <c r="C14" i="2"/>
  <c r="D14" i="2"/>
  <c r="E14" i="2"/>
  <c r="F14" i="2"/>
  <c r="C13" i="2"/>
  <c r="D13" i="2"/>
  <c r="E13" i="2"/>
  <c r="F13" i="2"/>
  <c r="C9" i="2"/>
  <c r="D9" i="2"/>
  <c r="E9" i="2"/>
  <c r="F9" i="2"/>
  <c r="G37" i="7" l="1"/>
  <c r="F37" i="7"/>
  <c r="E37" i="7"/>
  <c r="D37" i="7"/>
  <c r="F38" i="7"/>
  <c r="G39" i="7"/>
  <c r="G38" i="7"/>
  <c r="F39" i="7"/>
  <c r="E39" i="7"/>
  <c r="E38" i="7"/>
  <c r="D39" i="7"/>
  <c r="D38" i="7"/>
  <c r="F13" i="6"/>
  <c r="G13" i="6"/>
  <c r="B31" i="3"/>
  <c r="C18" i="5" s="1"/>
  <c r="D17" i="5"/>
  <c r="D19" i="5" s="1"/>
  <c r="F28" i="6"/>
  <c r="G28" i="6"/>
  <c r="E17" i="5"/>
  <c r="E19" i="5" s="1"/>
  <c r="B21" i="3"/>
  <c r="C17" i="5" s="1"/>
  <c r="C19" i="5" s="1"/>
  <c r="C32" i="3"/>
  <c r="B24" i="4"/>
  <c r="B14" i="4"/>
  <c r="B19" i="4"/>
  <c r="B9" i="4"/>
  <c r="B7" i="4"/>
  <c r="C11" i="5"/>
  <c r="B11" i="3"/>
  <c r="F25" i="2"/>
  <c r="F17" i="2"/>
  <c r="F23" i="8" s="1"/>
  <c r="F25" i="8" s="1"/>
  <c r="E17" i="2"/>
  <c r="E23" i="8" s="1"/>
  <c r="E25" i="8" s="1"/>
  <c r="E25" i="2"/>
  <c r="D25" i="2"/>
  <c r="D17" i="2"/>
  <c r="D23" i="8" s="1"/>
  <c r="D25" i="8" s="1"/>
  <c r="C17" i="2"/>
  <c r="C23" i="8" s="1"/>
  <c r="C25" i="8" s="1"/>
  <c r="C25" i="2"/>
  <c r="F42" i="8" l="1"/>
  <c r="G42" i="8"/>
  <c r="H42" i="8"/>
  <c r="I42" i="8"/>
  <c r="C42" i="8"/>
  <c r="E42" i="8"/>
  <c r="J42" i="8"/>
  <c r="K42" i="8"/>
  <c r="L42" i="8"/>
  <c r="M42" i="8"/>
  <c r="D42" i="8"/>
  <c r="N42" i="8"/>
  <c r="G40" i="7"/>
  <c r="F26" i="2"/>
  <c r="F40" i="7"/>
  <c r="E26" i="2"/>
  <c r="E40" i="7"/>
  <c r="D26" i="2"/>
  <c r="D40" i="7"/>
  <c r="C26" i="2"/>
  <c r="B32" i="3"/>
  <c r="C17" i="4"/>
  <c r="B17" i="4" s="1"/>
  <c r="C13" i="5"/>
  <c r="D13" i="5"/>
  <c r="E13" i="5"/>
  <c r="C13" i="3"/>
  <c r="E13" i="3"/>
  <c r="F13" i="3"/>
  <c r="H13" i="3"/>
  <c r="J13" i="3"/>
  <c r="L13" i="3"/>
  <c r="N13" i="3"/>
  <c r="D13" i="3"/>
  <c r="G13" i="3"/>
  <c r="I13" i="3"/>
  <c r="K13" i="3"/>
  <c r="M13" i="3"/>
  <c r="F39" i="2"/>
  <c r="F22" i="2"/>
  <c r="F32" i="2"/>
  <c r="E32" i="2"/>
  <c r="E22" i="2"/>
  <c r="E26" i="8" s="1"/>
  <c r="E27" i="8" s="1"/>
  <c r="E39" i="2"/>
  <c r="D22" i="2"/>
  <c r="D32" i="2"/>
  <c r="D39" i="2"/>
  <c r="C39" i="2"/>
  <c r="C32" i="2"/>
  <c r="C22" i="2"/>
  <c r="B42" i="8" l="1"/>
  <c r="F40" i="2"/>
  <c r="F26" i="8"/>
  <c r="F27" i="8" s="1"/>
  <c r="D40" i="2"/>
  <c r="D26" i="8"/>
  <c r="D27" i="8" s="1"/>
  <c r="C40" i="2"/>
  <c r="C26" i="8"/>
  <c r="F43" i="2"/>
  <c r="F42" i="2"/>
  <c r="E43" i="2"/>
  <c r="E42" i="2"/>
  <c r="D42" i="2"/>
  <c r="D43" i="2"/>
  <c r="D40" i="3"/>
  <c r="E40" i="3"/>
  <c r="F40" i="3"/>
  <c r="G40" i="3"/>
  <c r="H40" i="3"/>
  <c r="I40" i="3"/>
  <c r="J40" i="3"/>
  <c r="K40" i="3"/>
  <c r="L40" i="3"/>
  <c r="M40" i="3"/>
  <c r="N40" i="3"/>
  <c r="C40" i="3"/>
  <c r="C42" i="2"/>
  <c r="C43" i="2"/>
  <c r="B13" i="3"/>
  <c r="C12" i="4"/>
  <c r="E12" i="4"/>
  <c r="F12" i="4"/>
  <c r="H12" i="4"/>
  <c r="J12" i="4"/>
  <c r="L12" i="4"/>
  <c r="N12" i="4"/>
  <c r="D12" i="4"/>
  <c r="G12" i="4"/>
  <c r="I12" i="4"/>
  <c r="K12" i="4"/>
  <c r="M12" i="4"/>
  <c r="E34" i="2"/>
  <c r="E36" i="2" s="1"/>
  <c r="E40" i="2"/>
  <c r="D34" i="2"/>
  <c r="D36" i="2" s="1"/>
  <c r="F34" i="2"/>
  <c r="F36" i="2" s="1"/>
  <c r="C34" i="2"/>
  <c r="C27" i="8" l="1"/>
  <c r="C43" i="8"/>
  <c r="K43" i="8"/>
  <c r="L43" i="8"/>
  <c r="M43" i="8"/>
  <c r="D43" i="8"/>
  <c r="E43" i="8"/>
  <c r="J43" i="8"/>
  <c r="N43" i="8"/>
  <c r="F43" i="8"/>
  <c r="G43" i="8"/>
  <c r="H43" i="8"/>
  <c r="I43" i="8"/>
  <c r="B40" i="3"/>
  <c r="D14" i="3"/>
  <c r="D15" i="3" s="1"/>
  <c r="D34" i="3" s="1"/>
  <c r="D22" i="4" s="1"/>
  <c r="E14" i="3"/>
  <c r="E15" i="3" s="1"/>
  <c r="E34" i="3" s="1"/>
  <c r="E22" i="4" s="1"/>
  <c r="F14" i="3"/>
  <c r="G14" i="3"/>
  <c r="G15" i="3" s="1"/>
  <c r="G34" i="3" s="1"/>
  <c r="G22" i="4" s="1"/>
  <c r="H14" i="3"/>
  <c r="H15" i="3" s="1"/>
  <c r="H34" i="3" s="1"/>
  <c r="H22" i="4" s="1"/>
  <c r="I14" i="3"/>
  <c r="I15" i="3" s="1"/>
  <c r="I34" i="3" s="1"/>
  <c r="I22" i="4" s="1"/>
  <c r="J14" i="3"/>
  <c r="J15" i="3" s="1"/>
  <c r="J34" i="3" s="1"/>
  <c r="J22" i="4" s="1"/>
  <c r="K14" i="3"/>
  <c r="K15" i="3" s="1"/>
  <c r="K34" i="3" s="1"/>
  <c r="K22" i="4" s="1"/>
  <c r="L14" i="3"/>
  <c r="L15" i="3" s="1"/>
  <c r="L34" i="3" s="1"/>
  <c r="L22" i="4" s="1"/>
  <c r="M14" i="3"/>
  <c r="M15" i="3" s="1"/>
  <c r="M34" i="3" s="1"/>
  <c r="M22" i="4" s="1"/>
  <c r="N14" i="3"/>
  <c r="N15" i="3" s="1"/>
  <c r="N34" i="3" s="1"/>
  <c r="N22" i="4" s="1"/>
  <c r="C14" i="3"/>
  <c r="C14" i="5"/>
  <c r="C15" i="5" s="1"/>
  <c r="B12" i="4"/>
  <c r="C36" i="2"/>
  <c r="D14" i="5"/>
  <c r="D15" i="5" s="1"/>
  <c r="E14" i="5"/>
  <c r="E15" i="5" s="1"/>
  <c r="F15" i="3"/>
  <c r="F34" i="3" s="1"/>
  <c r="F22" i="4" s="1"/>
  <c r="E38" i="2"/>
  <c r="E37" i="2"/>
  <c r="E41" i="2" s="1"/>
  <c r="F38" i="2"/>
  <c r="F37" i="2"/>
  <c r="F41" i="2" s="1"/>
  <c r="D38" i="2"/>
  <c r="D37" i="2"/>
  <c r="D41" i="2" s="1"/>
  <c r="C51" i="8" l="1"/>
  <c r="C46" i="8"/>
  <c r="B43" i="8"/>
  <c r="K46" i="8"/>
  <c r="L46" i="8"/>
  <c r="M46" i="8"/>
  <c r="D46" i="8"/>
  <c r="E46" i="8"/>
  <c r="J46" i="8"/>
  <c r="N46" i="8"/>
  <c r="F46" i="8"/>
  <c r="G46" i="8"/>
  <c r="H46" i="8"/>
  <c r="I46" i="8"/>
  <c r="C37" i="2"/>
  <c r="C41" i="2" s="1"/>
  <c r="C38" i="2"/>
  <c r="D20" i="5"/>
  <c r="D23" i="5" s="1"/>
  <c r="D25" i="5"/>
  <c r="D16" i="5"/>
  <c r="E20" i="5"/>
  <c r="E23" i="5" s="1"/>
  <c r="E25" i="5"/>
  <c r="E16" i="5"/>
  <c r="C15" i="3"/>
  <c r="B14" i="3"/>
  <c r="C16" i="5"/>
  <c r="C20" i="5"/>
  <c r="C23" i="5" s="1"/>
  <c r="C24" i="5" s="1"/>
  <c r="C25" i="5"/>
  <c r="C49" i="8" l="1"/>
  <c r="D47" i="8" s="1"/>
  <c r="C48" i="8"/>
  <c r="B46" i="8"/>
  <c r="D24" i="5"/>
  <c r="E24" i="5" s="1"/>
  <c r="C27" i="5" s="1"/>
  <c r="B15" i="3"/>
  <c r="C34" i="3"/>
  <c r="D48" i="8" l="1"/>
  <c r="E50" i="8" s="1"/>
  <c r="E51" i="8" s="1"/>
  <c r="D49" i="8"/>
  <c r="E47" i="8" s="1"/>
  <c r="D50" i="8"/>
  <c r="B34" i="3"/>
  <c r="C35" i="3"/>
  <c r="D35" i="3" s="1"/>
  <c r="E35" i="3" s="1"/>
  <c r="F35" i="3" s="1"/>
  <c r="G35" i="3" s="1"/>
  <c r="H35" i="3" s="1"/>
  <c r="I35" i="3" s="1"/>
  <c r="J35" i="3" s="1"/>
  <c r="K35" i="3" s="1"/>
  <c r="L35" i="3" s="1"/>
  <c r="M35" i="3" s="1"/>
  <c r="N35" i="3" s="1"/>
  <c r="B35" i="3" s="1"/>
  <c r="C22" i="4"/>
  <c r="B22" i="4" s="1"/>
  <c r="E48" i="8" l="1"/>
  <c r="E49" i="8"/>
  <c r="F47" i="8" s="1"/>
  <c r="D51" i="8"/>
  <c r="F50" i="8" l="1"/>
  <c r="F48" i="8"/>
  <c r="F49" i="8"/>
  <c r="G47" i="8" s="1"/>
  <c r="F51" i="8" l="1"/>
  <c r="G48" i="8"/>
  <c r="G49" i="8"/>
  <c r="H47" i="8" s="1"/>
  <c r="G50" i="8"/>
  <c r="G51" i="8" s="1"/>
  <c r="H48" i="8" l="1"/>
  <c r="I50" i="8" s="1"/>
  <c r="I51" i="8" s="1"/>
  <c r="H49" i="8"/>
  <c r="I47" i="8" s="1"/>
  <c r="H50" i="8"/>
  <c r="I48" i="8" l="1"/>
  <c r="I49" i="8"/>
  <c r="J47" i="8" s="1"/>
  <c r="H51" i="8"/>
  <c r="J50" i="8" l="1"/>
  <c r="J48" i="8"/>
  <c r="J49" i="8"/>
  <c r="K47" i="8" s="1"/>
  <c r="J51" i="8" l="1"/>
  <c r="K48" i="8"/>
  <c r="K49" i="8"/>
  <c r="L47" i="8" s="1"/>
  <c r="K50" i="8"/>
  <c r="K51" i="8" s="1"/>
  <c r="L48" i="8" l="1"/>
  <c r="M50" i="8" s="1"/>
  <c r="L49" i="8"/>
  <c r="M47" i="8" s="1"/>
  <c r="L50" i="8"/>
  <c r="L51" i="8" s="1"/>
  <c r="M51" i="8" l="1"/>
  <c r="M48" i="8"/>
  <c r="M49" i="8"/>
  <c r="N47" i="8" s="1"/>
  <c r="N50" i="8" l="1"/>
  <c r="N48" i="8"/>
  <c r="B48" i="8" s="1"/>
  <c r="N49" i="8"/>
  <c r="B49" i="8" s="1"/>
  <c r="B50" i="8" l="1"/>
  <c r="N51" i="8"/>
  <c r="B51" i="8" s="1"/>
</calcChain>
</file>

<file path=xl/sharedStrings.xml><?xml version="1.0" encoding="utf-8"?>
<sst xmlns="http://schemas.openxmlformats.org/spreadsheetml/2006/main" count="585" uniqueCount="361">
  <si>
    <t>Prévisions — budget, plan financier, prix et marges</t>
  </si>
  <si>
    <t>HEC GEMM Groupe 7 · Pôle Finance · Modèle vide créé le 27/10/2026, données à compléter</t>
  </si>
  <si>
    <t>Rubrique</t>
  </si>
  <si>
    <t>Contenu</t>
  </si>
  <si>
    <t>Objet</t>
  </si>
  <si>
    <t>Budget, plan financier, prix et marges (2 FINANCE/PREVISIONS/LISEZ-MOI.md).</t>
  </si>
  <si>
    <t>État du fichier</t>
  </si>
  <si>
    <t>Mis à jour le 27/10/2026 avec les données disponibles dans le dépôt (offre et prix du Produit, repères de marché du Marketing, coûts sourcés) et des hypothèses temporaires (H) pour les données manquantes. Liste des données manquantes et de ceux qui peuvent les fournir : 2 FINANCE/2026 1027 Données financières manquantes et hypothèses temporaires.md.</t>
  </si>
  <si>
    <t>Onglets</t>
  </si>
  <si>
    <t>« Prix et marges » : prix, coûts directs, marge, partage de la valeur et seuils d'une soirée, par offre. « Budget mensuel » : 12 mois (novembre 2026 à octobre 2027). « Prévu et réel » : à remplir dès le premier réel. « Plan financier 3 ans » : compte de résultat simplifié et besoin de financement.</t>
  </si>
  <si>
    <t>Offres modélisées</t>
  </si>
  <si>
    <t>Les trois soirées de l'offre A (Premier soir, Le Voyage, La Grande Nuit) et la privatisation de l'offre B avec un chef confirmé pour 10 convives, d'après 5 PRODUIT (offre, pricing, pilotes). Les prix y sont des propositions (P), non validées par l'équipe.</t>
  </si>
  <si>
    <t>Prévision et résultat</t>
  </si>
  <si>
    <t>Une prévision n'est pas un résultat : la comparer au réel dès qu'il est connu (onglet « Prévu et réel »), en citant la pièce du réel. Un objectif de chiffre d'affaires n'est pas une facture.</t>
  </si>
  <si>
    <t>Simplifications</t>
  </si>
  <si>
    <t>Prix affichés TTC convertis en HT avec un taux de TVA moyen (H). Ni impôt sur les sociétés, ni délais de paiement. Les acomptes et remboursements (seuil de 70 % à J-14) ne sont pas modélisés.</t>
  </si>
  <si>
    <t>Légende des cellules</t>
  </si>
  <si>
    <t>Cellule jaune, texte bleu : donnée à saisir. Cellule grise : formule, ne pas modifier. Texte vert : valeur reprise d'un autre onglet. Ligne verte « Exemple » : montre le format attendu, à remplacer ou supprimer.</t>
  </si>
  <si>
    <t>Colonne « Nature »</t>
  </si>
  <si>
    <t>F = fait constaté dans une pièce citée · I = inférence · P = proposition · H = hypothèse à valider (voir RULES.md). Si la pièce ne dit pas le chiffre : « non établi par les sources ».</t>
  </si>
  <si>
    <t>Colonne « Source »</t>
  </si>
  <si>
    <t>La pièce et l'endroit exact (ex. : S04, § Contexte, ou le nom de la note du dépôt). Signaler un chiffre tiré d'un argumentaire (plan d'affaires, présentation) plutôt que d'un document de gestion (facture, relevé, procès-verbal).</t>
  </si>
  <si>
    <t>Unités</t>
  </si>
  <si>
    <t>Montants en euros hors taxes, sauf mention contraire. Pourcentages saisis en % (ex. : 15 %).</t>
  </si>
  <si>
    <t>Cadre du projet</t>
  </si>
  <si>
    <t>Société d'événementiel : périodes vacantes de restaurants et de lieux avec cuisine, vivier de chefs d'exception, événements pour des communautés de foodies et pour des entreprises (privés éventuellement). Source : 1 DIRECTION/STRATEGIE/2026 1027 Descriptif du projet - Cadre de référence, décision D-01 du 27/10/2026.</t>
  </si>
  <si>
    <t>Références</t>
  </si>
  <si>
    <t>2 FINANCE/PREVISIONS/LISEZ-MOI.md · 2 FINANCE/AGENT.md · RULES.md · 5 PRODUIT (offre, pricing, pilotes) · 3 MARKETING/new project (concurrence, communication)</t>
  </si>
  <si>
    <t>Prix et marges d'une soirée</t>
  </si>
  <si>
    <t>Une offre par colonne. Lignes grises calculées. Montants HT sauf mention TTC.</t>
  </si>
  <si>
    <t>Valeurs du 27/10/2026 : prix et capacités proposés par le Produit (P) ; coûts en hypothèses temporaires (H), à remplacer par des devis.</t>
  </si>
  <si>
    <t>Poste</t>
  </si>
  <si>
    <t>Unité</t>
  </si>
  <si>
    <t>Premier soir (offre A)</t>
  </si>
  <si>
    <t>Le Voyage (offre A)</t>
  </si>
  <si>
    <t>La Grande Nuit (offre A)</t>
  </si>
  <si>
    <t>Privatisation, chef confirmé (offre B)</t>
  </si>
  <si>
    <t>Nature</t>
  </si>
  <si>
    <t>Source</t>
  </si>
  <si>
    <t>Fourni par</t>
  </si>
  <si>
    <t>1. Recettes</t>
  </si>
  <si>
    <t>Capacité</t>
  </si>
  <si>
    <t>couverts</t>
  </si>
  <si>
    <t>Taux de remplissage</t>
  </si>
  <si>
    <t>% des couverts</t>
  </si>
  <si>
    <t>Convives payants</t>
  </si>
  <si>
    <t>personnes</t>
  </si>
  <si>
    <t>Prix affiché TTC par convive</t>
  </si>
  <si>
    <t>€ TTC par personne</t>
  </si>
  <si>
    <t>Forfait affiché TTC par soirée (privatisation)</t>
  </si>
  <si>
    <t>€ TTC</t>
  </si>
  <si>
    <t>Taux de TVA moyen</t>
  </si>
  <si>
    <t>%</t>
  </si>
  <si>
    <t>Prix HT par convive</t>
  </si>
  <si>
    <t>€ HT par personne</t>
  </si>
  <si>
    <t>Forfait HT</t>
  </si>
  <si>
    <t>€ HT</t>
  </si>
  <si>
    <t>Minimum facturé (0 si aucun)</t>
  </si>
  <si>
    <t>Revenus complémentaires (partenariats, options)</t>
  </si>
  <si>
    <t>Chiffre d'affaires de la soirée</t>
  </si>
  <si>
    <t>2. Coûts directs de la soirée</t>
  </si>
  <si>
    <t>Mise à disposition du lieu (restaurateur)</t>
  </si>
  <si>
    <t>Chef : cachet et déplacement (part fixe)</t>
  </si>
  <si>
    <t>Chef : part du chiffre d'affaires</t>
  </si>
  <si>
    <t>% du CA</t>
  </si>
  <si>
    <t>Rémunération du chef</t>
  </si>
  <si>
    <t>Matières premières par convive</t>
  </si>
  <si>
    <t>Vins ou jus d'accord par convive</t>
  </si>
  <si>
    <t>Matières et boissons</t>
  </si>
  <si>
    <t>Ménage et remise en état du lieu</t>
  </si>
  <si>
    <t>Assurance de la soirée</t>
  </si>
  <si>
    <t>Décor, souvenir numéroté, petit matériel</t>
  </si>
  <si>
    <t>Frais de paiement</t>
  </si>
  <si>
    <t>Commission d'apporteur (concierge, agence)</t>
  </si>
  <si>
    <t>Frais et commissions</t>
  </si>
  <si>
    <t>Autres coûts directs (photographe)</t>
  </si>
  <si>
    <t>Total des coûts directs</t>
  </si>
  <si>
    <t>3. Marge, partage de la valeur et seuils</t>
  </si>
  <si>
    <t>Marge sur coûts directs</t>
  </si>
  <si>
    <t>Taux de marge</t>
  </si>
  <si>
    <t>Marge par convive payant</t>
  </si>
  <si>
    <t>Part du lieu</t>
  </si>
  <si>
    <t>Part du chef</t>
  </si>
  <si>
    <t>Part de la société (marge)</t>
  </si>
  <si>
    <t>Prix plancher TTC par convive (marge nulle, hors minimum)</t>
  </si>
  <si>
    <t>Taux de remplissage d'équilibre au prix affiché</t>
  </si>
  <si>
    <t>P</t>
  </si>
  <si>
    <t>5 PRODUIT/Fou d'un soir le pricing.md (@Fréd, 27/10/2026) ; offre B : exemple « table de 10 avec un chef confirmé », usage de l'hôte d'affaires (5 PRODUIT/Fou d'un soir l'offre.md)</t>
  </si>
  <si>
    <t>Produit</t>
  </si>
  <si>
    <t>H</t>
  </si>
  <si>
    <t>Hypothèse temporaire. Seuil de confirmation proposé : 70 % des sièges vendus à J-14 (5 PRODUIT, plan des deux soirées pilotes) ; privatisation : groupe du client</t>
  </si>
  <si>
    <t>Finance</t>
  </si>
  <si>
    <t>5 PRODUIT/Fou d'un soir le pricing.md (@Fréd, 27/10/2026), prix des soirées et grille de privatisation (prix TTC tout compris)</t>
  </si>
  <si>
    <t>5 PRODUIT/Fou d'un soir le pricing.md (@Fréd, 27/10/2026), forfait de privatisation chef confirmé ; H : forfait supposé TTC comme les prix de l'offre A</t>
  </si>
  <si>
    <t>Taux mixte (le pricing le signale « à vérifier avec la finance ») : 10 % sur la restauration, 20 % sur les boissons alcoolisées (règle fiscale à confirmer par un expert-comptable) ; H : boissons alcoolisées environ 20 % du prix</t>
  </si>
  <si>
    <t>Aucun minimum prévu par le Produit</t>
  </si>
  <si>
    <t>Non établi par les sources : partenariats vins et champagne envisagés, aucun accord</t>
  </si>
  <si>
    <t>Ventes</t>
  </si>
  <si>
    <t>F location de restaurants à Paris de 35 à 620 €/h, moyenne environ 373 à 386 €/h (Giggster) ; privatisation « à partir de 2 916 € » (Privateaser), cités dans 3 MARKETING/old project/MARCHE. La cible du Produit (11 à 12 % du prix HT) donnerait 750 à 1 350 € : écart signalé</t>
  </si>
  <si>
    <t>Calé sur la répartition cible du Produit (chef 15 / 22 / 30 % du prix HT, P, 5 PRODUIT/Fou d'un soir le pricing.md (@Fréd, 27/10/2026)) ; F chef privé 500 à 1 400 € par jour hors matières (Chefs Talents 2026, cité dans 3 MARKETING/new project/3 Concurrence)</t>
  </si>
  <si>
    <t>Rémunération du chef supposée entièrement fixe ; une part variable reste possible (descriptif du projet 3, § 6)</t>
  </si>
  <si>
    <t>Calé sur la cible du Produit (matières et vins 33 / 30 / 27 % du prix HT, P) ; F ratio matières et boissons idéalement sous 35 % (Keobiz, cité dans le descriptif du projet 3)</t>
  </si>
  <si>
    <t>Opérations</t>
  </si>
  <si>
    <t>Même source ; accord mets-jus au même coût que l'accord mets-vins (pricing : « coût réel reste à chiffrer »)</t>
  </si>
  <si>
    <t>Hypothèse temporaire ; cible « frais » du Produit 8 / 6 / 5 % du prix HT</t>
  </si>
  <si>
    <t>Hypothèse temporaire, devis d'assureur à obtenir</t>
  </si>
  <si>
    <t>Juridique</t>
  </si>
  <si>
    <t>Hypothèse temporaire (menu numéroté, souvenir, mise en scène)</t>
  </si>
  <si>
    <t>F Stripe 1,5 % + 0,25 € par carte européenne (stripe.com/fr/pricing, consulté le 27/10/2026), arrondi à 1,6 % ; privatisation réglée par virement (H)</t>
  </si>
  <si>
    <t>F honoraires d'agence 10 à 20 % du budget (BlackTrombone 2026, cité dans le descriptif du projet 3) ; part des ventes via les concierges à mesurer pendant les pilotes</t>
  </si>
  <si>
    <t>Marketing</t>
  </si>
  <si>
    <t>Photographe une demi-journée ; F tarif journalier 410 à 520 € (Malt, via Modèles de Business Plan, 15/09/2026) ; pas de photo en privatisation (confidentialité)</t>
  </si>
  <si>
    <t>Budget mensuel sur 12 mois</t>
  </si>
  <si>
    <t>Nombre de soirées et charges fixes saisis par mois ; recettes et coûts directs repris de l'onglet Prix et marges.</t>
  </si>
  <si>
    <t>Premier mois du budget (date) :</t>
  </si>
  <si>
    <t>H : préparation en novembre et décembre 2026, Premier soir en janvier 2027 (rétroplanning de 10 semaines des pilotes)</t>
  </si>
  <si>
    <t>Total 12 mois</t>
  </si>
  <si>
    <t>Activité (nombre de soirées)</t>
  </si>
  <si>
    <t>Premier soir</t>
  </si>
  <si>
    <t>Le Voyage</t>
  </si>
  <si>
    <t>La Grande Nuit</t>
  </si>
  <si>
    <t>Privatisations (chef confirmé)</t>
  </si>
  <si>
    <t>Nombre total de soirées</t>
  </si>
  <si>
    <t>Chiffre d'affaires et marge</t>
  </si>
  <si>
    <t>Chiffre d'affaires</t>
  </si>
  <si>
    <t>Coûts directs</t>
  </si>
  <si>
    <t>Locaux et bureaux</t>
  </si>
  <si>
    <t>Logiciels et outils (site, billetterie, CRM)</t>
  </si>
  <si>
    <t>Marketing et communication</t>
  </si>
  <si>
    <t>Assurance responsabilité civile professionnelle</t>
  </si>
  <si>
    <t>Honoraires (comptable, juridique)</t>
  </si>
  <si>
    <t>Banque</t>
  </si>
  <si>
    <t>Déplacements</t>
  </si>
  <si>
    <t>Autres charges (création de la société)</t>
  </si>
  <si>
    <t>Résultat</t>
  </si>
  <si>
    <t>Résultat d'exploitation du mois</t>
  </si>
  <si>
    <t>Résultat cumulé</t>
  </si>
  <si>
    <t>H : une soirée de l'offre A par mois (5 PRODUIT, offre, « Rythme et unicité ») ; pilotes Premier soir puis La Grande Nuit à cinq semaines d'écart (plan des pilotes)</t>
  </si>
  <si>
    <t>H : privatisations après la décision de S+7 ; 2 par mois en septembre et octobre, période la plus demandée (F Prestagency, cité dans le descriptif du projet 3) ; août sans soirée</t>
  </si>
  <si>
    <t>H : fondateurs non rémunérés la première année</t>
  </si>
  <si>
    <t>H : pas de bureaux, travail à distance</t>
  </si>
  <si>
    <t>H : site, billetterie et fichier clients ; devis à obtenir</t>
  </si>
  <si>
    <t>H : 300 €/mois (contenus, cartes, coffrets) + 3 dîners de concierges à 1 200 € (2 à 3 dîners prévus par 3 MARKETING/new project/4 Communication)</t>
  </si>
  <si>
    <t>F 200 à 300 €/an pour une start-up en amorçage (Coover 2026) ; H : doublé pour une activité d'événements, devis à demander</t>
  </si>
  <si>
    <t>H : expert-comptable 100 €/mois ; contrats types lieux, chefs et clients 1 500 € en novembre</t>
  </si>
  <si>
    <t>H : compte professionnel et terminal de paiement</t>
  </si>
  <si>
    <t>H : repérage des lieux et rendez-vous</t>
  </si>
  <si>
    <t>F</t>
  </si>
  <si>
    <t>Création d'une SAS : 252 € (immatriculation, annonce légale, bénéficiaires effectifs ; LegalPlace, 06/08/2026, cité dans PRODUCTIONS ASSISTANTS/2026 1027 Synthèse marketing…)</t>
  </si>
  <si>
    <t>Prévu et réel, mois par mois</t>
  </si>
  <si>
    <t>Le prévu vient du budget mensuel ; saisir le réel dès qu'il est connu, avec sa pièce. Aucun réel au 27/10/2026.</t>
  </si>
  <si>
    <t>Indicateur</t>
  </si>
  <si>
    <t>Nombre de soirées</t>
  </si>
  <si>
    <t>Prévu</t>
  </si>
  <si>
    <t>Réel</t>
  </si>
  <si>
    <t>Écart (réel − prévu)</t>
  </si>
  <si>
    <t>Résultat d'exploitation</t>
  </si>
  <si>
    <t>Pièces du réel</t>
  </si>
  <si>
    <t>Pièce justifiant le réel (comptabilité, relevé, factures)</t>
  </si>
  <si>
    <t>Plan financier sur 3 ans (simplifié)</t>
  </si>
  <si>
    <t>Prix et coûts par soirée constants (onglet Prix et marges). Ni TVA, ni impôt, ni délais de paiement.</t>
  </si>
  <si>
    <t>Année 1</t>
  </si>
  <si>
    <t>Année 2</t>
  </si>
  <si>
    <t>Année 3</t>
  </si>
  <si>
    <t>Activité</t>
  </si>
  <si>
    <t>soirées par an</t>
  </si>
  <si>
    <t>Privatisations</t>
  </si>
  <si>
    <t>Compte de résultat simplifié</t>
  </si>
  <si>
    <t>€ HT par an</t>
  </si>
  <si>
    <t>Besoin de financement</t>
  </si>
  <si>
    <t>Investissements (site, identité, coffrets, matériel)</t>
  </si>
  <si>
    <t>Flux de l'année (résultat − investissements)</t>
  </si>
  <si>
    <t>€</t>
  </si>
  <si>
    <t>Flux cumulé</t>
  </si>
  <si>
    <t>Seuil de rentabilité</t>
  </si>
  <si>
    <t>Besoin de financement (point bas du flux cumulé)</t>
  </si>
  <si>
    <t>Année 1 : nombre de soirées et charges fixes repris du budget mensuel (texte vert). Années 2 et 3 : hypothèses temporaires. Le financement se suit dans 2 FINANCE/FINANCEMENT.</t>
  </si>
  <si>
    <t>Année 1 : budget mensuel. H : 2 soirées A par mois en année 2, 3 en année 3 ; privatisations et contrats cadres de 2 à 4 soirées par an et par client (5 PRODUIT, offre ; 3 MARKETING, personas)</t>
  </si>
  <si>
    <t>H : site et identité visuelle, coffrets cadeaux numérotés, petit matériel de service</t>
  </si>
  <si>
    <t>Frais généraux : 1. Ressources humaines</t>
  </si>
  <si>
    <t>Rémunération des fondateurs (brut)</t>
  </si>
  <si>
    <t>Salaires des employés (brut)</t>
  </si>
  <si>
    <t>H : aucun salarié la première année</t>
  </si>
  <si>
    <t>Charges sociales patronales</t>
  </si>
  <si>
    <t>H : aucune rémunération versée, donc aucune charge</t>
  </si>
  <si>
    <t>Stagiaires et indépendants</t>
  </si>
  <si>
    <t>H : aucun la première année</t>
  </si>
  <si>
    <t>Total ressources humaines</t>
  </si>
  <si>
    <t>Frais généraux : 2. Frais matériels et de fonctionnement</t>
  </si>
  <si>
    <t>Total frais matériels et de fonctionnement</t>
  </si>
  <si>
    <t>Total des frais généraux</t>
  </si>
  <si>
    <t>Frais généraux des années 2 et 3</t>
  </si>
  <si>
    <t>Ressources humaines poste par poste, puis frais matériels et de fonctionnement. L'année 1 est détaillée mois par mois dans le budget mensuel.</t>
  </si>
  <si>
    <t>Taux de charges sociales patronales</t>
  </si>
  <si>
    <t>H : ordre de grandeur hors allègements (la réduction générale abaisse fortement ce taux près du SMIC) ; à faire confirmer par l'expert-comptable</t>
  </si>
  <si>
    <t>1. Ressources humaines</t>
  </si>
  <si>
    <t>Effectif</t>
  </si>
  <si>
    <t>Salaire brut mensuel par personne (€)</t>
  </si>
  <si>
    <t>Mois payés en année 2</t>
  </si>
  <si>
    <t>Mois payés en année 3</t>
  </si>
  <si>
    <t>Coût chargé année 2 (€)</t>
  </si>
  <si>
    <t>Coût chargé année 3 (€)</t>
  </si>
  <si>
    <t>Fondateurs (rémunération)</t>
  </si>
  <si>
    <t>H : deux fondateurs rémunérés à partir de l'année 3 ; montant à décider par la Direction</t>
  </si>
  <si>
    <t>Coordinateur ou coordinatrice d'événements</t>
  </si>
  <si>
    <t>F SMIC brut de 1 867,02 € par mois au 01/06/2026 (Éditions Tissot, 26/05/2026) ; H : poste à temps plein dès l'année 2</t>
  </si>
  <si>
    <t>Commercial ou commerciale entreprises</t>
  </si>
  <si>
    <t>H : recrutement en année 3 pour les privatisations et les contrats cadres ; salaire à vérifier (grille de rémunération)</t>
  </si>
  <si>
    <t>2. Frais matériels et de fonctionnement</t>
  </si>
  <si>
    <t>Année 2 (€)</t>
  </si>
  <si>
    <t>Année 3 (€)</t>
  </si>
  <si>
    <t>H : travail à distance en année 2 ; coworking pour 3 postes à 300 € par mois en année 3</t>
  </si>
  <si>
    <t>Logiciels et outils (site, billetterie, fichier clients)</t>
  </si>
  <si>
    <t>H : montée en charge des outils</t>
  </si>
  <si>
    <t>H : contenus, dîners de concierges, coffrets, relations presse</t>
  </si>
  <si>
    <t>F 1 000 à 1 500 € par an au-delà de 1 M€ de chiffre d'affaires (Coover 2026) ; H : devis à obtenir</t>
  </si>
  <si>
    <t>H : comptabilité, paie dès le premier salarié, contrats</t>
  </si>
  <si>
    <t>H : repérage de lieux, rencontres de chefs</t>
  </si>
  <si>
    <t>Autres frais</t>
  </si>
  <si>
    <t>Frais de ressources humaines</t>
  </si>
  <si>
    <t>Frais matériels et de fonctionnement</t>
  </si>
  <si>
    <t>Année 1 : budget mensuel (ligne 21). Années 2 et 3 : onglet Frais généraux 3 ans, poste par poste</t>
  </si>
  <si>
    <t>Année 1 : budget mensuel (ligne 31). Années 2 et 3 : onglet Frais généraux 3 ans</t>
  </si>
  <si>
    <t>Somme des deux lignes précédentes</t>
  </si>
  <si>
    <t>Frais généraux</t>
  </si>
  <si>
    <t>Mis à jour le 28/10/2026 : frais généraux divisés en ressources humaines (fondateurs, salariés, charges sociales, stagiaires et indépendants) et frais matériels et de fonctionnement (locaux, outils, marketing, assurance, honoraires, banque, déplacements, autres). Année 1 : budget mensuel. Années 2 et 3 : onglet « Frais généraux 3 ans ».</t>
  </si>
  <si>
    <t>Heures par personne</t>
  </si>
  <si>
    <t>Coût horaire chargé (€)</t>
  </si>
  <si>
    <t>Privatisation (table de 10)</t>
  </si>
  <si>
    <t>Poste de salle (1 = oui)</t>
  </si>
  <si>
    <t>Source et nature</t>
  </si>
  <si>
    <t>Brigade (second, commis)</t>
  </si>
  <si>
    <t>Effectifs P (Opérations). H : 9 h (mise en place et service) à 35 €/h, coût d'un extra retenu dans le descriptif du projet 3 (H), à confirmer par devis</t>
  </si>
  <si>
    <t>Maître d'hôtel</t>
  </si>
  <si>
    <t>Effectifs P (Opérations). H : 8 h à 45 €/h</t>
  </si>
  <si>
    <t>Serveurs (base)</t>
  </si>
  <si>
    <t>Effectifs P (Opérations : 1 serveur pour 7 couverts). H : 7 h à 35 €/h</t>
  </si>
  <si>
    <t>Serveur de réserve</t>
  </si>
  <si>
    <t>Effectifs P (Opérations : 1 en criticité C2 et C3). H : 7 h à 35 €/h</t>
  </si>
  <si>
    <t>Sommelier invité</t>
  </si>
  <si>
    <t>Effectifs P (Opérations). H : 7 h à 60 €/h, cachet à négocier</t>
  </si>
  <si>
    <t>Aide sommelier</t>
  </si>
  <si>
    <t>Effectifs P (Opérations : à partir de 20 couverts). H : 7 h à 38 €/h</t>
  </si>
  <si>
    <t>Plongeurs</t>
  </si>
  <si>
    <t>Effectifs P (Opérations). H : 7 h à 30 €/h</t>
  </si>
  <si>
    <t>Responsable de production (nous)</t>
  </si>
  <si>
    <t>Effectifs P (Opérations). H : assuré par un fondateur, non rémunéré la première année (coût dans les frais généraux)</t>
  </si>
  <si>
    <t>Interlocuteur client (Ventes)</t>
  </si>
  <si>
    <t>Effectifs P (Opérations : en C2 et C3). H : assuré par un fondateur, non rémunéré la première année</t>
  </si>
  <si>
    <t>Chef invité : 1 par soirée, compté à part (cachet, Prix et marges ligne 20)</t>
  </si>
  <si>
    <t>Personnes mobilisées, hors chef</t>
  </si>
  <si>
    <t>dont postes de salle</t>
  </si>
  <si>
    <t>Heures de travail payées</t>
  </si>
  <si>
    <t>P / H</t>
  </si>
  <si>
    <t>Équipe de service, brigade, sommelier et plonge</t>
  </si>
  <si>
    <t>Staffing</t>
  </si>
  <si>
    <t>Mis à jour le 28/10/2026 : le coût de l'équipe de chaque soirée (Prix et marges, ligne 26) est calculé dans l'onglet « Staffing » à partir des effectifs proposés par les Opérations (6 OPERATIONS/PRODUCTION/2026 1028 Calculateur de staffing par événement.xlsx et 2026 1028 Typologie des événements, process et staffing.md), multipliés par des heures et des coûts horaires en hypothèse (H). Le choix « service de salle fourni par le restaurant » y est modifiable.</t>
  </si>
  <si>
    <t>Staffing d'une soirée : scénario S0 (pilotes) et scénario S3 (soirées récurrentes)</t>
  </si>
  <si>
    <t>Effectifs repris des Opérations (propositions). Heures et coûts horaires : hypothèses temporaires (H), aucun devis à ce jour.</t>
  </si>
  <si>
    <t>Personnel de la soirée (salle, sommellerie, brigade, plonge) : toujours fourni et payé par Fou d'un soir.</t>
  </si>
  <si>
    <t>Orientation du responsable Opérations du 28/10/2026, à porter au registre des décisions par la Direction (6 OPERATIONS/PRODUCTION/2026 1028 Scénarios de staffing - leviers de coût.md, § 3). Remplace l'option « salle fournie par le restaurant ».</t>
  </si>
  <si>
    <t>Rôle (scénario S0 : équipe complète, criticité C2)</t>
  </si>
  <si>
    <t>Coût de l'équipe S0, pilotes (€ HT)</t>
  </si>
  <si>
    <t>Source S0 : 6 OPERATIONS/PRODUCTION/2026 1028 Calculateur de staffing par événement.xlsx (Opérations, 28/10/2026). Source S3 : 6 OPERATIONS/PRODUCTION/2026 1028 Scénarios de staffing - leviers de coût.md (§ 4 et 5).</t>
  </si>
  <si>
    <t>Rôle (scénario S3 : soirées récurrentes optimisées)</t>
  </si>
  <si>
    <t>P (Opérations) : inchangé</t>
  </si>
  <si>
    <t>P (Opérations), levier L2 : 1 serveur pour 9 couverts (24 couverts : 3 au lieu de 4 ; 20 couverts : 3, inchangé)</t>
  </si>
  <si>
    <t>P (Opérations), levier L1 : soirée récurrente classée C1, pas de serveur de réserve. Privatisation : I (Finance), maintenue en C2, contrat client</t>
  </si>
  <si>
    <t>P (Opérations) : aide sommelier maintenu (levier L4 écarté, § 6.3)</t>
  </si>
  <si>
    <t>P (Opérations), levier L3 : vaisselle sale reprise par le loueur, −1 plongeur (réponse d'Options attendue). Privatisation : I (Finance), 1 plongeur maintenu</t>
  </si>
  <si>
    <t>P (Opérations) : fondateur, non rémunéré la première année</t>
  </si>
  <si>
    <t>P (Opérations) : pas nécessaire en C1. Privatisation maintenue (contrat client). Coût nul</t>
  </si>
  <si>
    <t>Personnes mobilisées S3, hors chef</t>
  </si>
  <si>
    <t>Coût de l'équipe S3, soirées récurrentes (€ HT)</t>
  </si>
  <si>
    <t>Surcoût d'une soirée pilote (S0 − S3)</t>
  </si>
  <si>
    <t>Le coût de référence d'une soirée (Prix et marges, ligne 26) est celui de S3. Les deux pilotes (Premier soir et La Grande Nuit) gardent l'équipe complète S0 : leur surcoût (ligne 40) est ajouté au budget comme un coût de test (Budget mensuel, lignes 37 à 40).</t>
  </si>
  <si>
    <t>Non chiffré : le levier L3 rend la location de vaisselle un peu plus chère (montant attendu du loueur Options).</t>
  </si>
  <si>
    <t>Onglet Staffing, scénario S3 des Opérations (soirées récurrentes : leviers L1, L2 et L3 ; 6 OPERATIONS/PRODUCTION/2026 1028 Scénarios de staffing - leviers de coût.md) : effectifs P × heures et coûts horaires H. Les pilotes (S0) sont comptés à part dans le budget</t>
  </si>
  <si>
    <t>Soirées pilotes (équipe complète S0, coût de test)</t>
  </si>
  <si>
    <t>Pilote Premier soir (nombre)</t>
  </si>
  <si>
    <t>Pilote La Grande Nuit (nombre)</t>
  </si>
  <si>
    <t>Surcoût d'équipe des pilotes (inclus dans les coûts directs)</t>
  </si>
  <si>
    <t>Plan des pilotes du Produit (5 PRODUIT/Fou d'un soir plan des deux soirées pilotes.md : Pilote 1 Premier soir, Pilote 2 La Grande Nuit), placés sur la première soirée de chaque offre du budget</t>
  </si>
  <si>
    <t>Idem</t>
  </si>
  <si>
    <t>Équipe complète des pilotes (P, Opérations, 6 OPERATIONS/PRODUCTION/2026 1028 Scénarios de staffing - leviers de coût.md, § 6.1) ; montant : Staffing, ligne 40</t>
  </si>
  <si>
    <t>Scénario S3</t>
  </si>
  <si>
    <t>Mis à jour le 28/10/2026 : le coût de l'équipe d'une soirée (Prix et marges, ligne 26) suit le scénario S3 des Opérations pour les soirées récurrentes (6 OPERATIONS/PRODUCTION/2026 1028 Scénarios de staffing - leviers de coût.md). Les deux pilotes gardent l'équipe complète (S0) : leur surcoût est ajouté aux coûts directs du budget (Budget mensuel, lignes 37 à 40). Le personnel est toujours fourni par Fou d'un soir.</t>
  </si>
  <si>
    <t>Cotisation foncière des entreprises (CFE)</t>
  </si>
  <si>
    <t>H : cotisation minimum (pas de local en année 2, coworking en année 3), dont le montant dépend de la commune et du chiffre d'affaires. Pas de CFE l'année de création (2026), donc rien en année 1 (novembre 2026 à octobre 2027) ; à confirmer par l'expert-comptable (donnée n° 6)</t>
  </si>
  <si>
    <t>TVA : collectée, déductible et reversée, mois par mois (année 1)</t>
  </si>
  <si>
    <t>Effet de la TVA sur la trésorerie. Le compte de résultat reste hors taxes : la TVA ne change ni la marge ni le résultat, seulement le calendrier des encaissements et des décaissements.</t>
  </si>
  <si>
    <t>Paramètre</t>
  </si>
  <si>
    <t>Choix retenu</t>
  </si>
  <si>
    <t>Source et explication</t>
  </si>
  <si>
    <t>Régime</t>
  </si>
  <si>
    <t>Réel normal, déclaration mensuelle</t>
  </si>
  <si>
    <t>H : la TVA nette d'un mois est reversée à l'État le mois suivant ; à confirmer par l'expert-comptable (donnée n° 6)</t>
  </si>
  <si>
    <t>Crédit de TVA</t>
  </si>
  <si>
    <t>Reporté sur les mois suivants</t>
  </si>
  <si>
    <t>H prudente : aucune demande de remboursement. Un remboursement du crédit peut être demandé ; il améliorerait la trésorerie ; à confirmer par l'expert-comptable (donnée n° 6)</t>
  </si>
  <si>
    <t>TVA collectée sur les ventes</t>
  </si>
  <si>
    <t>Taux moyen de chaque offre (Prix et marges, ligne 12)</t>
  </si>
  <si>
    <t>H : 12 % (10 % sur la restauration, 20 % sur les boissons alcoolisées), déjà utilisé pour passer du TTC au HT</t>
  </si>
  <si>
    <t>Coût d'une soirée</t>
  </si>
  <si>
    <t>Ligne de Prix et marges</t>
  </si>
  <si>
    <t>Taux de TVA déductible</t>
  </si>
  <si>
    <t>Lieu (mise à disposition)</t>
  </si>
  <si>
    <t>H : location facturée avec TVA à 20 %</t>
  </si>
  <si>
    <t>Chef (cachet)</t>
  </si>
  <si>
    <t>H prudente : chef indépendant en franchise de TVA, qui ne facture pas de TVA</t>
  </si>
  <si>
    <t>Matières premières</t>
  </si>
  <si>
    <t>23 × convives</t>
  </si>
  <si>
    <t>H : taux réduit des produits alimentaires (5,5 %)</t>
  </si>
  <si>
    <t>Boissons (vins, alcools)</t>
  </si>
  <si>
    <t>24 × convives</t>
  </si>
  <si>
    <t>H : boissons alcoolisées à 20 %</t>
  </si>
  <si>
    <t>Équipe (extras, brigade, plonge)</t>
  </si>
  <si>
    <t>26 et surcoût des pilotes</t>
  </si>
  <si>
    <t>H : extras facturés par une agence avec TVA à 20 % ; 0 % s'ils étaient salariés en direct</t>
  </si>
  <si>
    <t>Ménage</t>
  </si>
  <si>
    <t>H : assurance exonérée de TVA</t>
  </si>
  <si>
    <t>Décor et fleurs</t>
  </si>
  <si>
    <t>30 × chiffre d'affaires</t>
  </si>
  <si>
    <t>H : services financiers exonérés de TVA</t>
  </si>
  <si>
    <t>Commission d'apporteur</t>
  </si>
  <si>
    <t>31 × chiffre d'affaires</t>
  </si>
  <si>
    <t>Photographe</t>
  </si>
  <si>
    <t>H : 0 % si le photographe est en franchise de TVA</t>
  </si>
  <si>
    <t>Par soirée</t>
  </si>
  <si>
    <t>Privatisation</t>
  </si>
  <si>
    <t>Chiffre d'affaires HT</t>
  </si>
  <si>
    <t>Taux de TVA collectée</t>
  </si>
  <si>
    <t>TVA collectée</t>
  </si>
  <si>
    <t>TVA déductible sur les coûts directs</t>
  </si>
  <si>
    <t>TVA nette de la soirée</t>
  </si>
  <si>
    <t>Frais généraux et investissements</t>
  </si>
  <si>
    <t>Ligne du budget</t>
  </si>
  <si>
    <t>Locaux</t>
  </si>
  <si>
    <t>Logiciels et outils</t>
  </si>
  <si>
    <t>H : dîners de concierges au restaurant à 10 %, le reste à 20 % ; 20 % retenu</t>
  </si>
  <si>
    <t>Assurance RC professionnelle</t>
  </si>
  <si>
    <t>H : assurance exonérée</t>
  </si>
  <si>
    <t>Honoraires</t>
  </si>
  <si>
    <t>H : services bancaires exonérés</t>
  </si>
  <si>
    <t>H : transports à 10 %</t>
  </si>
  <si>
    <t>H prudente : frais de greffe sans TVA</t>
  </si>
  <si>
    <t>Investissements de l'année 1 (en novembre)</t>
  </si>
  <si>
    <t>Plan financier, ligne 22</t>
  </si>
  <si>
    <t>Mois par mois</t>
  </si>
  <si>
    <t>TVA reversée à l'État (due du mois précédent)</t>
  </si>
  <si>
    <t>Crédit de TVA à reporter</t>
  </si>
  <si>
    <t>TVA due au titre du mois</t>
  </si>
  <si>
    <t>Crédit de TVA reporté du mois précédent</t>
  </si>
  <si>
    <t>TVA nette du mois (collectée − déductible)</t>
  </si>
  <si>
    <t>TVA déductible sur les investissements</t>
  </si>
  <si>
    <t>TVA déductible sur les frais généraux</t>
  </si>
  <si>
    <t>Effet de la TVA sur la trésorerie</t>
  </si>
  <si>
    <t>Ligne 51 : reprise dans la trésorerie (2 FINANCE/TRESORERIE, Suivi mensuel) : la TVA collectée s'ajoute aux ventes encaissées, la TVA payée aux fournisseurs et la TVA reversée à l'État vont dans « Impôts et TVA ». Colonne Total, ligne 49 : crédit restant en fin d'année ; la TVA due en octobre est payée en novembre 2027, hors de l'horizon.</t>
  </si>
  <si>
    <t>Non modélisés : impôt sur les sociétés (le plan reste en perte sur 3 ans) ; TVA des années 2 et 3 (effet de calendrier, sans effet sur le résultat). Bons cadeaux : traitement de TVA à préciser avec le Juridique.</t>
  </si>
  <si>
    <t>TVA et CFE</t>
  </si>
  <si>
    <t>Mis à jour le 28/10/2026 : onglet « TVA » (taux par poste en hypothèse, TVA collectée, déductible et reversée chaque mois, crédit reporté) ; son effet sur la trésorerie (ligne 51) est repris dans 2 FINANCE/TRESORERIE. CFE ajoutée aux frais généraux des années 2 et 3 (onglet Frais généraux 3 ans, ligne 24). Le compte de résultat reste hors taxes ; pas d'impôt sur les sociétés (pertes).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</si>
</sst>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quot;-&quot;"/>
    <numFmt numFmtId="165" formatCode="0.0%;\-0.0%;&quot;-&quot;"/>
    <numFmt numFmtId="166" formatCode="#,##0.00\ &quot;€&quot;;\-#,##0.00\ &quot;€&quot;;&quot;-&quot;"/>
    <numFmt numFmtId="167" formatCode="#,##0\ &quot;€&quot;;\-#,##0\ &quot;€&quot;;&quot;-&quot;"/>
    <numFmt numFmtId="168" formatCode="mmm\ yyyy"/>
    <numFmt numFmtId="169" formatCode="#,##0.0;\-#,##0.0;&quot;-&quot;"/>
    <numFmt numFmtId="170" formatCode="mmm\ yy"/>
  </numFmts>
  <fonts count="15" x14ac:knownFonts="1">
    <font>
      <sz val="11"/>
      <color theme="1"/>
      <name val="Aptos Narrow"/>
      <family val="2"/>
      <scheme val="minor"/>
    </font>
    <font>
      <sz val="10"/>
      <color theme="1"/>
      <name val="Arial"/>
      <family val="2"/>
    </font>
    <font>
      <b/>
      <sz val="10"/>
      <color theme="1"/>
      <name val="Arial"/>
      <family val="2"/>
    </font>
    <font>
      <b/>
      <sz val="14"/>
      <color theme="1"/>
      <name val="Arial"/>
      <family val="2"/>
    </font>
    <font>
      <i/>
      <sz val="10"/>
      <color theme="1"/>
      <name val="Arial"/>
      <family val="2"/>
    </font>
    <font>
      <b/>
      <sz val="10"/>
      <color rgb="FFFFFFFF"/>
      <name val="Arial"/>
      <family val="2"/>
    </font>
    <font>
      <sz val="10"/>
      <color rgb="FF0000FF"/>
      <name val="Arial"/>
      <family val="2"/>
    </font>
    <font>
      <sz val="10"/>
      <color rgb="FF000000"/>
      <name val="Arial"/>
      <family val="2"/>
    </font>
    <font>
      <b/>
      <sz val="10"/>
      <color rgb="FF000000"/>
      <name val="Arial"/>
      <family val="2"/>
    </font>
    <font>
      <b/>
      <sz val="10"/>
      <color rgb="FF008000"/>
      <name val="Arial"/>
      <family val="2"/>
    </font>
    <font>
      <sz val="10"/>
      <color rgb="FF008000"/>
      <name val="Arial"/>
      <family val="2"/>
    </font>
    <font>
      <b/>
      <sz val="11"/>
      <color theme="1"/>
      <name val="Aptos Narrow"/>
      <family val="2"/>
      <scheme val="minor"/>
    </font>
    <font>
      <sz val="11"/>
      <color rgb="FF0000FF"/>
      <name val="Aptos Narrow"/>
      <family val="2"/>
      <scheme val="minor"/>
    </font>
    <font>
      <b/>
      <sz val="11"/>
      <color rgb="FF000000"/>
      <name val="Aptos Narrow"/>
      <family val="2"/>
      <scheme val="minor"/>
    </font>
    <font>
      <sz val="11"/>
      <color rgb="FF008000"/>
      <name val="Aptos Narrow"/>
      <family val="2"/>
      <scheme val="minor"/>
    </font>
  </fonts>
  <fills count="7">
    <fill>
      <patternFill patternType="none"/>
    </fill>
    <fill>
      <patternFill patternType="gray125"/>
    </fill>
    <fill>
      <patternFill patternType="solid">
        <fgColor rgb="FF1F3864"/>
        <bgColor indexed="64"/>
      </patternFill>
    </fill>
    <fill>
      <patternFill patternType="solid">
        <fgColor rgb="FFDDEBF7"/>
        <bgColor indexed="64"/>
      </patternFill>
    </fill>
    <fill>
      <patternFill patternType="solid">
        <fgColor rgb="FFFFF2CC"/>
        <bgColor indexed="64"/>
      </patternFill>
    </fill>
    <fill>
      <patternFill patternType="solid">
        <fgColor rgb="FFF2F2F2"/>
        <bgColor indexed="64"/>
      </patternFill>
    </fill>
    <fill>
      <patternFill patternType="solid">
        <fgColor rgb="FFD9D9D9"/>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6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5" fillId="2" borderId="0" xfId="0" applyFont="1" applyFill="1" applyAlignment="1">
      <alignment vertical="center" wrapText="1"/>
    </xf>
    <xf numFmtId="0" fontId="1" fillId="0" borderId="0" xfId="0" applyFont="1" applyAlignment="1">
      <alignment wrapText="1"/>
    </xf>
    <xf numFmtId="0" fontId="2" fillId="0" borderId="0" xfId="0" applyFont="1" applyAlignment="1">
      <alignment vertical="top"/>
    </xf>
    <xf numFmtId="0" fontId="1" fillId="0" borderId="0" xfId="0" applyFont="1" applyAlignment="1">
      <alignment vertical="top" wrapText="1"/>
    </xf>
    <xf numFmtId="0" fontId="2" fillId="3" borderId="0" xfId="0" applyFont="1" applyFill="1"/>
    <xf numFmtId="0" fontId="6" fillId="4" borderId="1" xfId="0" applyFont="1" applyFill="1" applyBorder="1"/>
    <xf numFmtId="164" fontId="6" fillId="4" borderId="1" xfId="0" applyNumberFormat="1" applyFont="1" applyFill="1" applyBorder="1"/>
    <xf numFmtId="164" fontId="7" fillId="5" borderId="1" xfId="0" applyNumberFormat="1" applyFont="1" applyFill="1" applyBorder="1"/>
    <xf numFmtId="164" fontId="8" fillId="5" borderId="1" xfId="0" applyNumberFormat="1" applyFont="1" applyFill="1" applyBorder="1"/>
    <xf numFmtId="167" fontId="6" fillId="4" borderId="1" xfId="0" applyNumberFormat="1" applyFont="1" applyFill="1" applyBorder="1"/>
    <xf numFmtId="167" fontId="7" fillId="5" borderId="1" xfId="0" applyNumberFormat="1" applyFont="1" applyFill="1" applyBorder="1"/>
    <xf numFmtId="167" fontId="8" fillId="5" borderId="1" xfId="0" applyNumberFormat="1" applyFont="1" applyFill="1" applyBorder="1"/>
    <xf numFmtId="0" fontId="6" fillId="4" borderId="1" xfId="0" applyFont="1" applyFill="1" applyBorder="1" applyAlignment="1">
      <alignment wrapText="1"/>
    </xf>
    <xf numFmtId="0" fontId="1" fillId="0" borderId="0" xfId="0" applyFont="1" applyAlignment="1">
      <alignment vertical="top"/>
    </xf>
    <xf numFmtId="164" fontId="6" fillId="4" borderId="1" xfId="0" applyNumberFormat="1" applyFont="1" applyFill="1" applyBorder="1" applyAlignment="1">
      <alignment vertical="top"/>
    </xf>
    <xf numFmtId="0" fontId="6" fillId="4" borderId="1" xfId="0" applyFont="1" applyFill="1" applyBorder="1" applyAlignment="1">
      <alignment vertical="top"/>
    </xf>
    <xf numFmtId="0" fontId="6" fillId="4" borderId="1" xfId="0" applyFont="1" applyFill="1" applyBorder="1" applyAlignment="1">
      <alignment vertical="top" wrapText="1"/>
    </xf>
    <xf numFmtId="165" fontId="6" fillId="4" borderId="1" xfId="0" applyNumberFormat="1" applyFont="1" applyFill="1" applyBorder="1" applyAlignment="1">
      <alignment vertical="top"/>
    </xf>
    <xf numFmtId="164" fontId="8" fillId="5" borderId="1" xfId="0" applyNumberFormat="1" applyFont="1" applyFill="1" applyBorder="1" applyAlignment="1">
      <alignment vertical="top"/>
    </xf>
    <xf numFmtId="166" fontId="6" fillId="4" borderId="1" xfId="0" applyNumberFormat="1" applyFont="1" applyFill="1" applyBorder="1" applyAlignment="1">
      <alignment vertical="top"/>
    </xf>
    <xf numFmtId="167" fontId="6" fillId="4" borderId="1" xfId="0" applyNumberFormat="1" applyFont="1" applyFill="1" applyBorder="1" applyAlignment="1">
      <alignment vertical="top"/>
    </xf>
    <xf numFmtId="166" fontId="8" fillId="5" borderId="1" xfId="0" applyNumberFormat="1" applyFont="1" applyFill="1" applyBorder="1" applyAlignment="1">
      <alignment vertical="top"/>
    </xf>
    <xf numFmtId="167" fontId="8" fillId="5" borderId="1" xfId="0" applyNumberFormat="1" applyFont="1" applyFill="1" applyBorder="1" applyAlignment="1">
      <alignment vertical="top"/>
    </xf>
    <xf numFmtId="0" fontId="2" fillId="3" borderId="0" xfId="0" applyFont="1" applyFill="1" applyAlignment="1">
      <alignment vertical="top"/>
    </xf>
    <xf numFmtId="0" fontId="2" fillId="3" borderId="0" xfId="0" applyFont="1" applyFill="1" applyAlignment="1">
      <alignment vertical="top" wrapText="1"/>
    </xf>
    <xf numFmtId="165" fontId="8" fillId="5" borderId="1" xfId="0" applyNumberFormat="1" applyFont="1" applyFill="1" applyBorder="1" applyAlignment="1">
      <alignment vertical="top"/>
    </xf>
    <xf numFmtId="168" fontId="6" fillId="4" borderId="1" xfId="0" applyNumberFormat="1" applyFont="1" applyFill="1" applyBorder="1"/>
    <xf numFmtId="168" fontId="5" fillId="2" borderId="0" xfId="0" applyNumberFormat="1" applyFont="1" applyFill="1" applyAlignment="1">
      <alignment horizontal="right"/>
    </xf>
    <xf numFmtId="167" fontId="9" fillId="5" borderId="1" xfId="0" applyNumberFormat="1" applyFont="1" applyFill="1" applyBorder="1"/>
    <xf numFmtId="164" fontId="10" fillId="5" borderId="1" xfId="0" applyNumberFormat="1" applyFont="1" applyFill="1" applyBorder="1"/>
    <xf numFmtId="167" fontId="10" fillId="5" borderId="1" xfId="0" applyNumberFormat="1" applyFont="1" applyFill="1" applyBorder="1"/>
    <xf numFmtId="164" fontId="10" fillId="5" borderId="1" xfId="0" applyNumberFormat="1" applyFont="1" applyFill="1" applyBorder="1" applyAlignment="1">
      <alignment vertical="top"/>
    </xf>
    <xf numFmtId="167" fontId="9" fillId="5" borderId="1" xfId="0" applyNumberFormat="1" applyFont="1" applyFill="1" applyBorder="1" applyAlignment="1">
      <alignment vertical="top"/>
    </xf>
    <xf numFmtId="169" fontId="8" fillId="5" borderId="1" xfId="0" applyNumberFormat="1" applyFont="1" applyFill="1" applyBorder="1" applyAlignment="1">
      <alignment vertical="top"/>
    </xf>
    <xf numFmtId="0" fontId="12" fillId="4" borderId="1" xfId="0" applyFont="1" applyFill="1" applyBorder="1"/>
    <xf numFmtId="167" fontId="12" fillId="4" borderId="1" xfId="0" applyNumberFormat="1" applyFont="1" applyFill="1" applyBorder="1"/>
    <xf numFmtId="167" fontId="13" fillId="5" borderId="1" xfId="0" applyNumberFormat="1" applyFont="1" applyFill="1" applyBorder="1"/>
    <xf numFmtId="0" fontId="11" fillId="3" borderId="0" xfId="0" applyFont="1" applyFill="1"/>
    <xf numFmtId="0" fontId="11" fillId="0" borderId="0" xfId="0" applyFont="1"/>
    <xf numFmtId="0" fontId="2" fillId="6" borderId="0" xfId="0" applyFont="1" applyFill="1"/>
    <xf numFmtId="167" fontId="8" fillId="6" borderId="1" xfId="0" applyNumberFormat="1" applyFont="1" applyFill="1" applyBorder="1"/>
    <xf numFmtId="165" fontId="6" fillId="4" borderId="1" xfId="0" applyNumberFormat="1" applyFont="1" applyFill="1" applyBorder="1"/>
    <xf numFmtId="167" fontId="7" fillId="5" borderId="1" xfId="0" applyNumberFormat="1" applyFont="1" applyFill="1" applyBorder="1" applyAlignment="1">
      <alignment vertical="top"/>
    </xf>
    <xf numFmtId="0" fontId="5" fillId="2" borderId="0" xfId="0" applyFont="1" applyFill="1" applyAlignment="1">
      <alignment vertical="top" wrapText="1"/>
    </xf>
    <xf numFmtId="167" fontId="14" fillId="5" borderId="1" xfId="0" applyNumberFormat="1" applyFont="1" applyFill="1" applyBorder="1"/>
    <xf numFmtId="0" fontId="12" fillId="4" borderId="1" xfId="0" applyFont="1" applyFill="1" applyBorder="1" applyAlignment="1">
      <alignment wrapText="1"/>
    </xf>
    <xf numFmtId="169" fontId="6" fillId="4" borderId="1" xfId="0" applyNumberFormat="1" applyFont="1" applyFill="1" applyBorder="1" applyAlignment="1">
      <alignment vertical="top"/>
    </xf>
    <xf numFmtId="1" fontId="6" fillId="4" borderId="1" xfId="0" applyNumberFormat="1" applyFont="1" applyFill="1" applyBorder="1" applyAlignment="1">
      <alignment vertical="top"/>
    </xf>
    <xf numFmtId="167" fontId="10" fillId="5" borderId="1" xfId="0" applyNumberFormat="1" applyFont="1" applyFill="1" applyBorder="1" applyAlignment="1">
      <alignment vertical="top"/>
    </xf>
    <xf numFmtId="0" fontId="6" fillId="0" borderId="0" xfId="0" applyFont="1"/>
    <xf numFmtId="0" fontId="7" fillId="5" borderId="1" xfId="0" applyFont="1" applyFill="1" applyBorder="1" applyAlignment="1">
      <alignment vertical="top"/>
    </xf>
    <xf numFmtId="169" fontId="7" fillId="5" borderId="1" xfId="0" applyNumberFormat="1" applyFont="1" applyFill="1" applyBorder="1" applyAlignment="1">
      <alignment vertical="top"/>
    </xf>
    <xf numFmtId="166" fontId="7" fillId="5" borderId="1" xfId="0" applyNumberFormat="1" applyFont="1" applyFill="1" applyBorder="1" applyAlignment="1">
      <alignment vertical="top"/>
    </xf>
    <xf numFmtId="1" fontId="7" fillId="5" borderId="1" xfId="0" applyNumberFormat="1" applyFont="1" applyFill="1" applyBorder="1" applyAlignment="1">
      <alignment vertical="top"/>
    </xf>
    <xf numFmtId="165" fontId="7" fillId="5" borderId="1" xfId="0" applyNumberFormat="1" applyFont="1" applyFill="1" applyBorder="1"/>
    <xf numFmtId="170" fontId="5" fillId="2" borderId="0" xfId="0" applyNumberFormat="1" applyFont="1" applyFill="1"/>
    <xf numFmtId="0" fontId="1"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A644DB-8C71-4A8A-A457-0A27A3813ADD}">
  <dimension ref="A1:B20"/>
  <sheetViews>
    <sheetView tabSelected="1" zoomScaleNormal="100" workbookViewId="0"/>
  </sheetViews>
  <sheetFormatPr baseColWidth="10" defaultRowHeight="12.5" x14ac:dyDescent="0.25"/>
  <cols>
    <col min="1" max="1" width="26.6328125" style="1" customWidth="1"/>
    <col min="2" max="2" width="110.6328125" style="1" customWidth="1"/>
    <col min="3" max="16384" width="10.90625" style="1"/>
  </cols>
  <sheetData>
    <row r="1" spans="1:2" ht="18" x14ac:dyDescent="0.4">
      <c r="A1" s="3" t="s">
        <v>0</v>
      </c>
    </row>
    <row r="2" spans="1:2" ht="13" x14ac:dyDescent="0.3">
      <c r="A2" s="4" t="s">
        <v>1</v>
      </c>
    </row>
    <row r="4" spans="1:2" ht="13" x14ac:dyDescent="0.25">
      <c r="A4" s="6" t="s">
        <v>2</v>
      </c>
      <c r="B4" s="6" t="s">
        <v>3</v>
      </c>
    </row>
    <row r="5" spans="1:2" ht="13" x14ac:dyDescent="0.25">
      <c r="A5" s="8" t="s">
        <v>4</v>
      </c>
      <c r="B5" s="9" t="s">
        <v>5</v>
      </c>
    </row>
    <row r="6" spans="1:2" ht="37.5" x14ac:dyDescent="0.25">
      <c r="A6" s="8" t="s">
        <v>6</v>
      </c>
      <c r="B6" s="9" t="s">
        <v>7</v>
      </c>
    </row>
    <row r="7" spans="1:2" ht="37.5" x14ac:dyDescent="0.25">
      <c r="A7" s="8" t="s">
        <v>8</v>
      </c>
      <c r="B7" s="9" t="s">
        <v>9</v>
      </c>
    </row>
    <row r="8" spans="1:2" ht="25" x14ac:dyDescent="0.25">
      <c r="A8" s="8" t="s">
        <v>10</v>
      </c>
      <c r="B8" s="9" t="s">
        <v>11</v>
      </c>
    </row>
    <row r="9" spans="1:2" ht="25" x14ac:dyDescent="0.25">
      <c r="A9" s="8" t="s">
        <v>12</v>
      </c>
      <c r="B9" s="9" t="s">
        <v>13</v>
      </c>
    </row>
    <row r="10" spans="1:2" ht="25" x14ac:dyDescent="0.25">
      <c r="A10" s="8" t="s">
        <v>14</v>
      </c>
      <c r="B10" s="9" t="s">
        <v>15</v>
      </c>
    </row>
    <row r="11" spans="1:2" ht="25" x14ac:dyDescent="0.25">
      <c r="A11" s="8" t="s">
        <v>16</v>
      </c>
      <c r="B11" s="9" t="s">
        <v>17</v>
      </c>
    </row>
    <row r="12" spans="1:2" ht="25" x14ac:dyDescent="0.25">
      <c r="A12" s="8" t="s">
        <v>18</v>
      </c>
      <c r="B12" s="9" t="s">
        <v>19</v>
      </c>
    </row>
    <row r="13" spans="1:2" ht="25" x14ac:dyDescent="0.25">
      <c r="A13" s="8" t="s">
        <v>20</v>
      </c>
      <c r="B13" s="9" t="s">
        <v>21</v>
      </c>
    </row>
    <row r="14" spans="1:2" ht="13" x14ac:dyDescent="0.25">
      <c r="A14" s="8" t="s">
        <v>22</v>
      </c>
      <c r="B14" s="9" t="s">
        <v>23</v>
      </c>
    </row>
    <row r="15" spans="1:2" ht="37.5" x14ac:dyDescent="0.25">
      <c r="A15" s="8" t="s">
        <v>24</v>
      </c>
      <c r="B15" s="9" t="s">
        <v>25</v>
      </c>
    </row>
    <row r="16" spans="1:2" ht="25" x14ac:dyDescent="0.25">
      <c r="A16" s="8" t="s">
        <v>26</v>
      </c>
      <c r="B16" s="9" t="s">
        <v>27</v>
      </c>
    </row>
    <row r="17" spans="1:2" ht="37.5" x14ac:dyDescent="0.25">
      <c r="A17" s="8" t="s">
        <v>224</v>
      </c>
      <c r="B17" s="9" t="s">
        <v>225</v>
      </c>
    </row>
    <row r="18" spans="1:2" ht="50" x14ac:dyDescent="0.25">
      <c r="A18" s="8" t="s">
        <v>255</v>
      </c>
      <c r="B18" s="9" t="s">
        <v>256</v>
      </c>
    </row>
    <row r="19" spans="1:2" ht="50" x14ac:dyDescent="0.25">
      <c r="A19" s="8" t="s">
        <v>285</v>
      </c>
      <c r="B19" s="9" t="s">
        <v>286</v>
      </c>
    </row>
    <row r="20" spans="1:2" ht="37.5" x14ac:dyDescent="0.25">
      <c r="A20" s="8" t="s">
        <v>359</v>
      </c>
      <c r="B20" s="9" t="s">
        <v>360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1D319-BD4D-4D17-92CD-E81490C46EAF}">
  <dimension ref="A1:I43"/>
  <sheetViews>
    <sheetView zoomScaleNormal="100" workbookViewId="0">
      <pane ySplit="5" topLeftCell="A6" activePane="bottomLeft" state="frozenSplit"/>
      <selection pane="bottomLeft"/>
    </sheetView>
  </sheetViews>
  <sheetFormatPr baseColWidth="10" defaultRowHeight="12.5" x14ac:dyDescent="0.25"/>
  <cols>
    <col min="1" max="1" width="50.6328125" style="1" customWidth="1"/>
    <col min="2" max="2" width="18.6328125" style="1" customWidth="1"/>
    <col min="3" max="5" width="15.6328125" style="1" customWidth="1"/>
    <col min="6" max="6" width="17.6328125" style="1" customWidth="1"/>
    <col min="7" max="7" width="8.6328125" style="1" customWidth="1"/>
    <col min="8" max="8" width="60.6328125" style="1" customWidth="1"/>
    <col min="9" max="9" width="12.6328125" style="1" customWidth="1"/>
    <col min="10" max="16384" width="10.90625" style="1"/>
  </cols>
  <sheetData>
    <row r="1" spans="1:9" ht="18" x14ac:dyDescent="0.4">
      <c r="A1" s="3" t="s">
        <v>28</v>
      </c>
    </row>
    <row r="2" spans="1:9" ht="13" x14ac:dyDescent="0.3">
      <c r="A2" s="4" t="s">
        <v>29</v>
      </c>
    </row>
    <row r="3" spans="1:9" ht="13" x14ac:dyDescent="0.3">
      <c r="A3" s="4" t="s">
        <v>30</v>
      </c>
    </row>
    <row r="5" spans="1:9" ht="42" customHeight="1" x14ac:dyDescent="0.25">
      <c r="A5" s="6" t="s">
        <v>31</v>
      </c>
      <c r="B5" s="6" t="s">
        <v>32</v>
      </c>
      <c r="C5" s="6" t="s">
        <v>33</v>
      </c>
      <c r="D5" s="6" t="s">
        <v>34</v>
      </c>
      <c r="E5" s="6" t="s">
        <v>35</v>
      </c>
      <c r="F5" s="6" t="s">
        <v>36</v>
      </c>
      <c r="G5" s="6" t="s">
        <v>37</v>
      </c>
      <c r="H5" s="6" t="s">
        <v>38</v>
      </c>
      <c r="I5" s="6" t="s">
        <v>39</v>
      </c>
    </row>
    <row r="6" spans="1:9" ht="13" x14ac:dyDescent="0.3">
      <c r="A6" s="10" t="s">
        <v>40</v>
      </c>
      <c r="B6" s="10"/>
      <c r="C6" s="10"/>
      <c r="D6" s="10"/>
      <c r="E6" s="10"/>
      <c r="F6" s="10"/>
      <c r="G6" s="10"/>
      <c r="H6" s="10"/>
      <c r="I6" s="10"/>
    </row>
    <row r="7" spans="1:9" ht="37.5" x14ac:dyDescent="0.25">
      <c r="A7" s="19" t="s">
        <v>41</v>
      </c>
      <c r="B7" s="19" t="s">
        <v>42</v>
      </c>
      <c r="C7" s="20">
        <v>24</v>
      </c>
      <c r="D7" s="20">
        <v>24</v>
      </c>
      <c r="E7" s="20">
        <v>20</v>
      </c>
      <c r="F7" s="20">
        <v>10</v>
      </c>
      <c r="G7" s="21" t="s">
        <v>86</v>
      </c>
      <c r="H7" s="22" t="s">
        <v>87</v>
      </c>
      <c r="I7" s="21" t="s">
        <v>88</v>
      </c>
    </row>
    <row r="8" spans="1:9" ht="37.5" x14ac:dyDescent="0.25">
      <c r="A8" s="19" t="s">
        <v>43</v>
      </c>
      <c r="B8" s="19" t="s">
        <v>44</v>
      </c>
      <c r="C8" s="23">
        <v>0.8</v>
      </c>
      <c r="D8" s="23">
        <v>0.8</v>
      </c>
      <c r="E8" s="23">
        <v>0.8</v>
      </c>
      <c r="F8" s="23">
        <v>1</v>
      </c>
      <c r="G8" s="21" t="s">
        <v>89</v>
      </c>
      <c r="H8" s="22" t="s">
        <v>90</v>
      </c>
      <c r="I8" s="21" t="s">
        <v>91</v>
      </c>
    </row>
    <row r="9" spans="1:9" ht="13" x14ac:dyDescent="0.25">
      <c r="A9" s="8" t="s">
        <v>45</v>
      </c>
      <c r="B9" s="8" t="s">
        <v>46</v>
      </c>
      <c r="C9" s="24">
        <f t="shared" ref="C9:F9" si="0">ROUND(C7*C8,0)</f>
        <v>19</v>
      </c>
      <c r="D9" s="24">
        <f t="shared" si="0"/>
        <v>19</v>
      </c>
      <c r="E9" s="24">
        <f t="shared" si="0"/>
        <v>16</v>
      </c>
      <c r="F9" s="24">
        <f t="shared" si="0"/>
        <v>10</v>
      </c>
      <c r="G9" s="21"/>
      <c r="H9" s="22"/>
      <c r="I9" s="21"/>
    </row>
    <row r="10" spans="1:9" ht="25" x14ac:dyDescent="0.25">
      <c r="A10" s="19" t="s">
        <v>47</v>
      </c>
      <c r="B10" s="19" t="s">
        <v>48</v>
      </c>
      <c r="C10" s="25">
        <v>290</v>
      </c>
      <c r="D10" s="25">
        <v>420</v>
      </c>
      <c r="E10" s="25">
        <v>690</v>
      </c>
      <c r="F10" s="25">
        <v>300</v>
      </c>
      <c r="G10" s="21" t="s">
        <v>86</v>
      </c>
      <c r="H10" s="22" t="s">
        <v>92</v>
      </c>
      <c r="I10" s="21" t="s">
        <v>88</v>
      </c>
    </row>
    <row r="11" spans="1:9" ht="37.5" x14ac:dyDescent="0.25">
      <c r="A11" s="19" t="s">
        <v>49</v>
      </c>
      <c r="B11" s="19" t="s">
        <v>50</v>
      </c>
      <c r="C11" s="26">
        <v>0</v>
      </c>
      <c r="D11" s="26">
        <v>0</v>
      </c>
      <c r="E11" s="26">
        <v>0</v>
      </c>
      <c r="F11" s="26">
        <v>6000</v>
      </c>
      <c r="G11" s="21" t="s">
        <v>86</v>
      </c>
      <c r="H11" s="22" t="s">
        <v>93</v>
      </c>
      <c r="I11" s="21" t="s">
        <v>88</v>
      </c>
    </row>
    <row r="12" spans="1:9" ht="50" x14ac:dyDescent="0.25">
      <c r="A12" s="19" t="s">
        <v>51</v>
      </c>
      <c r="B12" s="19" t="s">
        <v>52</v>
      </c>
      <c r="C12" s="23">
        <v>0.12</v>
      </c>
      <c r="D12" s="23">
        <v>0.12</v>
      </c>
      <c r="E12" s="23">
        <v>0.12</v>
      </c>
      <c r="F12" s="23">
        <v>0.12</v>
      </c>
      <c r="G12" s="21" t="s">
        <v>89</v>
      </c>
      <c r="H12" s="22" t="s">
        <v>94</v>
      </c>
      <c r="I12" s="21" t="s">
        <v>91</v>
      </c>
    </row>
    <row r="13" spans="1:9" ht="13" x14ac:dyDescent="0.25">
      <c r="A13" s="8" t="s">
        <v>53</v>
      </c>
      <c r="B13" s="8" t="s">
        <v>54</v>
      </c>
      <c r="C13" s="27">
        <f t="shared" ref="C13:F13" si="1">C10/(1+C12)</f>
        <v>258.92857142857139</v>
      </c>
      <c r="D13" s="27">
        <f t="shared" si="1"/>
        <v>374.99999999999994</v>
      </c>
      <c r="E13" s="27">
        <f t="shared" si="1"/>
        <v>616.07142857142856</v>
      </c>
      <c r="F13" s="27">
        <f t="shared" si="1"/>
        <v>267.85714285714283</v>
      </c>
      <c r="G13" s="21"/>
      <c r="H13" s="22"/>
      <c r="I13" s="21"/>
    </row>
    <row r="14" spans="1:9" ht="13" x14ac:dyDescent="0.25">
      <c r="A14" s="8" t="s">
        <v>55</v>
      </c>
      <c r="B14" s="8" t="s">
        <v>56</v>
      </c>
      <c r="C14" s="28">
        <f t="shared" ref="C14:F14" si="2">C11/(1+C12)</f>
        <v>0</v>
      </c>
      <c r="D14" s="28">
        <f t="shared" si="2"/>
        <v>0</v>
      </c>
      <c r="E14" s="28">
        <f t="shared" si="2"/>
        <v>0</v>
      </c>
      <c r="F14" s="28">
        <f t="shared" si="2"/>
        <v>5357.1428571428569</v>
      </c>
      <c r="G14" s="21"/>
      <c r="H14" s="22"/>
      <c r="I14" s="21"/>
    </row>
    <row r="15" spans="1:9" x14ac:dyDescent="0.25">
      <c r="A15" s="19" t="s">
        <v>57</v>
      </c>
      <c r="B15" s="19" t="s">
        <v>56</v>
      </c>
      <c r="C15" s="26">
        <v>0</v>
      </c>
      <c r="D15" s="26">
        <v>0</v>
      </c>
      <c r="E15" s="26">
        <v>0</v>
      </c>
      <c r="F15" s="26">
        <v>0</v>
      </c>
      <c r="G15" s="21" t="s">
        <v>89</v>
      </c>
      <c r="H15" s="22" t="s">
        <v>95</v>
      </c>
      <c r="I15" s="21" t="s">
        <v>88</v>
      </c>
    </row>
    <row r="16" spans="1:9" ht="25" x14ac:dyDescent="0.25">
      <c r="A16" s="19" t="s">
        <v>58</v>
      </c>
      <c r="B16" s="19" t="s">
        <v>56</v>
      </c>
      <c r="C16" s="26">
        <v>0</v>
      </c>
      <c r="D16" s="26">
        <v>0</v>
      </c>
      <c r="E16" s="26">
        <v>0</v>
      </c>
      <c r="F16" s="26">
        <v>0</v>
      </c>
      <c r="G16" s="21" t="s">
        <v>89</v>
      </c>
      <c r="H16" s="22" t="s">
        <v>96</v>
      </c>
      <c r="I16" s="21" t="s">
        <v>97</v>
      </c>
    </row>
    <row r="17" spans="1:9" ht="13" x14ac:dyDescent="0.25">
      <c r="A17" s="8" t="s">
        <v>59</v>
      </c>
      <c r="B17" s="8" t="s">
        <v>56</v>
      </c>
      <c r="C17" s="28">
        <f t="shared" ref="C17:F17" si="3">MAX(C9*C13+C14,C15)+C16</f>
        <v>4919.642857142856</v>
      </c>
      <c r="D17" s="28">
        <f t="shared" si="3"/>
        <v>7124.9999999999991</v>
      </c>
      <c r="E17" s="28">
        <f t="shared" si="3"/>
        <v>9857.1428571428569</v>
      </c>
      <c r="F17" s="28">
        <f t="shared" si="3"/>
        <v>8035.7142857142853</v>
      </c>
      <c r="G17" s="21"/>
      <c r="H17" s="22"/>
      <c r="I17" s="21"/>
    </row>
    <row r="18" spans="1:9" ht="13" x14ac:dyDescent="0.25">
      <c r="A18" s="29" t="s">
        <v>60</v>
      </c>
      <c r="B18" s="29"/>
      <c r="C18" s="29"/>
      <c r="D18" s="29"/>
      <c r="E18" s="29"/>
      <c r="F18" s="29"/>
      <c r="G18" s="29"/>
      <c r="H18" s="30"/>
      <c r="I18" s="29"/>
    </row>
    <row r="19" spans="1:9" ht="50" x14ac:dyDescent="0.25">
      <c r="A19" s="19" t="s">
        <v>61</v>
      </c>
      <c r="B19" s="19" t="s">
        <v>56</v>
      </c>
      <c r="C19" s="26">
        <v>1500</v>
      </c>
      <c r="D19" s="26">
        <v>1500</v>
      </c>
      <c r="E19" s="26">
        <v>2500</v>
      </c>
      <c r="F19" s="26">
        <v>2000</v>
      </c>
      <c r="G19" s="21" t="s">
        <v>89</v>
      </c>
      <c r="H19" s="22" t="s">
        <v>98</v>
      </c>
      <c r="I19" s="21" t="s">
        <v>97</v>
      </c>
    </row>
    <row r="20" spans="1:9" ht="50" x14ac:dyDescent="0.25">
      <c r="A20" s="19" t="s">
        <v>62</v>
      </c>
      <c r="B20" s="19" t="s">
        <v>56</v>
      </c>
      <c r="C20" s="26">
        <v>950</v>
      </c>
      <c r="D20" s="26">
        <v>2000</v>
      </c>
      <c r="E20" s="26">
        <v>3700</v>
      </c>
      <c r="F20" s="26">
        <v>1800</v>
      </c>
      <c r="G20" s="21" t="s">
        <v>89</v>
      </c>
      <c r="H20" s="22" t="s">
        <v>99</v>
      </c>
      <c r="I20" s="21" t="s">
        <v>97</v>
      </c>
    </row>
    <row r="21" spans="1:9" ht="25" x14ac:dyDescent="0.25">
      <c r="A21" s="19" t="s">
        <v>63</v>
      </c>
      <c r="B21" s="19" t="s">
        <v>64</v>
      </c>
      <c r="C21" s="23">
        <v>0</v>
      </c>
      <c r="D21" s="23">
        <v>0</v>
      </c>
      <c r="E21" s="23">
        <v>0</v>
      </c>
      <c r="F21" s="23">
        <v>0</v>
      </c>
      <c r="G21" s="21" t="s">
        <v>89</v>
      </c>
      <c r="H21" s="22" t="s">
        <v>100</v>
      </c>
      <c r="I21" s="21" t="s">
        <v>97</v>
      </c>
    </row>
    <row r="22" spans="1:9" ht="13" x14ac:dyDescent="0.25">
      <c r="A22" s="8" t="s">
        <v>65</v>
      </c>
      <c r="B22" s="8" t="s">
        <v>56</v>
      </c>
      <c r="C22" s="28">
        <f t="shared" ref="C22:F22" si="4">C20+C21*C17</f>
        <v>950</v>
      </c>
      <c r="D22" s="28">
        <f t="shared" si="4"/>
        <v>2000</v>
      </c>
      <c r="E22" s="28">
        <f t="shared" si="4"/>
        <v>3700</v>
      </c>
      <c r="F22" s="28">
        <f t="shared" si="4"/>
        <v>1800</v>
      </c>
      <c r="G22" s="21"/>
      <c r="H22" s="22"/>
      <c r="I22" s="21"/>
    </row>
    <row r="23" spans="1:9" ht="37.5" x14ac:dyDescent="0.25">
      <c r="A23" s="19" t="s">
        <v>66</v>
      </c>
      <c r="B23" s="19" t="s">
        <v>54</v>
      </c>
      <c r="C23" s="25">
        <v>55</v>
      </c>
      <c r="D23" s="25">
        <v>70</v>
      </c>
      <c r="E23" s="25">
        <v>100</v>
      </c>
      <c r="F23" s="25">
        <v>50</v>
      </c>
      <c r="G23" s="21" t="s">
        <v>89</v>
      </c>
      <c r="H23" s="22" t="s">
        <v>101</v>
      </c>
      <c r="I23" s="21" t="s">
        <v>102</v>
      </c>
    </row>
    <row r="24" spans="1:9" ht="25" x14ac:dyDescent="0.25">
      <c r="A24" s="19" t="s">
        <v>67</v>
      </c>
      <c r="B24" s="19" t="s">
        <v>54</v>
      </c>
      <c r="C24" s="25">
        <v>30</v>
      </c>
      <c r="D24" s="25">
        <v>42</v>
      </c>
      <c r="E24" s="25">
        <v>66</v>
      </c>
      <c r="F24" s="25">
        <v>30</v>
      </c>
      <c r="G24" s="21" t="s">
        <v>89</v>
      </c>
      <c r="H24" s="22" t="s">
        <v>103</v>
      </c>
      <c r="I24" s="21" t="s">
        <v>102</v>
      </c>
    </row>
    <row r="25" spans="1:9" ht="13" x14ac:dyDescent="0.25">
      <c r="A25" s="8" t="s">
        <v>68</v>
      </c>
      <c r="B25" s="8" t="s">
        <v>56</v>
      </c>
      <c r="C25" s="28">
        <f t="shared" ref="C25:F25" si="5">C9*(C23+C24)</f>
        <v>1615</v>
      </c>
      <c r="D25" s="28">
        <f t="shared" si="5"/>
        <v>2128</v>
      </c>
      <c r="E25" s="28">
        <f t="shared" si="5"/>
        <v>2656</v>
      </c>
      <c r="F25" s="28">
        <f t="shared" si="5"/>
        <v>800</v>
      </c>
      <c r="G25" s="21"/>
      <c r="H25" s="22"/>
      <c r="I25" s="21"/>
    </row>
    <row r="26" spans="1:9" ht="50" x14ac:dyDescent="0.25">
      <c r="A26" s="19" t="s">
        <v>254</v>
      </c>
      <c r="B26" s="19" t="s">
        <v>56</v>
      </c>
      <c r="C26" s="54">
        <f>Staffing!D39</f>
        <v>2936</v>
      </c>
      <c r="D26" s="54">
        <f>Staffing!E39</f>
        <v>2936</v>
      </c>
      <c r="E26" s="54">
        <f>Staffing!F39</f>
        <v>2621</v>
      </c>
      <c r="F26" s="54">
        <f>Staffing!G39</f>
        <v>2040</v>
      </c>
      <c r="G26" s="21" t="s">
        <v>253</v>
      </c>
      <c r="H26" s="22" t="s">
        <v>277</v>
      </c>
      <c r="I26" s="21" t="s">
        <v>102</v>
      </c>
    </row>
    <row r="27" spans="1:9" x14ac:dyDescent="0.25">
      <c r="A27" s="19" t="s">
        <v>69</v>
      </c>
      <c r="B27" s="19" t="s">
        <v>56</v>
      </c>
      <c r="C27" s="26">
        <v>150</v>
      </c>
      <c r="D27" s="26">
        <v>150</v>
      </c>
      <c r="E27" s="26">
        <v>150</v>
      </c>
      <c r="F27" s="26">
        <v>150</v>
      </c>
      <c r="G27" s="21" t="s">
        <v>89</v>
      </c>
      <c r="H27" s="22" t="s">
        <v>104</v>
      </c>
      <c r="I27" s="21" t="s">
        <v>102</v>
      </c>
    </row>
    <row r="28" spans="1:9" x14ac:dyDescent="0.25">
      <c r="A28" s="19" t="s">
        <v>70</v>
      </c>
      <c r="B28" s="19" t="s">
        <v>56</v>
      </c>
      <c r="C28" s="26">
        <v>150</v>
      </c>
      <c r="D28" s="26">
        <v>150</v>
      </c>
      <c r="E28" s="26">
        <v>150</v>
      </c>
      <c r="F28" s="26">
        <v>150</v>
      </c>
      <c r="G28" s="21" t="s">
        <v>89</v>
      </c>
      <c r="H28" s="22" t="s">
        <v>105</v>
      </c>
      <c r="I28" s="21" t="s">
        <v>106</v>
      </c>
    </row>
    <row r="29" spans="1:9" x14ac:dyDescent="0.25">
      <c r="A29" s="19" t="s">
        <v>71</v>
      </c>
      <c r="B29" s="19" t="s">
        <v>56</v>
      </c>
      <c r="C29" s="26">
        <v>200</v>
      </c>
      <c r="D29" s="26">
        <v>250</v>
      </c>
      <c r="E29" s="26">
        <v>300</v>
      </c>
      <c r="F29" s="26">
        <v>150</v>
      </c>
      <c r="G29" s="21" t="s">
        <v>89</v>
      </c>
      <c r="H29" s="22" t="s">
        <v>107</v>
      </c>
      <c r="I29" s="21" t="s">
        <v>102</v>
      </c>
    </row>
    <row r="30" spans="1:9" ht="37.5" x14ac:dyDescent="0.25">
      <c r="A30" s="19" t="s">
        <v>72</v>
      </c>
      <c r="B30" s="19" t="s">
        <v>64</v>
      </c>
      <c r="C30" s="23">
        <v>1.6E-2</v>
      </c>
      <c r="D30" s="23">
        <v>1.6E-2</v>
      </c>
      <c r="E30" s="23">
        <v>1.6E-2</v>
      </c>
      <c r="F30" s="23">
        <v>0</v>
      </c>
      <c r="G30" s="21" t="s">
        <v>89</v>
      </c>
      <c r="H30" s="22" t="s">
        <v>108</v>
      </c>
      <c r="I30" s="21" t="s">
        <v>91</v>
      </c>
    </row>
    <row r="31" spans="1:9" ht="37.5" x14ac:dyDescent="0.25">
      <c r="A31" s="19" t="s">
        <v>73</v>
      </c>
      <c r="B31" s="19" t="s">
        <v>64</v>
      </c>
      <c r="C31" s="23">
        <v>0</v>
      </c>
      <c r="D31" s="23">
        <v>0.05</v>
      </c>
      <c r="E31" s="23">
        <v>0.1</v>
      </c>
      <c r="F31" s="23">
        <v>0.1</v>
      </c>
      <c r="G31" s="21" t="s">
        <v>89</v>
      </c>
      <c r="H31" s="22" t="s">
        <v>109</v>
      </c>
      <c r="I31" s="21" t="s">
        <v>110</v>
      </c>
    </row>
    <row r="32" spans="1:9" ht="13" x14ac:dyDescent="0.25">
      <c r="A32" s="8" t="s">
        <v>74</v>
      </c>
      <c r="B32" s="8" t="s">
        <v>56</v>
      </c>
      <c r="C32" s="28">
        <f t="shared" ref="C32:F32" si="6">(C30+C31)*C17</f>
        <v>78.714285714285694</v>
      </c>
      <c r="D32" s="28">
        <f t="shared" si="6"/>
        <v>470.24999999999994</v>
      </c>
      <c r="E32" s="28">
        <f t="shared" si="6"/>
        <v>1143.4285714285716</v>
      </c>
      <c r="F32" s="28">
        <f t="shared" si="6"/>
        <v>803.57142857142856</v>
      </c>
      <c r="G32" s="21"/>
      <c r="H32" s="22"/>
      <c r="I32" s="21"/>
    </row>
    <row r="33" spans="1:9" ht="37.5" x14ac:dyDescent="0.25">
      <c r="A33" s="19" t="s">
        <v>75</v>
      </c>
      <c r="B33" s="19" t="s">
        <v>56</v>
      </c>
      <c r="C33" s="26">
        <v>260</v>
      </c>
      <c r="D33" s="26">
        <v>260</v>
      </c>
      <c r="E33" s="26">
        <v>260</v>
      </c>
      <c r="F33" s="26">
        <v>0</v>
      </c>
      <c r="G33" s="21" t="s">
        <v>89</v>
      </c>
      <c r="H33" s="22" t="s">
        <v>111</v>
      </c>
      <c r="I33" s="21" t="s">
        <v>110</v>
      </c>
    </row>
    <row r="34" spans="1:9" ht="13" x14ac:dyDescent="0.25">
      <c r="A34" s="8" t="s">
        <v>76</v>
      </c>
      <c r="B34" s="8" t="s">
        <v>56</v>
      </c>
      <c r="C34" s="28">
        <f t="shared" ref="C34:F34" si="7">C19+C22+C25+C26+C27+C28+C29+C32+C33</f>
        <v>7839.7142857142853</v>
      </c>
      <c r="D34" s="28">
        <f t="shared" si="7"/>
        <v>9844.25</v>
      </c>
      <c r="E34" s="28">
        <f t="shared" si="7"/>
        <v>13480.428571428572</v>
      </c>
      <c r="F34" s="28">
        <f t="shared" si="7"/>
        <v>7893.5714285714284</v>
      </c>
      <c r="G34" s="21"/>
      <c r="H34" s="22"/>
      <c r="I34" s="21"/>
    </row>
    <row r="35" spans="1:9" ht="13" x14ac:dyDescent="0.25">
      <c r="A35" s="29" t="s">
        <v>77</v>
      </c>
      <c r="B35" s="29"/>
      <c r="C35" s="29"/>
      <c r="D35" s="29"/>
      <c r="E35" s="29"/>
      <c r="F35" s="29"/>
      <c r="G35" s="29"/>
      <c r="H35" s="30"/>
      <c r="I35" s="29"/>
    </row>
    <row r="36" spans="1:9" ht="13" x14ac:dyDescent="0.25">
      <c r="A36" s="8" t="s">
        <v>78</v>
      </c>
      <c r="B36" s="8" t="s">
        <v>56</v>
      </c>
      <c r="C36" s="28">
        <f t="shared" ref="C36:F36" si="8">C17-C34</f>
        <v>-2920.0714285714294</v>
      </c>
      <c r="D36" s="28">
        <f t="shared" si="8"/>
        <v>-2719.2500000000009</v>
      </c>
      <c r="E36" s="28">
        <f t="shared" si="8"/>
        <v>-3623.2857142857156</v>
      </c>
      <c r="F36" s="28">
        <f t="shared" si="8"/>
        <v>142.14285714285688</v>
      </c>
      <c r="G36" s="21"/>
      <c r="H36" s="22"/>
      <c r="I36" s="21"/>
    </row>
    <row r="37" spans="1:9" ht="13" x14ac:dyDescent="0.25">
      <c r="A37" s="8" t="s">
        <v>79</v>
      </c>
      <c r="B37" s="8" t="s">
        <v>64</v>
      </c>
      <c r="C37" s="31">
        <f t="shared" ref="C37:F37" si="9">IF(C17&gt;0,C36/C17,0)</f>
        <v>-0.59355353901996399</v>
      </c>
      <c r="D37" s="31">
        <f t="shared" si="9"/>
        <v>-0.38164912280701774</v>
      </c>
      <c r="E37" s="31">
        <f t="shared" si="9"/>
        <v>-0.36757971014492768</v>
      </c>
      <c r="F37" s="31">
        <f t="shared" si="9"/>
        <v>1.7688888888888858E-2</v>
      </c>
      <c r="G37" s="21"/>
      <c r="H37" s="22"/>
      <c r="I37" s="21"/>
    </row>
    <row r="38" spans="1:9" ht="13" x14ac:dyDescent="0.25">
      <c r="A38" s="8" t="s">
        <v>80</v>
      </c>
      <c r="B38" s="8" t="s">
        <v>54</v>
      </c>
      <c r="C38" s="27">
        <f t="shared" ref="C38:F38" si="10">IF(C9&gt;0,C36/C9,0)</f>
        <v>-153.68796992481208</v>
      </c>
      <c r="D38" s="27">
        <f t="shared" si="10"/>
        <v>-143.11842105263162</v>
      </c>
      <c r="E38" s="27">
        <f t="shared" si="10"/>
        <v>-226.45535714285722</v>
      </c>
      <c r="F38" s="27">
        <f t="shared" si="10"/>
        <v>14.214285714285689</v>
      </c>
      <c r="G38" s="21"/>
      <c r="H38" s="22"/>
      <c r="I38" s="21"/>
    </row>
    <row r="39" spans="1:9" ht="13" x14ac:dyDescent="0.25">
      <c r="A39" s="8" t="s">
        <v>81</v>
      </c>
      <c r="B39" s="8" t="s">
        <v>64</v>
      </c>
      <c r="C39" s="31">
        <f t="shared" ref="C39:F39" si="11">IF(C17&gt;0,C19/C17,0)</f>
        <v>0.30490018148820336</v>
      </c>
      <c r="D39" s="31">
        <f t="shared" si="11"/>
        <v>0.2105263157894737</v>
      </c>
      <c r="E39" s="31">
        <f t="shared" si="11"/>
        <v>0.25362318840579712</v>
      </c>
      <c r="F39" s="31">
        <f t="shared" si="11"/>
        <v>0.24888888888888891</v>
      </c>
      <c r="G39" s="21"/>
      <c r="H39" s="22"/>
      <c r="I39" s="21"/>
    </row>
    <row r="40" spans="1:9" ht="13" x14ac:dyDescent="0.25">
      <c r="A40" s="8" t="s">
        <v>82</v>
      </c>
      <c r="B40" s="8" t="s">
        <v>64</v>
      </c>
      <c r="C40" s="31">
        <f t="shared" ref="C40:F40" si="12">IF(C17&gt;0,C22/C17,0)</f>
        <v>0.19310344827586212</v>
      </c>
      <c r="D40" s="31">
        <f t="shared" si="12"/>
        <v>0.28070175438596495</v>
      </c>
      <c r="E40" s="31">
        <f t="shared" si="12"/>
        <v>0.37536231884057975</v>
      </c>
      <c r="F40" s="31">
        <f t="shared" si="12"/>
        <v>0.224</v>
      </c>
      <c r="G40" s="21"/>
      <c r="H40" s="22"/>
      <c r="I40" s="21"/>
    </row>
    <row r="41" spans="1:9" ht="13" x14ac:dyDescent="0.25">
      <c r="A41" s="8" t="s">
        <v>83</v>
      </c>
      <c r="B41" s="8" t="s">
        <v>64</v>
      </c>
      <c r="C41" s="31">
        <f t="shared" ref="C41:F41" si="13">C37</f>
        <v>-0.59355353901996399</v>
      </c>
      <c r="D41" s="31">
        <f t="shared" si="13"/>
        <v>-0.38164912280701774</v>
      </c>
      <c r="E41" s="31">
        <f t="shared" si="13"/>
        <v>-0.36757971014492768</v>
      </c>
      <c r="F41" s="31">
        <f t="shared" si="13"/>
        <v>1.7688888888888858E-2</v>
      </c>
      <c r="G41" s="21"/>
      <c r="H41" s="22"/>
      <c r="I41" s="21"/>
    </row>
    <row r="42" spans="1:9" ht="13" x14ac:dyDescent="0.25">
      <c r="A42" s="8" t="s">
        <v>84</v>
      </c>
      <c r="B42" s="8" t="s">
        <v>48</v>
      </c>
      <c r="C42" s="27">
        <f t="shared" ref="C42:F42" si="14">IF(AND(C9&gt;0,1-C21-C30-C31&gt;0),((C19+C20+C26+C27+C28+C29+C33+C9*(C23+C24))/(1-C21-C30-C31)-C14-C16)/C9*(1+C12),0)</f>
        <v>464.92939666238772</v>
      </c>
      <c r="D42" s="27">
        <f t="shared" si="14"/>
        <v>591.6195198918067</v>
      </c>
      <c r="E42" s="27">
        <f t="shared" si="14"/>
        <v>976.91176470588243</v>
      </c>
      <c r="F42" s="27">
        <f t="shared" si="14"/>
        <v>282.31111111111113</v>
      </c>
      <c r="G42" s="21"/>
      <c r="H42" s="22"/>
      <c r="I42" s="21"/>
    </row>
    <row r="43" spans="1:9" ht="13" x14ac:dyDescent="0.25">
      <c r="A43" s="8" t="s">
        <v>85</v>
      </c>
      <c r="B43" s="8" t="s">
        <v>44</v>
      </c>
      <c r="C43" s="31">
        <f t="shared" ref="C43:F43" si="15">IF(AND(C7&gt;0,C13*(1-C21-C30-C31)-(C23+C24)&gt;0),MAX(0,(C19+C20+C26+C27+C28+C29+C33-(C14+C16)*(1-C21-C30-C31))/(C13*(1-C21-C30-C31)-(C23+C24)))/C7,0)</f>
        <v>1.5082737343991026</v>
      </c>
      <c r="D43" s="31">
        <f t="shared" si="15"/>
        <v>1.2672263029031132</v>
      </c>
      <c r="E43" s="31">
        <f t="shared" si="15"/>
        <v>1.2785020281105555</v>
      </c>
      <c r="F43" s="31">
        <f t="shared" si="15"/>
        <v>0.91175166297117516</v>
      </c>
      <c r="G43" s="21"/>
      <c r="H43" s="22"/>
      <c r="I43" s="21"/>
    </row>
  </sheetData>
  <dataValidations count="2">
    <dataValidation type="list" allowBlank="1" showInputMessage="1" showErrorMessage="1" sqref="G7:G43" xr:uid="{367BEC60-7B5C-4261-9AAC-AAFB02185C2C}">
      <formula1>"F,I,P,H"</formula1>
    </dataValidation>
    <dataValidation type="list" allowBlank="1" showInputMessage="1" showErrorMessage="1" sqref="I7:I43" xr:uid="{8805CBC0-3FD3-42C2-8700-8117D67FA7D0}">
      <formula1>"Finance,Opérations,Ventes,Produit,Marketing,Juridique,Direction"</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8C2CEE-3AA8-4CB7-9962-F225A7B6E75A}">
  <dimension ref="A1:I43"/>
  <sheetViews>
    <sheetView workbookViewId="0"/>
  </sheetViews>
  <sheetFormatPr baseColWidth="10" defaultRowHeight="12.5" x14ac:dyDescent="0.25"/>
  <cols>
    <col min="1" max="1" width="36.6328125" style="1" customWidth="1"/>
    <col min="2" max="2" width="11.6328125" style="1" customWidth="1"/>
    <col min="3" max="3" width="13.6328125" style="1" customWidth="1"/>
    <col min="4" max="6" width="12.6328125" style="1" customWidth="1"/>
    <col min="7" max="7" width="14.6328125" style="1" customWidth="1"/>
    <col min="8" max="8" width="10.6328125" style="1" customWidth="1"/>
    <col min="9" max="9" width="80.6328125" style="1" customWidth="1"/>
    <col min="10" max="16384" width="10.90625" style="1"/>
  </cols>
  <sheetData>
    <row r="1" spans="1:9" ht="18" x14ac:dyDescent="0.4">
      <c r="A1" s="3" t="s">
        <v>257</v>
      </c>
    </row>
    <row r="2" spans="1:9" ht="13" x14ac:dyDescent="0.3">
      <c r="A2" s="4" t="s">
        <v>258</v>
      </c>
    </row>
    <row r="4" spans="1:9" ht="38" x14ac:dyDescent="0.3">
      <c r="A4" s="2" t="s">
        <v>259</v>
      </c>
      <c r="D4" s="55"/>
      <c r="E4" s="55"/>
      <c r="F4" s="55"/>
      <c r="G4" s="55"/>
      <c r="H4" s="1" t="s">
        <v>86</v>
      </c>
      <c r="I4" s="7" t="s">
        <v>260</v>
      </c>
    </row>
    <row r="6" spans="1:9" ht="42" customHeight="1" x14ac:dyDescent="0.25">
      <c r="A6" s="6" t="s">
        <v>261</v>
      </c>
      <c r="B6" s="6" t="s">
        <v>226</v>
      </c>
      <c r="C6" s="6" t="s">
        <v>227</v>
      </c>
      <c r="D6" s="6" t="s">
        <v>118</v>
      </c>
      <c r="E6" s="6" t="s">
        <v>119</v>
      </c>
      <c r="F6" s="6" t="s">
        <v>120</v>
      </c>
      <c r="G6" s="6" t="s">
        <v>228</v>
      </c>
      <c r="H6" s="6" t="s">
        <v>229</v>
      </c>
      <c r="I6" s="6" t="s">
        <v>230</v>
      </c>
    </row>
    <row r="7" spans="1:9" ht="25" x14ac:dyDescent="0.25">
      <c r="A7" s="19" t="s">
        <v>231</v>
      </c>
      <c r="B7" s="52">
        <v>9</v>
      </c>
      <c r="C7" s="25">
        <v>35</v>
      </c>
      <c r="D7" s="20">
        <v>3</v>
      </c>
      <c r="E7" s="20">
        <v>3</v>
      </c>
      <c r="F7" s="20">
        <v>2</v>
      </c>
      <c r="G7" s="20">
        <v>1</v>
      </c>
      <c r="H7" s="53">
        <v>0</v>
      </c>
      <c r="I7" s="22" t="s">
        <v>232</v>
      </c>
    </row>
    <row r="8" spans="1:9" x14ac:dyDescent="0.25">
      <c r="A8" s="19" t="s">
        <v>233</v>
      </c>
      <c r="B8" s="52">
        <v>8</v>
      </c>
      <c r="C8" s="25">
        <v>45</v>
      </c>
      <c r="D8" s="20">
        <v>1</v>
      </c>
      <c r="E8" s="20">
        <v>1</v>
      </c>
      <c r="F8" s="20">
        <v>1</v>
      </c>
      <c r="G8" s="20">
        <v>1</v>
      </c>
      <c r="H8" s="53">
        <v>1</v>
      </c>
      <c r="I8" s="22" t="s">
        <v>234</v>
      </c>
    </row>
    <row r="9" spans="1:9" x14ac:dyDescent="0.25">
      <c r="A9" s="19" t="s">
        <v>235</v>
      </c>
      <c r="B9" s="52">
        <v>7</v>
      </c>
      <c r="C9" s="25">
        <v>35</v>
      </c>
      <c r="D9" s="20">
        <v>4</v>
      </c>
      <c r="E9" s="20">
        <v>4</v>
      </c>
      <c r="F9" s="20">
        <v>3</v>
      </c>
      <c r="G9" s="20">
        <v>2</v>
      </c>
      <c r="H9" s="53">
        <v>1</v>
      </c>
      <c r="I9" s="22" t="s">
        <v>236</v>
      </c>
    </row>
    <row r="10" spans="1:9" x14ac:dyDescent="0.25">
      <c r="A10" s="19" t="s">
        <v>237</v>
      </c>
      <c r="B10" s="52">
        <v>7</v>
      </c>
      <c r="C10" s="25">
        <v>35</v>
      </c>
      <c r="D10" s="20">
        <v>1</v>
      </c>
      <c r="E10" s="20">
        <v>1</v>
      </c>
      <c r="F10" s="20">
        <v>1</v>
      </c>
      <c r="G10" s="20">
        <v>1</v>
      </c>
      <c r="H10" s="53">
        <v>1</v>
      </c>
      <c r="I10" s="22" t="s">
        <v>238</v>
      </c>
    </row>
    <row r="11" spans="1:9" x14ac:dyDescent="0.25">
      <c r="A11" s="19" t="s">
        <v>239</v>
      </c>
      <c r="B11" s="52">
        <v>7</v>
      </c>
      <c r="C11" s="25">
        <v>60</v>
      </c>
      <c r="D11" s="20">
        <v>1</v>
      </c>
      <c r="E11" s="20">
        <v>1</v>
      </c>
      <c r="F11" s="20">
        <v>1</v>
      </c>
      <c r="G11" s="20">
        <v>1</v>
      </c>
      <c r="H11" s="53">
        <v>0</v>
      </c>
      <c r="I11" s="22" t="s">
        <v>240</v>
      </c>
    </row>
    <row r="12" spans="1:9" x14ac:dyDescent="0.25">
      <c r="A12" s="19" t="s">
        <v>241</v>
      </c>
      <c r="B12" s="52">
        <v>7</v>
      </c>
      <c r="C12" s="25">
        <v>38</v>
      </c>
      <c r="D12" s="20">
        <v>1</v>
      </c>
      <c r="E12" s="20">
        <v>1</v>
      </c>
      <c r="F12" s="20">
        <v>1</v>
      </c>
      <c r="G12" s="20">
        <v>0</v>
      </c>
      <c r="H12" s="53">
        <v>0</v>
      </c>
      <c r="I12" s="22" t="s">
        <v>242</v>
      </c>
    </row>
    <row r="13" spans="1:9" x14ac:dyDescent="0.25">
      <c r="A13" s="19" t="s">
        <v>243</v>
      </c>
      <c r="B13" s="52">
        <v>7</v>
      </c>
      <c r="C13" s="25">
        <v>30</v>
      </c>
      <c r="D13" s="20">
        <v>2</v>
      </c>
      <c r="E13" s="20">
        <v>2</v>
      </c>
      <c r="F13" s="20">
        <v>2</v>
      </c>
      <c r="G13" s="20">
        <v>1</v>
      </c>
      <c r="H13" s="53">
        <v>0</v>
      </c>
      <c r="I13" s="22" t="s">
        <v>244</v>
      </c>
    </row>
    <row r="14" spans="1:9" ht="25" x14ac:dyDescent="0.25">
      <c r="A14" s="19" t="s">
        <v>245</v>
      </c>
      <c r="B14" s="52">
        <v>10</v>
      </c>
      <c r="C14" s="25">
        <v>0</v>
      </c>
      <c r="D14" s="20">
        <v>1</v>
      </c>
      <c r="E14" s="20">
        <v>1</v>
      </c>
      <c r="F14" s="20">
        <v>1</v>
      </c>
      <c r="G14" s="20">
        <v>1</v>
      </c>
      <c r="H14" s="53">
        <v>0</v>
      </c>
      <c r="I14" s="22" t="s">
        <v>246</v>
      </c>
    </row>
    <row r="15" spans="1:9" ht="25" x14ac:dyDescent="0.25">
      <c r="A15" s="19" t="s">
        <v>247</v>
      </c>
      <c r="B15" s="52">
        <v>5</v>
      </c>
      <c r="C15" s="25">
        <v>0</v>
      </c>
      <c r="D15" s="20">
        <v>1</v>
      </c>
      <c r="E15" s="20">
        <v>1</v>
      </c>
      <c r="F15" s="20">
        <v>1</v>
      </c>
      <c r="G15" s="20">
        <v>1</v>
      </c>
      <c r="H15" s="53">
        <v>0</v>
      </c>
      <c r="I15" s="22" t="s">
        <v>248</v>
      </c>
    </row>
    <row r="16" spans="1:9" ht="13" x14ac:dyDescent="0.3">
      <c r="A16" s="4" t="s">
        <v>249</v>
      </c>
    </row>
    <row r="18" spans="1:9" ht="13" x14ac:dyDescent="0.3">
      <c r="A18" s="2" t="s">
        <v>250</v>
      </c>
      <c r="B18" s="2"/>
      <c r="C18" s="2"/>
      <c r="D18" s="14">
        <f>SUM(D7:D15)</f>
        <v>15</v>
      </c>
      <c r="E18" s="14">
        <f>SUM(E7:E15)</f>
        <v>15</v>
      </c>
      <c r="F18" s="14">
        <f>SUM(F7:F15)</f>
        <v>13</v>
      </c>
      <c r="G18" s="14">
        <f>SUM(G7:G15)</f>
        <v>9</v>
      </c>
    </row>
    <row r="19" spans="1:9" ht="13" x14ac:dyDescent="0.3">
      <c r="A19" s="2" t="s">
        <v>251</v>
      </c>
      <c r="B19" s="2"/>
      <c r="C19" s="2"/>
      <c r="D19" s="14">
        <f>SUMPRODUCT(D7:D15,$H$7:$H$15)</f>
        <v>6</v>
      </c>
      <c r="E19" s="14">
        <f>SUMPRODUCT(E7:E15,$H$7:$H$15)</f>
        <v>6</v>
      </c>
      <c r="F19" s="14">
        <f>SUMPRODUCT(F7:F15,$H$7:$H$15)</f>
        <v>5</v>
      </c>
      <c r="G19" s="14">
        <f>SUMPRODUCT(G7:G15,$H$7:$H$15)</f>
        <v>4</v>
      </c>
    </row>
    <row r="20" spans="1:9" ht="13" x14ac:dyDescent="0.3">
      <c r="A20" s="2" t="s">
        <v>252</v>
      </c>
      <c r="B20" s="2"/>
      <c r="C20" s="2"/>
      <c r="D20" s="14">
        <f>SUMPRODUCT(D7:D15,$B$7:$B$15,--($C$7:$C$15&gt;0))</f>
        <v>98</v>
      </c>
      <c r="E20" s="14">
        <f>SUMPRODUCT(E7:E15,$B$7:$B$15,--($C$7:$C$15&gt;0))</f>
        <v>98</v>
      </c>
      <c r="F20" s="14">
        <f>SUMPRODUCT(F7:F15,$B$7:$B$15,--($C$7:$C$15&gt;0))</f>
        <v>82</v>
      </c>
      <c r="G20" s="14">
        <f>SUMPRODUCT(G7:G15,$B$7:$B$15,--($C$7:$C$15&gt;0))</f>
        <v>52</v>
      </c>
    </row>
    <row r="21" spans="1:9" ht="13" x14ac:dyDescent="0.3">
      <c r="A21" s="45" t="s">
        <v>262</v>
      </c>
      <c r="B21" s="45"/>
      <c r="C21" s="45"/>
      <c r="D21" s="46">
        <f>SUMPRODUCT(D7:D15,$B$7:$B$15,$C$7:$C$15)</f>
        <v>3636</v>
      </c>
      <c r="E21" s="46">
        <f>SUMPRODUCT(E7:E15,$B$7:$B$15,$C$7:$C$15)</f>
        <v>3636</v>
      </c>
      <c r="F21" s="46">
        <f>SUMPRODUCT(F7:F15,$B$7:$B$15,$C$7:$C$15)</f>
        <v>3076</v>
      </c>
      <c r="G21" s="46">
        <f>SUMPRODUCT(G7:G15,$B$7:$B$15,$C$7:$C$15)</f>
        <v>2040</v>
      </c>
    </row>
    <row r="23" spans="1:9" ht="13" x14ac:dyDescent="0.3">
      <c r="A23" s="4" t="s">
        <v>263</v>
      </c>
    </row>
    <row r="25" spans="1:9" ht="42" customHeight="1" x14ac:dyDescent="0.25">
      <c r="A25" s="6" t="s">
        <v>264</v>
      </c>
      <c r="B25" s="6" t="s">
        <v>226</v>
      </c>
      <c r="C25" s="6" t="s">
        <v>227</v>
      </c>
      <c r="D25" s="6" t="s">
        <v>118</v>
      </c>
      <c r="E25" s="6" t="s">
        <v>119</v>
      </c>
      <c r="F25" s="6" t="s">
        <v>120</v>
      </c>
      <c r="G25" s="6" t="s">
        <v>228</v>
      </c>
      <c r="H25" s="6" t="s">
        <v>229</v>
      </c>
      <c r="I25" s="6" t="s">
        <v>230</v>
      </c>
    </row>
    <row r="26" spans="1:9" x14ac:dyDescent="0.25">
      <c r="A26" s="56" t="str">
        <f t="shared" ref="A26:C34" si="0">A7</f>
        <v>Brigade (second, commis)</v>
      </c>
      <c r="B26" s="57">
        <f t="shared" si="0"/>
        <v>9</v>
      </c>
      <c r="C26" s="58">
        <f t="shared" si="0"/>
        <v>35</v>
      </c>
      <c r="D26" s="20">
        <v>3</v>
      </c>
      <c r="E26" s="20">
        <v>3</v>
      </c>
      <c r="F26" s="20">
        <v>2</v>
      </c>
      <c r="G26" s="20">
        <v>1</v>
      </c>
      <c r="H26" s="59">
        <f t="shared" ref="H26:H34" si="1">H7</f>
        <v>0</v>
      </c>
      <c r="I26" s="22" t="s">
        <v>265</v>
      </c>
    </row>
    <row r="27" spans="1:9" x14ac:dyDescent="0.25">
      <c r="A27" s="56" t="str">
        <f t="shared" si="0"/>
        <v>Maître d'hôtel</v>
      </c>
      <c r="B27" s="57">
        <f t="shared" si="0"/>
        <v>8</v>
      </c>
      <c r="C27" s="58">
        <f t="shared" si="0"/>
        <v>45</v>
      </c>
      <c r="D27" s="20">
        <v>1</v>
      </c>
      <c r="E27" s="20">
        <v>1</v>
      </c>
      <c r="F27" s="20">
        <v>1</v>
      </c>
      <c r="G27" s="20">
        <v>1</v>
      </c>
      <c r="H27" s="59">
        <f t="shared" si="1"/>
        <v>1</v>
      </c>
      <c r="I27" s="22" t="s">
        <v>265</v>
      </c>
    </row>
    <row r="28" spans="1:9" ht="25" x14ac:dyDescent="0.25">
      <c r="A28" s="56" t="str">
        <f t="shared" si="0"/>
        <v>Serveurs (base)</v>
      </c>
      <c r="B28" s="57">
        <f t="shared" si="0"/>
        <v>7</v>
      </c>
      <c r="C28" s="58">
        <f t="shared" si="0"/>
        <v>35</v>
      </c>
      <c r="D28" s="20">
        <v>3</v>
      </c>
      <c r="E28" s="20">
        <v>3</v>
      </c>
      <c r="F28" s="20">
        <v>3</v>
      </c>
      <c r="G28" s="20">
        <v>2</v>
      </c>
      <c r="H28" s="59">
        <f t="shared" si="1"/>
        <v>1</v>
      </c>
      <c r="I28" s="22" t="s">
        <v>266</v>
      </c>
    </row>
    <row r="29" spans="1:9" ht="25" x14ac:dyDescent="0.25">
      <c r="A29" s="56" t="str">
        <f t="shared" si="0"/>
        <v>Serveur de réserve</v>
      </c>
      <c r="B29" s="57">
        <f t="shared" si="0"/>
        <v>7</v>
      </c>
      <c r="C29" s="58">
        <f t="shared" si="0"/>
        <v>35</v>
      </c>
      <c r="D29" s="20">
        <v>0</v>
      </c>
      <c r="E29" s="20">
        <v>0</v>
      </c>
      <c r="F29" s="20">
        <v>0</v>
      </c>
      <c r="G29" s="20">
        <v>1</v>
      </c>
      <c r="H29" s="59">
        <f t="shared" si="1"/>
        <v>1</v>
      </c>
      <c r="I29" s="22" t="s">
        <v>267</v>
      </c>
    </row>
    <row r="30" spans="1:9" x14ac:dyDescent="0.25">
      <c r="A30" s="56" t="str">
        <f t="shared" si="0"/>
        <v>Sommelier invité</v>
      </c>
      <c r="B30" s="57">
        <f t="shared" si="0"/>
        <v>7</v>
      </c>
      <c r="C30" s="58">
        <f t="shared" si="0"/>
        <v>60</v>
      </c>
      <c r="D30" s="20">
        <v>1</v>
      </c>
      <c r="E30" s="20">
        <v>1</v>
      </c>
      <c r="F30" s="20">
        <v>1</v>
      </c>
      <c r="G30" s="20">
        <v>1</v>
      </c>
      <c r="H30" s="59">
        <f t="shared" si="1"/>
        <v>0</v>
      </c>
      <c r="I30" s="22" t="s">
        <v>265</v>
      </c>
    </row>
    <row r="31" spans="1:9" x14ac:dyDescent="0.25">
      <c r="A31" s="56" t="str">
        <f t="shared" si="0"/>
        <v>Aide sommelier</v>
      </c>
      <c r="B31" s="57">
        <f t="shared" si="0"/>
        <v>7</v>
      </c>
      <c r="C31" s="58">
        <f t="shared" si="0"/>
        <v>38</v>
      </c>
      <c r="D31" s="20">
        <v>1</v>
      </c>
      <c r="E31" s="20">
        <v>1</v>
      </c>
      <c r="F31" s="20">
        <v>1</v>
      </c>
      <c r="G31" s="20">
        <v>0</v>
      </c>
      <c r="H31" s="59">
        <f t="shared" si="1"/>
        <v>0</v>
      </c>
      <c r="I31" s="22" t="s">
        <v>268</v>
      </c>
    </row>
    <row r="32" spans="1:9" ht="25" x14ac:dyDescent="0.25">
      <c r="A32" s="56" t="str">
        <f t="shared" si="0"/>
        <v>Plongeurs</v>
      </c>
      <c r="B32" s="57">
        <f t="shared" si="0"/>
        <v>7</v>
      </c>
      <c r="C32" s="58">
        <f t="shared" si="0"/>
        <v>30</v>
      </c>
      <c r="D32" s="20">
        <v>1</v>
      </c>
      <c r="E32" s="20">
        <v>1</v>
      </c>
      <c r="F32" s="20">
        <v>1</v>
      </c>
      <c r="G32" s="20">
        <v>1</v>
      </c>
      <c r="H32" s="59">
        <f t="shared" si="1"/>
        <v>0</v>
      </c>
      <c r="I32" s="22" t="s">
        <v>269</v>
      </c>
    </row>
    <row r="33" spans="1:9" x14ac:dyDescent="0.25">
      <c r="A33" s="56" t="str">
        <f t="shared" si="0"/>
        <v>Responsable de production (nous)</v>
      </c>
      <c r="B33" s="57">
        <f t="shared" si="0"/>
        <v>10</v>
      </c>
      <c r="C33" s="58">
        <f t="shared" si="0"/>
        <v>0</v>
      </c>
      <c r="D33" s="20">
        <v>1</v>
      </c>
      <c r="E33" s="20">
        <v>1</v>
      </c>
      <c r="F33" s="20">
        <v>1</v>
      </c>
      <c r="G33" s="20">
        <v>1</v>
      </c>
      <c r="H33" s="59">
        <f t="shared" si="1"/>
        <v>0</v>
      </c>
      <c r="I33" s="22" t="s">
        <v>270</v>
      </c>
    </row>
    <row r="34" spans="1:9" x14ac:dyDescent="0.25">
      <c r="A34" s="56" t="str">
        <f t="shared" si="0"/>
        <v>Interlocuteur client (Ventes)</v>
      </c>
      <c r="B34" s="57">
        <f t="shared" si="0"/>
        <v>5</v>
      </c>
      <c r="C34" s="58">
        <f t="shared" si="0"/>
        <v>0</v>
      </c>
      <c r="D34" s="20">
        <v>0</v>
      </c>
      <c r="E34" s="20">
        <v>0</v>
      </c>
      <c r="F34" s="20">
        <v>0</v>
      </c>
      <c r="G34" s="20">
        <v>1</v>
      </c>
      <c r="H34" s="59">
        <f t="shared" si="1"/>
        <v>0</v>
      </c>
      <c r="I34" s="22" t="s">
        <v>271</v>
      </c>
    </row>
    <row r="36" spans="1:9" ht="13" x14ac:dyDescent="0.3">
      <c r="A36" s="2" t="s">
        <v>272</v>
      </c>
      <c r="B36" s="2"/>
      <c r="C36" s="2"/>
      <c r="D36" s="14">
        <f>SUM(D26:D34)</f>
        <v>11</v>
      </c>
      <c r="E36" s="14">
        <f>SUM(E26:E34)</f>
        <v>11</v>
      </c>
      <c r="F36" s="14">
        <f>SUM(F26:F34)</f>
        <v>10</v>
      </c>
      <c r="G36" s="14">
        <f>SUM(G26:G34)</f>
        <v>9</v>
      </c>
    </row>
    <row r="37" spans="1:9" ht="13" x14ac:dyDescent="0.3">
      <c r="A37" s="2" t="s">
        <v>251</v>
      </c>
      <c r="B37" s="2"/>
      <c r="C37" s="2"/>
      <c r="D37" s="14">
        <f>SUMPRODUCT(D26:D34,$H$26:$H$34)</f>
        <v>4</v>
      </c>
      <c r="E37" s="14">
        <f>SUMPRODUCT(E26:E34,$H$26:$H$34)</f>
        <v>4</v>
      </c>
      <c r="F37" s="14">
        <f>SUMPRODUCT(F26:F34,$H$26:$H$34)</f>
        <v>4</v>
      </c>
      <c r="G37" s="14">
        <f>SUMPRODUCT(G26:G34,$H$26:$H$34)</f>
        <v>4</v>
      </c>
    </row>
    <row r="38" spans="1:9" ht="13" x14ac:dyDescent="0.3">
      <c r="A38" s="2" t="s">
        <v>252</v>
      </c>
      <c r="B38" s="2"/>
      <c r="C38" s="2"/>
      <c r="D38" s="14">
        <f>SUMPRODUCT(D26:D34,$B$26:$B$34,--($C$26:$C$34&gt;0))</f>
        <v>77</v>
      </c>
      <c r="E38" s="14">
        <f>SUMPRODUCT(E26:E34,$B$26:$B$34,--($C$26:$C$34&gt;0))</f>
        <v>77</v>
      </c>
      <c r="F38" s="14">
        <f>SUMPRODUCT(F26:F34,$B$26:$B$34,--($C$26:$C$34&gt;0))</f>
        <v>68</v>
      </c>
      <c r="G38" s="14">
        <f>SUMPRODUCT(G26:G34,$B$26:$B$34,--($C$26:$C$34&gt;0))</f>
        <v>52</v>
      </c>
    </row>
    <row r="39" spans="1:9" ht="13" x14ac:dyDescent="0.3">
      <c r="A39" s="45" t="s">
        <v>273</v>
      </c>
      <c r="B39" s="45"/>
      <c r="C39" s="45"/>
      <c r="D39" s="46">
        <f>SUMPRODUCT(D26:D34,$B$26:$B$34,$C$26:$C$34)</f>
        <v>2936</v>
      </c>
      <c r="E39" s="46">
        <f>SUMPRODUCT(E26:E34,$B$26:$B$34,$C$26:$C$34)</f>
        <v>2936</v>
      </c>
      <c r="F39" s="46">
        <f>SUMPRODUCT(F26:F34,$B$26:$B$34,$C$26:$C$34)</f>
        <v>2621</v>
      </c>
      <c r="G39" s="46">
        <f>SUMPRODUCT(G26:G34,$B$26:$B$34,$C$26:$C$34)</f>
        <v>2040</v>
      </c>
    </row>
    <row r="40" spans="1:9" ht="13" x14ac:dyDescent="0.3">
      <c r="A40" s="2" t="s">
        <v>274</v>
      </c>
      <c r="B40" s="2"/>
      <c r="C40" s="2"/>
      <c r="D40" s="17">
        <f>D21-D39</f>
        <v>700</v>
      </c>
      <c r="E40" s="17">
        <f>E21-E39</f>
        <v>700</v>
      </c>
      <c r="F40" s="17">
        <f>F21-F39</f>
        <v>455</v>
      </c>
      <c r="G40" s="17">
        <f>G21-G39</f>
        <v>0</v>
      </c>
    </row>
    <row r="42" spans="1:9" ht="13" x14ac:dyDescent="0.3">
      <c r="A42" s="4" t="s">
        <v>275</v>
      </c>
    </row>
    <row r="43" spans="1:9" ht="13" x14ac:dyDescent="0.3">
      <c r="A43" s="4" t="s">
        <v>276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A8117B-BF63-41C1-92C8-4FEDF95C8C14}">
  <dimension ref="A1:P40"/>
  <sheetViews>
    <sheetView zoomScaleNormal="100" workbookViewId="0">
      <pane xSplit="2" ySplit="5" topLeftCell="C6" activePane="bottomRight" state="frozenSplit"/>
      <selection pane="topRight" activeCell="C1" sqref="C1"/>
      <selection pane="bottomLeft" activeCell="A6" sqref="A6"/>
      <selection pane="bottomRight"/>
    </sheetView>
  </sheetViews>
  <sheetFormatPr baseColWidth="10" defaultRowHeight="12.5" x14ac:dyDescent="0.25"/>
  <cols>
    <col min="1" max="1" width="44.6328125" style="1" customWidth="1"/>
    <col min="2" max="2" width="14.6328125" style="1" customWidth="1"/>
    <col min="3" max="14" width="11.6328125" style="1" customWidth="1"/>
    <col min="15" max="15" width="8.6328125" style="1" customWidth="1"/>
    <col min="16" max="16" width="60.6328125" style="1" customWidth="1"/>
    <col min="17" max="16384" width="10.90625" style="1"/>
  </cols>
  <sheetData>
    <row r="1" spans="1:16" ht="18" x14ac:dyDescent="0.4">
      <c r="A1" s="3" t="s">
        <v>112</v>
      </c>
    </row>
    <row r="2" spans="1:16" ht="13" x14ac:dyDescent="0.3">
      <c r="A2" s="4" t="s">
        <v>113</v>
      </c>
    </row>
    <row r="3" spans="1:16" ht="13" x14ac:dyDescent="0.3">
      <c r="A3" s="2" t="s">
        <v>114</v>
      </c>
      <c r="C3" s="32">
        <v>46327</v>
      </c>
      <c r="D3" s="4" t="s">
        <v>115</v>
      </c>
    </row>
    <row r="5" spans="1:16" ht="13" x14ac:dyDescent="0.3">
      <c r="A5" s="5" t="s">
        <v>31</v>
      </c>
      <c r="B5" s="5" t="s">
        <v>116</v>
      </c>
      <c r="C5" s="33">
        <f t="shared" ref="C5:N5" si="0">IF($C$3="","Mois "&amp;(COLUMN()-2),EDATE($C$3,COLUMN()-3))</f>
        <v>46327</v>
      </c>
      <c r="D5" s="33">
        <f t="shared" si="0"/>
        <v>46357</v>
      </c>
      <c r="E5" s="33">
        <f t="shared" si="0"/>
        <v>46388</v>
      </c>
      <c r="F5" s="33">
        <f t="shared" si="0"/>
        <v>46419</v>
      </c>
      <c r="G5" s="33">
        <f t="shared" si="0"/>
        <v>46447</v>
      </c>
      <c r="H5" s="33">
        <f t="shared" si="0"/>
        <v>46478</v>
      </c>
      <c r="I5" s="33">
        <f t="shared" si="0"/>
        <v>46508</v>
      </c>
      <c r="J5" s="33">
        <f t="shared" si="0"/>
        <v>46539</v>
      </c>
      <c r="K5" s="33">
        <f t="shared" si="0"/>
        <v>46569</v>
      </c>
      <c r="L5" s="33">
        <f t="shared" si="0"/>
        <v>46600</v>
      </c>
      <c r="M5" s="33">
        <f t="shared" si="0"/>
        <v>46631</v>
      </c>
      <c r="N5" s="33">
        <f t="shared" si="0"/>
        <v>46661</v>
      </c>
      <c r="O5" s="5" t="s">
        <v>37</v>
      </c>
      <c r="P5" s="5" t="s">
        <v>38</v>
      </c>
    </row>
    <row r="6" spans="1:16" ht="13" x14ac:dyDescent="0.3">
      <c r="A6" s="10" t="s">
        <v>117</v>
      </c>
      <c r="B6" s="10"/>
      <c r="C6" s="10"/>
      <c r="D6" s="10"/>
      <c r="E6" s="10"/>
      <c r="F6" s="10"/>
      <c r="G6" s="10"/>
      <c r="H6" s="10"/>
      <c r="I6" s="10"/>
      <c r="J6" s="10"/>
      <c r="K6" s="10"/>
      <c r="L6" s="10"/>
      <c r="M6" s="10"/>
      <c r="N6" s="10"/>
      <c r="O6" s="10"/>
      <c r="P6" s="10"/>
    </row>
    <row r="7" spans="1:16" ht="13" x14ac:dyDescent="0.3">
      <c r="A7" s="1" t="s">
        <v>118</v>
      </c>
      <c r="B7" s="14">
        <f>SUM(C7:N7)</f>
        <v>3</v>
      </c>
      <c r="C7" s="12">
        <v>0</v>
      </c>
      <c r="D7" s="12">
        <v>0</v>
      </c>
      <c r="E7" s="12">
        <v>1</v>
      </c>
      <c r="F7" s="12">
        <v>0</v>
      </c>
      <c r="G7" s="12">
        <v>0</v>
      </c>
      <c r="H7" s="12">
        <v>1</v>
      </c>
      <c r="I7" s="12">
        <v>0</v>
      </c>
      <c r="J7" s="12">
        <v>0</v>
      </c>
      <c r="K7" s="12">
        <v>1</v>
      </c>
      <c r="L7" s="12">
        <v>0</v>
      </c>
      <c r="M7" s="12">
        <v>0</v>
      </c>
      <c r="N7" s="12">
        <v>0</v>
      </c>
      <c r="O7" s="11" t="s">
        <v>89</v>
      </c>
      <c r="P7" s="11" t="s">
        <v>137</v>
      </c>
    </row>
    <row r="8" spans="1:16" ht="13" x14ac:dyDescent="0.3">
      <c r="A8" s="1" t="s">
        <v>119</v>
      </c>
      <c r="B8" s="14">
        <f>SUM(C8:N8)</f>
        <v>3</v>
      </c>
      <c r="C8" s="12">
        <v>0</v>
      </c>
      <c r="D8" s="12">
        <v>0</v>
      </c>
      <c r="E8" s="12">
        <v>0</v>
      </c>
      <c r="F8" s="12">
        <v>0</v>
      </c>
      <c r="G8" s="12">
        <v>1</v>
      </c>
      <c r="H8" s="12">
        <v>0</v>
      </c>
      <c r="I8" s="12">
        <v>0</v>
      </c>
      <c r="J8" s="12">
        <v>1</v>
      </c>
      <c r="K8" s="12">
        <v>0</v>
      </c>
      <c r="L8" s="12">
        <v>0</v>
      </c>
      <c r="M8" s="12">
        <v>0</v>
      </c>
      <c r="N8" s="12">
        <v>1</v>
      </c>
      <c r="O8" s="11" t="s">
        <v>89</v>
      </c>
      <c r="P8" s="11" t="s">
        <v>137</v>
      </c>
    </row>
    <row r="9" spans="1:16" ht="13" x14ac:dyDescent="0.3">
      <c r="A9" s="1" t="s">
        <v>120</v>
      </c>
      <c r="B9" s="14">
        <f>SUM(C9:N9)</f>
        <v>3</v>
      </c>
      <c r="C9" s="12">
        <v>0</v>
      </c>
      <c r="D9" s="12">
        <v>0</v>
      </c>
      <c r="E9" s="12">
        <v>0</v>
      </c>
      <c r="F9" s="12">
        <v>1</v>
      </c>
      <c r="G9" s="12">
        <v>0</v>
      </c>
      <c r="H9" s="12">
        <v>0</v>
      </c>
      <c r="I9" s="12">
        <v>1</v>
      </c>
      <c r="J9" s="12">
        <v>0</v>
      </c>
      <c r="K9" s="12">
        <v>0</v>
      </c>
      <c r="L9" s="12">
        <v>0</v>
      </c>
      <c r="M9" s="12">
        <v>1</v>
      </c>
      <c r="N9" s="12">
        <v>0</v>
      </c>
      <c r="O9" s="11" t="s">
        <v>89</v>
      </c>
      <c r="P9" s="11" t="s">
        <v>137</v>
      </c>
    </row>
    <row r="10" spans="1:16" ht="13" x14ac:dyDescent="0.3">
      <c r="A10" s="1" t="s">
        <v>121</v>
      </c>
      <c r="B10" s="14">
        <f>SUM(C10:N10)</f>
        <v>7</v>
      </c>
      <c r="C10" s="12">
        <v>0</v>
      </c>
      <c r="D10" s="12">
        <v>0</v>
      </c>
      <c r="E10" s="12">
        <v>0</v>
      </c>
      <c r="F10" s="12">
        <v>0</v>
      </c>
      <c r="G10" s="12">
        <v>0</v>
      </c>
      <c r="H10" s="12">
        <v>1</v>
      </c>
      <c r="I10" s="12">
        <v>1</v>
      </c>
      <c r="J10" s="12">
        <v>1</v>
      </c>
      <c r="K10" s="12">
        <v>0</v>
      </c>
      <c r="L10" s="12">
        <v>0</v>
      </c>
      <c r="M10" s="12">
        <v>2</v>
      </c>
      <c r="N10" s="12">
        <v>2</v>
      </c>
      <c r="O10" s="11" t="s">
        <v>89</v>
      </c>
      <c r="P10" s="11" t="s">
        <v>138</v>
      </c>
    </row>
    <row r="11" spans="1:16" ht="13" x14ac:dyDescent="0.3">
      <c r="A11" s="2" t="s">
        <v>122</v>
      </c>
      <c r="B11" s="14">
        <f>SUM(C11:N11)</f>
        <v>16</v>
      </c>
      <c r="C11" s="14">
        <f t="shared" ref="C11:N11" si="1">SUM(C7:C10)</f>
        <v>0</v>
      </c>
      <c r="D11" s="14">
        <f t="shared" si="1"/>
        <v>0</v>
      </c>
      <c r="E11" s="14">
        <f t="shared" si="1"/>
        <v>1</v>
      </c>
      <c r="F11" s="14">
        <f t="shared" si="1"/>
        <v>1</v>
      </c>
      <c r="G11" s="14">
        <f t="shared" si="1"/>
        <v>1</v>
      </c>
      <c r="H11" s="14">
        <f t="shared" si="1"/>
        <v>2</v>
      </c>
      <c r="I11" s="14">
        <f t="shared" si="1"/>
        <v>2</v>
      </c>
      <c r="J11" s="14">
        <f t="shared" si="1"/>
        <v>2</v>
      </c>
      <c r="K11" s="14">
        <f t="shared" si="1"/>
        <v>1</v>
      </c>
      <c r="L11" s="14">
        <f t="shared" si="1"/>
        <v>0</v>
      </c>
      <c r="M11" s="14">
        <f t="shared" si="1"/>
        <v>3</v>
      </c>
      <c r="N11" s="14">
        <f t="shared" si="1"/>
        <v>3</v>
      </c>
    </row>
    <row r="12" spans="1:16" ht="13" x14ac:dyDescent="0.3">
      <c r="A12" s="10" t="s">
        <v>123</v>
      </c>
      <c r="B12" s="10"/>
      <c r="C12" s="10"/>
      <c r="D12" s="10"/>
      <c r="E12" s="10"/>
      <c r="F12" s="10"/>
      <c r="G12" s="10"/>
      <c r="H12" s="10"/>
      <c r="I12" s="10"/>
      <c r="J12" s="10"/>
      <c r="K12" s="10"/>
      <c r="L12" s="10"/>
      <c r="M12" s="10"/>
      <c r="N12" s="10"/>
      <c r="O12" s="10"/>
      <c r="P12" s="10"/>
    </row>
    <row r="13" spans="1:16" ht="13" x14ac:dyDescent="0.3">
      <c r="A13" s="2" t="s">
        <v>124</v>
      </c>
      <c r="B13" s="17">
        <f>SUM(C13:N13)</f>
        <v>121955.35714285714</v>
      </c>
      <c r="C13" s="34">
        <f>C7*'Prix et marges'!$C$17+C8*'Prix et marges'!$D$17+C9*'Prix et marges'!$E$17+C10*'Prix et marges'!$F$17</f>
        <v>0</v>
      </c>
      <c r="D13" s="34">
        <f>D7*'Prix et marges'!$C$17+D8*'Prix et marges'!$D$17+D9*'Prix et marges'!$E$17+D10*'Prix et marges'!$F$17</f>
        <v>0</v>
      </c>
      <c r="E13" s="34">
        <f>E7*'Prix et marges'!$C$17+E8*'Prix et marges'!$D$17+E9*'Prix et marges'!$E$17+E10*'Prix et marges'!$F$17</f>
        <v>4919.642857142856</v>
      </c>
      <c r="F13" s="34">
        <f>F7*'Prix et marges'!$C$17+F8*'Prix et marges'!$D$17+F9*'Prix et marges'!$E$17+F10*'Prix et marges'!$F$17</f>
        <v>9857.1428571428569</v>
      </c>
      <c r="G13" s="34">
        <f>G7*'Prix et marges'!$C$17+G8*'Prix et marges'!$D$17+G9*'Prix et marges'!$E$17+G10*'Prix et marges'!$F$17</f>
        <v>7124.9999999999991</v>
      </c>
      <c r="H13" s="34">
        <f>H7*'Prix et marges'!$C$17+H8*'Prix et marges'!$D$17+H9*'Prix et marges'!$E$17+H10*'Prix et marges'!$F$17</f>
        <v>12955.357142857141</v>
      </c>
      <c r="I13" s="34">
        <f>I7*'Prix et marges'!$C$17+I8*'Prix et marges'!$D$17+I9*'Prix et marges'!$E$17+I10*'Prix et marges'!$F$17</f>
        <v>17892.857142857141</v>
      </c>
      <c r="J13" s="34">
        <f>J7*'Prix et marges'!$C$17+J8*'Prix et marges'!$D$17+J9*'Prix et marges'!$E$17+J10*'Prix et marges'!$F$17</f>
        <v>15160.714285714284</v>
      </c>
      <c r="K13" s="34">
        <f>K7*'Prix et marges'!$C$17+K8*'Prix et marges'!$D$17+K9*'Prix et marges'!$E$17+K10*'Prix et marges'!$F$17</f>
        <v>4919.642857142856</v>
      </c>
      <c r="L13" s="34">
        <f>L7*'Prix et marges'!$C$17+L8*'Prix et marges'!$D$17+L9*'Prix et marges'!$E$17+L10*'Prix et marges'!$F$17</f>
        <v>0</v>
      </c>
      <c r="M13" s="34">
        <f>M7*'Prix et marges'!$C$17+M8*'Prix et marges'!$D$17+M9*'Prix et marges'!$E$17+M10*'Prix et marges'!$F$17</f>
        <v>25928.571428571428</v>
      </c>
      <c r="N13" s="34">
        <f>N7*'Prix et marges'!$C$17+N8*'Prix et marges'!$D$17+N9*'Prix et marges'!$E$17+N10*'Prix et marges'!$F$17</f>
        <v>23196.428571428569</v>
      </c>
    </row>
    <row r="14" spans="1:16" ht="13" x14ac:dyDescent="0.3">
      <c r="A14" s="2" t="s">
        <v>125</v>
      </c>
      <c r="B14" s="17">
        <f>SUM(C14:N14)</f>
        <v>149903.17857142858</v>
      </c>
      <c r="C14" s="34">
        <f>C7*'Prix et marges'!$C$34+C8*'Prix et marges'!$D$34+C9*'Prix et marges'!$E$34+C10*'Prix et marges'!$F$34+C40</f>
        <v>0</v>
      </c>
      <c r="D14" s="34">
        <f>D7*'Prix et marges'!$C$34+D8*'Prix et marges'!$D$34+D9*'Prix et marges'!$E$34+D10*'Prix et marges'!$F$34+D40</f>
        <v>0</v>
      </c>
      <c r="E14" s="34">
        <f>E7*'Prix et marges'!$C$34+E8*'Prix et marges'!$D$34+E9*'Prix et marges'!$E$34+E10*'Prix et marges'!$F$34+E40</f>
        <v>8539.7142857142862</v>
      </c>
      <c r="F14" s="34">
        <f>F7*'Prix et marges'!$C$34+F8*'Prix et marges'!$D$34+F9*'Prix et marges'!$E$34+F10*'Prix et marges'!$F$34+F40</f>
        <v>13935.428571428572</v>
      </c>
      <c r="G14" s="34">
        <f>G7*'Prix et marges'!$C$34+G8*'Prix et marges'!$D$34+G9*'Prix et marges'!$E$34+G10*'Prix et marges'!$F$34+G40</f>
        <v>9844.25</v>
      </c>
      <c r="H14" s="34">
        <f>H7*'Prix et marges'!$C$34+H8*'Prix et marges'!$D$34+H9*'Prix et marges'!$E$34+H10*'Prix et marges'!$F$34+H40</f>
        <v>15733.285714285714</v>
      </c>
      <c r="I14" s="34">
        <f>I7*'Prix et marges'!$C$34+I8*'Prix et marges'!$D$34+I9*'Prix et marges'!$E$34+I10*'Prix et marges'!$F$34+I40</f>
        <v>21374</v>
      </c>
      <c r="J14" s="34">
        <f>J7*'Prix et marges'!$C$34+J8*'Prix et marges'!$D$34+J9*'Prix et marges'!$E$34+J10*'Prix et marges'!$F$34+J40</f>
        <v>17737.821428571428</v>
      </c>
      <c r="K14" s="34">
        <f>K7*'Prix et marges'!$C$34+K8*'Prix et marges'!$D$34+K9*'Prix et marges'!$E$34+K10*'Prix et marges'!$F$34+K40</f>
        <v>7839.7142857142853</v>
      </c>
      <c r="L14" s="34">
        <f>L7*'Prix et marges'!$C$34+L8*'Prix et marges'!$D$34+L9*'Prix et marges'!$E$34+L10*'Prix et marges'!$F$34+L40</f>
        <v>0</v>
      </c>
      <c r="M14" s="34">
        <f>M7*'Prix et marges'!$C$34+M8*'Prix et marges'!$D$34+M9*'Prix et marges'!$E$34+M10*'Prix et marges'!$F$34+M40</f>
        <v>29267.571428571428</v>
      </c>
      <c r="N14" s="34">
        <f>N7*'Prix et marges'!$C$34+N8*'Prix et marges'!$D$34+N9*'Prix et marges'!$E$34+N10*'Prix et marges'!$F$34+N40</f>
        <v>25631.392857142855</v>
      </c>
    </row>
    <row r="15" spans="1:16" ht="13" x14ac:dyDescent="0.3">
      <c r="A15" s="2" t="s">
        <v>78</v>
      </c>
      <c r="B15" s="17">
        <f>SUM(C15:N15)</f>
        <v>-27947.821428571438</v>
      </c>
      <c r="C15" s="17">
        <f t="shared" ref="C15:N15" si="2">C13-C14</f>
        <v>0</v>
      </c>
      <c r="D15" s="17">
        <f t="shared" si="2"/>
        <v>0</v>
      </c>
      <c r="E15" s="17">
        <f t="shared" si="2"/>
        <v>-3620.0714285714303</v>
      </c>
      <c r="F15" s="17">
        <f t="shared" si="2"/>
        <v>-4078.2857142857156</v>
      </c>
      <c r="G15" s="17">
        <f t="shared" si="2"/>
        <v>-2719.2500000000009</v>
      </c>
      <c r="H15" s="17">
        <f t="shared" si="2"/>
        <v>-2777.9285714285725</v>
      </c>
      <c r="I15" s="17">
        <f t="shared" si="2"/>
        <v>-3481.1428571428587</v>
      </c>
      <c r="J15" s="17">
        <f t="shared" si="2"/>
        <v>-2577.1071428571431</v>
      </c>
      <c r="K15" s="17">
        <f t="shared" si="2"/>
        <v>-2920.0714285714294</v>
      </c>
      <c r="L15" s="17">
        <f t="shared" si="2"/>
        <v>0</v>
      </c>
      <c r="M15" s="17">
        <f t="shared" si="2"/>
        <v>-3339</v>
      </c>
      <c r="N15" s="17">
        <f t="shared" si="2"/>
        <v>-2434.9642857142862</v>
      </c>
    </row>
    <row r="16" spans="1:16" ht="13" x14ac:dyDescent="0.3">
      <c r="A16" s="10" t="s">
        <v>179</v>
      </c>
      <c r="B16" s="10"/>
      <c r="C16" s="10"/>
      <c r="D16" s="10"/>
      <c r="E16" s="10"/>
      <c r="F16" s="10"/>
      <c r="G16" s="10"/>
      <c r="H16" s="10"/>
      <c r="I16" s="10"/>
      <c r="J16" s="10"/>
      <c r="K16" s="10"/>
      <c r="L16" s="10"/>
      <c r="M16" s="10"/>
      <c r="N16" s="10"/>
      <c r="O16" s="10"/>
      <c r="P16" s="10"/>
    </row>
    <row r="17" spans="1:16" ht="13" x14ac:dyDescent="0.3">
      <c r="A17" s="1" t="s">
        <v>180</v>
      </c>
      <c r="B17" s="17">
        <f t="shared" ref="B17:B30" si="3">SUM(C17:N17)</f>
        <v>0</v>
      </c>
      <c r="C17" s="15">
        <v>0</v>
      </c>
      <c r="D17" s="15">
        <v>0</v>
      </c>
      <c r="E17" s="15">
        <v>0</v>
      </c>
      <c r="F17" s="15">
        <v>0</v>
      </c>
      <c r="G17" s="15">
        <v>0</v>
      </c>
      <c r="H17" s="15">
        <v>0</v>
      </c>
      <c r="I17" s="15">
        <v>0</v>
      </c>
      <c r="J17" s="15">
        <v>0</v>
      </c>
      <c r="K17" s="15">
        <v>0</v>
      </c>
      <c r="L17" s="15">
        <v>0</v>
      </c>
      <c r="M17" s="15">
        <v>0</v>
      </c>
      <c r="N17" s="15">
        <v>0</v>
      </c>
      <c r="O17" s="11" t="s">
        <v>89</v>
      </c>
      <c r="P17" s="11" t="s">
        <v>139</v>
      </c>
    </row>
    <row r="18" spans="1:16" customFormat="1" ht="14.5" x14ac:dyDescent="0.35">
      <c r="A18" t="s">
        <v>181</v>
      </c>
      <c r="B18" s="42">
        <f>SUM(C18:N18)</f>
        <v>0</v>
      </c>
      <c r="C18" s="41">
        <v>0</v>
      </c>
      <c r="D18" s="41">
        <v>0</v>
      </c>
      <c r="E18" s="41">
        <v>0</v>
      </c>
      <c r="F18" s="41">
        <v>0</v>
      </c>
      <c r="G18" s="41">
        <v>0</v>
      </c>
      <c r="H18" s="41">
        <v>0</v>
      </c>
      <c r="I18" s="41">
        <v>0</v>
      </c>
      <c r="J18" s="41">
        <v>0</v>
      </c>
      <c r="K18" s="41">
        <v>0</v>
      </c>
      <c r="L18" s="41">
        <v>0</v>
      </c>
      <c r="M18" s="41">
        <v>0</v>
      </c>
      <c r="N18" s="41">
        <v>0</v>
      </c>
      <c r="O18" s="40" t="s">
        <v>89</v>
      </c>
      <c r="P18" s="40" t="s">
        <v>182</v>
      </c>
    </row>
    <row r="19" spans="1:16" customFormat="1" ht="14.5" x14ac:dyDescent="0.35">
      <c r="A19" t="s">
        <v>183</v>
      </c>
      <c r="B19" s="42">
        <f>SUM(C19:N19)</f>
        <v>0</v>
      </c>
      <c r="C19" s="41">
        <v>0</v>
      </c>
      <c r="D19" s="41">
        <v>0</v>
      </c>
      <c r="E19" s="41">
        <v>0</v>
      </c>
      <c r="F19" s="41">
        <v>0</v>
      </c>
      <c r="G19" s="41">
        <v>0</v>
      </c>
      <c r="H19" s="41">
        <v>0</v>
      </c>
      <c r="I19" s="41">
        <v>0</v>
      </c>
      <c r="J19" s="41">
        <v>0</v>
      </c>
      <c r="K19" s="41">
        <v>0</v>
      </c>
      <c r="L19" s="41">
        <v>0</v>
      </c>
      <c r="M19" s="41">
        <v>0</v>
      </c>
      <c r="N19" s="41">
        <v>0</v>
      </c>
      <c r="O19" s="40" t="s">
        <v>89</v>
      </c>
      <c r="P19" s="40" t="s">
        <v>184</v>
      </c>
    </row>
    <row r="20" spans="1:16" customFormat="1" ht="14.5" x14ac:dyDescent="0.35">
      <c r="A20" t="s">
        <v>185</v>
      </c>
      <c r="B20" s="42">
        <f>SUM(C20:N20)</f>
        <v>0</v>
      </c>
      <c r="C20" s="41">
        <v>0</v>
      </c>
      <c r="D20" s="41">
        <v>0</v>
      </c>
      <c r="E20" s="41">
        <v>0</v>
      </c>
      <c r="F20" s="41">
        <v>0</v>
      </c>
      <c r="G20" s="41">
        <v>0</v>
      </c>
      <c r="H20" s="41">
        <v>0</v>
      </c>
      <c r="I20" s="41">
        <v>0</v>
      </c>
      <c r="J20" s="41">
        <v>0</v>
      </c>
      <c r="K20" s="41">
        <v>0</v>
      </c>
      <c r="L20" s="41">
        <v>0</v>
      </c>
      <c r="M20" s="41">
        <v>0</v>
      </c>
      <c r="N20" s="41">
        <v>0</v>
      </c>
      <c r="O20" s="40" t="s">
        <v>89</v>
      </c>
      <c r="P20" s="40" t="s">
        <v>186</v>
      </c>
    </row>
    <row r="21" spans="1:16" customFormat="1" ht="14.5" x14ac:dyDescent="0.35">
      <c r="A21" s="44" t="s">
        <v>187</v>
      </c>
      <c r="B21" s="42">
        <f>SUM(C21:N21)</f>
        <v>0</v>
      </c>
      <c r="C21" s="42">
        <f t="shared" ref="C21:N21" si="4">SUM(C17:C20)</f>
        <v>0</v>
      </c>
      <c r="D21" s="42">
        <f t="shared" si="4"/>
        <v>0</v>
      </c>
      <c r="E21" s="42">
        <f t="shared" si="4"/>
        <v>0</v>
      </c>
      <c r="F21" s="42">
        <f t="shared" si="4"/>
        <v>0</v>
      </c>
      <c r="G21" s="42">
        <f t="shared" si="4"/>
        <v>0</v>
      </c>
      <c r="H21" s="42">
        <f t="shared" si="4"/>
        <v>0</v>
      </c>
      <c r="I21" s="42">
        <f t="shared" si="4"/>
        <v>0</v>
      </c>
      <c r="J21" s="42">
        <f t="shared" si="4"/>
        <v>0</v>
      </c>
      <c r="K21" s="42">
        <f t="shared" si="4"/>
        <v>0</v>
      </c>
      <c r="L21" s="42">
        <f t="shared" si="4"/>
        <v>0</v>
      </c>
      <c r="M21" s="42">
        <f t="shared" si="4"/>
        <v>0</v>
      </c>
      <c r="N21" s="42">
        <f t="shared" si="4"/>
        <v>0</v>
      </c>
    </row>
    <row r="22" spans="1:16" customFormat="1" ht="14.5" x14ac:dyDescent="0.35">
      <c r="A22" s="43" t="s">
        <v>188</v>
      </c>
      <c r="B22" s="43"/>
      <c r="C22" s="43"/>
      <c r="D22" s="43"/>
      <c r="E22" s="43"/>
      <c r="F22" s="43"/>
      <c r="G22" s="43"/>
      <c r="H22" s="43"/>
      <c r="I22" s="43"/>
      <c r="J22" s="43"/>
      <c r="K22" s="43"/>
      <c r="L22" s="43"/>
      <c r="M22" s="43"/>
      <c r="N22" s="43"/>
      <c r="O22" s="43"/>
      <c r="P22" s="43"/>
    </row>
    <row r="23" spans="1:16" ht="13" x14ac:dyDescent="0.3">
      <c r="A23" s="1" t="s">
        <v>126</v>
      </c>
      <c r="B23" s="17">
        <f t="shared" si="3"/>
        <v>0</v>
      </c>
      <c r="C23" s="15">
        <v>0</v>
      </c>
      <c r="D23" s="15">
        <v>0</v>
      </c>
      <c r="E23" s="15">
        <v>0</v>
      </c>
      <c r="F23" s="15">
        <v>0</v>
      </c>
      <c r="G23" s="15">
        <v>0</v>
      </c>
      <c r="H23" s="15">
        <v>0</v>
      </c>
      <c r="I23" s="15">
        <v>0</v>
      </c>
      <c r="J23" s="15">
        <v>0</v>
      </c>
      <c r="K23" s="15">
        <v>0</v>
      </c>
      <c r="L23" s="15">
        <v>0</v>
      </c>
      <c r="M23" s="15">
        <v>0</v>
      </c>
      <c r="N23" s="15">
        <v>0</v>
      </c>
      <c r="O23" s="11" t="s">
        <v>89</v>
      </c>
      <c r="P23" s="11" t="s">
        <v>140</v>
      </c>
    </row>
    <row r="24" spans="1:16" ht="13" x14ac:dyDescent="0.3">
      <c r="A24" s="1" t="s">
        <v>127</v>
      </c>
      <c r="B24" s="17">
        <f t="shared" si="3"/>
        <v>960</v>
      </c>
      <c r="C24" s="15">
        <v>80</v>
      </c>
      <c r="D24" s="15">
        <v>80</v>
      </c>
      <c r="E24" s="15">
        <v>80</v>
      </c>
      <c r="F24" s="15">
        <v>80</v>
      </c>
      <c r="G24" s="15">
        <v>80</v>
      </c>
      <c r="H24" s="15">
        <v>80</v>
      </c>
      <c r="I24" s="15">
        <v>80</v>
      </c>
      <c r="J24" s="15">
        <v>80</v>
      </c>
      <c r="K24" s="15">
        <v>80</v>
      </c>
      <c r="L24" s="15">
        <v>80</v>
      </c>
      <c r="M24" s="15">
        <v>80</v>
      </c>
      <c r="N24" s="15">
        <v>80</v>
      </c>
      <c r="O24" s="11" t="s">
        <v>89</v>
      </c>
      <c r="P24" s="11" t="s">
        <v>141</v>
      </c>
    </row>
    <row r="25" spans="1:16" ht="13" x14ac:dyDescent="0.3">
      <c r="A25" s="1" t="s">
        <v>128</v>
      </c>
      <c r="B25" s="17">
        <f t="shared" si="3"/>
        <v>7200</v>
      </c>
      <c r="C25" s="15">
        <v>300</v>
      </c>
      <c r="D25" s="15">
        <v>1500</v>
      </c>
      <c r="E25" s="15">
        <v>1500</v>
      </c>
      <c r="F25" s="15">
        <v>1500</v>
      </c>
      <c r="G25" s="15">
        <v>300</v>
      </c>
      <c r="H25" s="15">
        <v>300</v>
      </c>
      <c r="I25" s="15">
        <v>300</v>
      </c>
      <c r="J25" s="15">
        <v>300</v>
      </c>
      <c r="K25" s="15">
        <v>300</v>
      </c>
      <c r="L25" s="15">
        <v>300</v>
      </c>
      <c r="M25" s="15">
        <v>300</v>
      </c>
      <c r="N25" s="15">
        <v>300</v>
      </c>
      <c r="O25" s="11" t="s">
        <v>89</v>
      </c>
      <c r="P25" s="11" t="s">
        <v>142</v>
      </c>
    </row>
    <row r="26" spans="1:16" ht="13" x14ac:dyDescent="0.3">
      <c r="A26" s="1" t="s">
        <v>129</v>
      </c>
      <c r="B26" s="17">
        <f t="shared" si="3"/>
        <v>600</v>
      </c>
      <c r="C26" s="15">
        <v>50</v>
      </c>
      <c r="D26" s="15">
        <v>50</v>
      </c>
      <c r="E26" s="15">
        <v>50</v>
      </c>
      <c r="F26" s="15">
        <v>50</v>
      </c>
      <c r="G26" s="15">
        <v>50</v>
      </c>
      <c r="H26" s="15">
        <v>50</v>
      </c>
      <c r="I26" s="15">
        <v>50</v>
      </c>
      <c r="J26" s="15">
        <v>50</v>
      </c>
      <c r="K26" s="15">
        <v>50</v>
      </c>
      <c r="L26" s="15">
        <v>50</v>
      </c>
      <c r="M26" s="15">
        <v>50</v>
      </c>
      <c r="N26" s="15">
        <v>50</v>
      </c>
      <c r="O26" s="11" t="s">
        <v>89</v>
      </c>
      <c r="P26" s="11" t="s">
        <v>143</v>
      </c>
    </row>
    <row r="27" spans="1:16" ht="13" x14ac:dyDescent="0.3">
      <c r="A27" s="1" t="s">
        <v>130</v>
      </c>
      <c r="B27" s="17">
        <f t="shared" si="3"/>
        <v>2700</v>
      </c>
      <c r="C27" s="15">
        <v>1600</v>
      </c>
      <c r="D27" s="15">
        <v>100</v>
      </c>
      <c r="E27" s="15">
        <v>100</v>
      </c>
      <c r="F27" s="15">
        <v>100</v>
      </c>
      <c r="G27" s="15">
        <v>100</v>
      </c>
      <c r="H27" s="15">
        <v>100</v>
      </c>
      <c r="I27" s="15">
        <v>100</v>
      </c>
      <c r="J27" s="15">
        <v>100</v>
      </c>
      <c r="K27" s="15">
        <v>100</v>
      </c>
      <c r="L27" s="15">
        <v>100</v>
      </c>
      <c r="M27" s="15">
        <v>100</v>
      </c>
      <c r="N27" s="15">
        <v>100</v>
      </c>
      <c r="O27" s="11" t="s">
        <v>89</v>
      </c>
      <c r="P27" s="11" t="s">
        <v>144</v>
      </c>
    </row>
    <row r="28" spans="1:16" ht="13" x14ac:dyDescent="0.3">
      <c r="A28" s="1" t="s">
        <v>131</v>
      </c>
      <c r="B28" s="17">
        <f t="shared" si="3"/>
        <v>360</v>
      </c>
      <c r="C28" s="15">
        <v>30</v>
      </c>
      <c r="D28" s="15">
        <v>30</v>
      </c>
      <c r="E28" s="15">
        <v>30</v>
      </c>
      <c r="F28" s="15">
        <v>30</v>
      </c>
      <c r="G28" s="15">
        <v>30</v>
      </c>
      <c r="H28" s="15">
        <v>30</v>
      </c>
      <c r="I28" s="15">
        <v>30</v>
      </c>
      <c r="J28" s="15">
        <v>30</v>
      </c>
      <c r="K28" s="15">
        <v>30</v>
      </c>
      <c r="L28" s="15">
        <v>30</v>
      </c>
      <c r="M28" s="15">
        <v>30</v>
      </c>
      <c r="N28" s="15">
        <v>30</v>
      </c>
      <c r="O28" s="11" t="s">
        <v>89</v>
      </c>
      <c r="P28" s="11" t="s">
        <v>145</v>
      </c>
    </row>
    <row r="29" spans="1:16" ht="13" x14ac:dyDescent="0.3">
      <c r="A29" s="1" t="s">
        <v>132</v>
      </c>
      <c r="B29" s="17">
        <f t="shared" si="3"/>
        <v>600</v>
      </c>
      <c r="C29" s="15">
        <v>50</v>
      </c>
      <c r="D29" s="15">
        <v>50</v>
      </c>
      <c r="E29" s="15">
        <v>50</v>
      </c>
      <c r="F29" s="15">
        <v>50</v>
      </c>
      <c r="G29" s="15">
        <v>50</v>
      </c>
      <c r="H29" s="15">
        <v>50</v>
      </c>
      <c r="I29" s="15">
        <v>50</v>
      </c>
      <c r="J29" s="15">
        <v>50</v>
      </c>
      <c r="K29" s="15">
        <v>50</v>
      </c>
      <c r="L29" s="15">
        <v>50</v>
      </c>
      <c r="M29" s="15">
        <v>50</v>
      </c>
      <c r="N29" s="15">
        <v>50</v>
      </c>
      <c r="O29" s="11" t="s">
        <v>89</v>
      </c>
      <c r="P29" s="11" t="s">
        <v>146</v>
      </c>
    </row>
    <row r="30" spans="1:16" ht="13" x14ac:dyDescent="0.3">
      <c r="A30" s="1" t="s">
        <v>133</v>
      </c>
      <c r="B30" s="17">
        <f t="shared" si="3"/>
        <v>252</v>
      </c>
      <c r="C30" s="15">
        <v>252</v>
      </c>
      <c r="D30" s="15">
        <v>0</v>
      </c>
      <c r="E30" s="15">
        <v>0</v>
      </c>
      <c r="F30" s="15">
        <v>0</v>
      </c>
      <c r="G30" s="15">
        <v>0</v>
      </c>
      <c r="H30" s="15">
        <v>0</v>
      </c>
      <c r="I30" s="15">
        <v>0</v>
      </c>
      <c r="J30" s="15">
        <v>0</v>
      </c>
      <c r="K30" s="15">
        <v>0</v>
      </c>
      <c r="L30" s="15">
        <v>0</v>
      </c>
      <c r="M30" s="15">
        <v>0</v>
      </c>
      <c r="N30" s="15">
        <v>0</v>
      </c>
      <c r="O30" s="11" t="s">
        <v>147</v>
      </c>
      <c r="P30" s="11" t="s">
        <v>148</v>
      </c>
    </row>
    <row r="31" spans="1:16" customFormat="1" ht="14.5" x14ac:dyDescent="0.35">
      <c r="A31" s="44" t="s">
        <v>189</v>
      </c>
      <c r="B31" s="42">
        <f>SUM(C31:N31)</f>
        <v>12672</v>
      </c>
      <c r="C31" s="42">
        <f t="shared" ref="C31:N31" si="5">SUM(C23:C30)</f>
        <v>2362</v>
      </c>
      <c r="D31" s="42">
        <f t="shared" si="5"/>
        <v>1810</v>
      </c>
      <c r="E31" s="42">
        <f t="shared" si="5"/>
        <v>1810</v>
      </c>
      <c r="F31" s="42">
        <f t="shared" si="5"/>
        <v>1810</v>
      </c>
      <c r="G31" s="42">
        <f t="shared" si="5"/>
        <v>610</v>
      </c>
      <c r="H31" s="42">
        <f t="shared" si="5"/>
        <v>610</v>
      </c>
      <c r="I31" s="42">
        <f t="shared" si="5"/>
        <v>610</v>
      </c>
      <c r="J31" s="42">
        <f t="shared" si="5"/>
        <v>610</v>
      </c>
      <c r="K31" s="42">
        <f t="shared" si="5"/>
        <v>610</v>
      </c>
      <c r="L31" s="42">
        <f t="shared" si="5"/>
        <v>610</v>
      </c>
      <c r="M31" s="42">
        <f t="shared" si="5"/>
        <v>610</v>
      </c>
      <c r="N31" s="42">
        <f t="shared" si="5"/>
        <v>610</v>
      </c>
    </row>
    <row r="32" spans="1:16" ht="13" x14ac:dyDescent="0.3">
      <c r="A32" s="45" t="s">
        <v>190</v>
      </c>
      <c r="B32" s="46">
        <f>SUM(C32:N32)</f>
        <v>12672</v>
      </c>
      <c r="C32" s="46">
        <f t="shared" ref="C32:N32" si="6">C21+C31</f>
        <v>2362</v>
      </c>
      <c r="D32" s="46">
        <f t="shared" si="6"/>
        <v>1810</v>
      </c>
      <c r="E32" s="46">
        <f t="shared" si="6"/>
        <v>1810</v>
      </c>
      <c r="F32" s="46">
        <f t="shared" si="6"/>
        <v>1810</v>
      </c>
      <c r="G32" s="46">
        <f t="shared" si="6"/>
        <v>610</v>
      </c>
      <c r="H32" s="46">
        <f t="shared" si="6"/>
        <v>610</v>
      </c>
      <c r="I32" s="46">
        <f t="shared" si="6"/>
        <v>610</v>
      </c>
      <c r="J32" s="46">
        <f t="shared" si="6"/>
        <v>610</v>
      </c>
      <c r="K32" s="46">
        <f t="shared" si="6"/>
        <v>610</v>
      </c>
      <c r="L32" s="46">
        <f t="shared" si="6"/>
        <v>610</v>
      </c>
      <c r="M32" s="46">
        <f t="shared" si="6"/>
        <v>610</v>
      </c>
      <c r="N32" s="46">
        <f t="shared" si="6"/>
        <v>610</v>
      </c>
    </row>
    <row r="33" spans="1:16" ht="13" x14ac:dyDescent="0.3">
      <c r="A33" s="10" t="s">
        <v>134</v>
      </c>
      <c r="B33" s="10"/>
      <c r="C33" s="10"/>
      <c r="D33" s="10"/>
      <c r="E33" s="10"/>
      <c r="F33" s="10"/>
      <c r="G33" s="10"/>
      <c r="H33" s="10"/>
      <c r="I33" s="10"/>
      <c r="J33" s="10"/>
      <c r="K33" s="10"/>
      <c r="L33" s="10"/>
      <c r="M33" s="10"/>
      <c r="N33" s="10"/>
      <c r="O33" s="10"/>
      <c r="P33" s="10"/>
    </row>
    <row r="34" spans="1:16" ht="13" x14ac:dyDescent="0.3">
      <c r="A34" s="2" t="s">
        <v>135</v>
      </c>
      <c r="B34" s="17">
        <f>SUM(C34:N34)</f>
        <v>-40619.821428571435</v>
      </c>
      <c r="C34" s="17">
        <f t="shared" ref="C34:N34" si="7">C15-C32</f>
        <v>-2362</v>
      </c>
      <c r="D34" s="17">
        <f t="shared" si="7"/>
        <v>-1810</v>
      </c>
      <c r="E34" s="17">
        <f t="shared" si="7"/>
        <v>-5430.0714285714303</v>
      </c>
      <c r="F34" s="17">
        <f t="shared" si="7"/>
        <v>-5888.2857142857156</v>
      </c>
      <c r="G34" s="17">
        <f t="shared" si="7"/>
        <v>-3329.2500000000009</v>
      </c>
      <c r="H34" s="17">
        <f t="shared" si="7"/>
        <v>-3387.9285714285725</v>
      </c>
      <c r="I34" s="17">
        <f t="shared" si="7"/>
        <v>-4091.1428571428587</v>
      </c>
      <c r="J34" s="17">
        <f t="shared" si="7"/>
        <v>-3187.1071428571431</v>
      </c>
      <c r="K34" s="17">
        <f t="shared" si="7"/>
        <v>-3530.0714285714294</v>
      </c>
      <c r="L34" s="17">
        <f t="shared" si="7"/>
        <v>-610</v>
      </c>
      <c r="M34" s="17">
        <f t="shared" si="7"/>
        <v>-3949</v>
      </c>
      <c r="N34" s="17">
        <f t="shared" si="7"/>
        <v>-3044.9642857142862</v>
      </c>
    </row>
    <row r="35" spans="1:16" ht="13" x14ac:dyDescent="0.3">
      <c r="A35" s="2" t="s">
        <v>136</v>
      </c>
      <c r="B35" s="17">
        <f>N35</f>
        <v>-40619.821428571435</v>
      </c>
      <c r="C35" s="17">
        <f>C34</f>
        <v>-2362</v>
      </c>
      <c r="D35" s="17">
        <f t="shared" ref="D35:N35" si="8">C35+D34</f>
        <v>-4172</v>
      </c>
      <c r="E35" s="17">
        <f t="shared" si="8"/>
        <v>-9602.0714285714312</v>
      </c>
      <c r="F35" s="17">
        <f t="shared" si="8"/>
        <v>-15490.357142857147</v>
      </c>
      <c r="G35" s="17">
        <f t="shared" si="8"/>
        <v>-18819.607142857149</v>
      </c>
      <c r="H35" s="17">
        <f t="shared" si="8"/>
        <v>-22207.535714285721</v>
      </c>
      <c r="I35" s="17">
        <f t="shared" si="8"/>
        <v>-26298.67857142858</v>
      </c>
      <c r="J35" s="17">
        <f t="shared" si="8"/>
        <v>-29485.785714285725</v>
      </c>
      <c r="K35" s="17">
        <f t="shared" si="8"/>
        <v>-33015.857142857152</v>
      </c>
      <c r="L35" s="17">
        <f t="shared" si="8"/>
        <v>-33625.857142857152</v>
      </c>
      <c r="M35" s="17">
        <f t="shared" si="8"/>
        <v>-37574.857142857152</v>
      </c>
      <c r="N35" s="17">
        <f t="shared" si="8"/>
        <v>-40619.821428571435</v>
      </c>
    </row>
    <row r="37" spans="1:16" ht="13" x14ac:dyDescent="0.3">
      <c r="A37" s="10" t="s">
        <v>278</v>
      </c>
      <c r="B37" s="10"/>
      <c r="C37" s="10"/>
      <c r="D37" s="10"/>
      <c r="E37" s="10"/>
      <c r="F37" s="10"/>
      <c r="G37" s="10"/>
      <c r="H37" s="10"/>
      <c r="I37" s="10"/>
      <c r="J37" s="10"/>
      <c r="K37" s="10"/>
      <c r="L37" s="10"/>
      <c r="M37" s="10"/>
      <c r="N37" s="10"/>
      <c r="O37" s="10"/>
      <c r="P37" s="10"/>
    </row>
    <row r="38" spans="1:16" x14ac:dyDescent="0.25">
      <c r="A38" s="1" t="s">
        <v>279</v>
      </c>
      <c r="B38" s="13">
        <f>SUM(C38:N38)</f>
        <v>1</v>
      </c>
      <c r="C38" s="12">
        <v>0</v>
      </c>
      <c r="D38" s="12">
        <v>0</v>
      </c>
      <c r="E38" s="12">
        <v>1</v>
      </c>
      <c r="F38" s="12">
        <v>0</v>
      </c>
      <c r="G38" s="12">
        <v>0</v>
      </c>
      <c r="H38" s="12">
        <v>0</v>
      </c>
      <c r="I38" s="12">
        <v>0</v>
      </c>
      <c r="J38" s="12">
        <v>0</v>
      </c>
      <c r="K38" s="12">
        <v>0</v>
      </c>
      <c r="L38" s="12">
        <v>0</v>
      </c>
      <c r="M38" s="12">
        <v>0</v>
      </c>
      <c r="N38" s="12">
        <v>0</v>
      </c>
      <c r="O38" s="1" t="s">
        <v>86</v>
      </c>
      <c r="P38" s="1" t="s">
        <v>282</v>
      </c>
    </row>
    <row r="39" spans="1:16" x14ac:dyDescent="0.25">
      <c r="A39" s="1" t="s">
        <v>280</v>
      </c>
      <c r="B39" s="13">
        <f>SUM(C39:N39)</f>
        <v>1</v>
      </c>
      <c r="C39" s="12">
        <v>0</v>
      </c>
      <c r="D39" s="12">
        <v>0</v>
      </c>
      <c r="E39" s="12">
        <v>0</v>
      </c>
      <c r="F39" s="12">
        <v>1</v>
      </c>
      <c r="G39" s="12">
        <v>0</v>
      </c>
      <c r="H39" s="12">
        <v>0</v>
      </c>
      <c r="I39" s="12">
        <v>0</v>
      </c>
      <c r="J39" s="12">
        <v>0</v>
      </c>
      <c r="K39" s="12">
        <v>0</v>
      </c>
      <c r="L39" s="12">
        <v>0</v>
      </c>
      <c r="M39" s="12">
        <v>0</v>
      </c>
      <c r="N39" s="12">
        <v>0</v>
      </c>
      <c r="O39" s="1" t="s">
        <v>86</v>
      </c>
      <c r="P39" s="1" t="s">
        <v>283</v>
      </c>
    </row>
    <row r="40" spans="1:16" x14ac:dyDescent="0.25">
      <c r="A40" s="1" t="s">
        <v>281</v>
      </c>
      <c r="B40" s="16">
        <f>SUM(C40:N40)</f>
        <v>1155</v>
      </c>
      <c r="C40" s="16">
        <f>C38*Staffing!$D$40+C39*Staffing!$F$40</f>
        <v>0</v>
      </c>
      <c r="D40" s="16">
        <f>D38*Staffing!$D$40+D39*Staffing!$F$40</f>
        <v>0</v>
      </c>
      <c r="E40" s="16">
        <f>E38*Staffing!$D$40+E39*Staffing!$F$40</f>
        <v>700</v>
      </c>
      <c r="F40" s="16">
        <f>F38*Staffing!$D$40+F39*Staffing!$F$40</f>
        <v>455</v>
      </c>
      <c r="G40" s="16">
        <f>G38*Staffing!$D$40+G39*Staffing!$F$40</f>
        <v>0</v>
      </c>
      <c r="H40" s="16">
        <f>H38*Staffing!$D$40+H39*Staffing!$F$40</f>
        <v>0</v>
      </c>
      <c r="I40" s="16">
        <f>I38*Staffing!$D$40+I39*Staffing!$F$40</f>
        <v>0</v>
      </c>
      <c r="J40" s="16">
        <f>J38*Staffing!$D$40+J39*Staffing!$F$40</f>
        <v>0</v>
      </c>
      <c r="K40" s="16">
        <f>K38*Staffing!$D$40+K39*Staffing!$F$40</f>
        <v>0</v>
      </c>
      <c r="L40" s="16">
        <f>L38*Staffing!$D$40+L39*Staffing!$F$40</f>
        <v>0</v>
      </c>
      <c r="M40" s="16">
        <f>M38*Staffing!$D$40+M39*Staffing!$F$40</f>
        <v>0</v>
      </c>
      <c r="N40" s="16">
        <f>N38*Staffing!$D$40+N39*Staffing!$F$40</f>
        <v>0</v>
      </c>
      <c r="O40" s="1" t="s">
        <v>253</v>
      </c>
      <c r="P40" s="1" t="s">
        <v>284</v>
      </c>
    </row>
  </sheetData>
  <dataValidations count="1">
    <dataValidation type="list" allowBlank="1" showInputMessage="1" showErrorMessage="1" sqref="O7:O31" xr:uid="{31226B02-E24A-4164-8201-A9757FEFEA83}">
      <formula1>"F,I,P,H"</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5433A9-AD53-45CF-A6E8-3A1C7CC9CABA}">
  <dimension ref="A1:N54"/>
  <sheetViews>
    <sheetView workbookViewId="0"/>
  </sheetViews>
  <sheetFormatPr baseColWidth="10" defaultRowHeight="12.5" x14ac:dyDescent="0.25"/>
  <cols>
    <col min="1" max="1" width="44.6328125" style="1" customWidth="1"/>
    <col min="2" max="2" width="24.6328125" style="1" customWidth="1"/>
    <col min="3" max="6" width="13.6328125" style="1" customWidth="1"/>
    <col min="7" max="14" width="12.6328125" style="1" customWidth="1"/>
    <col min="15" max="16384" width="10.90625" style="1"/>
  </cols>
  <sheetData>
    <row r="1" spans="1:5" ht="18" x14ac:dyDescent="0.4">
      <c r="A1" s="3" t="s">
        <v>289</v>
      </c>
    </row>
    <row r="2" spans="1:5" ht="13" x14ac:dyDescent="0.3">
      <c r="A2" s="4" t="s">
        <v>290</v>
      </c>
    </row>
    <row r="4" spans="1:5" ht="26" x14ac:dyDescent="0.25">
      <c r="A4" s="6" t="s">
        <v>291</v>
      </c>
      <c r="B4" s="6" t="s">
        <v>292</v>
      </c>
      <c r="C4" s="6"/>
      <c r="D4" s="6" t="s">
        <v>37</v>
      </c>
      <c r="E4" s="6" t="s">
        <v>293</v>
      </c>
    </row>
    <row r="5" spans="1:5" x14ac:dyDescent="0.25">
      <c r="A5" s="1" t="s">
        <v>294</v>
      </c>
      <c r="B5" s="1" t="s">
        <v>295</v>
      </c>
      <c r="D5" s="1" t="s">
        <v>89</v>
      </c>
      <c r="E5" s="62" t="s">
        <v>296</v>
      </c>
    </row>
    <row r="6" spans="1:5" x14ac:dyDescent="0.25">
      <c r="A6" s="1" t="s">
        <v>297</v>
      </c>
      <c r="B6" s="1" t="s">
        <v>298</v>
      </c>
      <c r="D6" s="1" t="s">
        <v>89</v>
      </c>
      <c r="E6" s="62" t="s">
        <v>299</v>
      </c>
    </row>
    <row r="7" spans="1:5" x14ac:dyDescent="0.25">
      <c r="A7" s="1" t="s">
        <v>300</v>
      </c>
      <c r="B7" s="1" t="s">
        <v>301</v>
      </c>
      <c r="D7" s="1" t="s">
        <v>89</v>
      </c>
      <c r="E7" s="62" t="s">
        <v>302</v>
      </c>
    </row>
    <row r="9" spans="1:5" ht="39" x14ac:dyDescent="0.25">
      <c r="A9" s="6" t="s">
        <v>303</v>
      </c>
      <c r="B9" s="6" t="s">
        <v>304</v>
      </c>
      <c r="C9" s="6" t="s">
        <v>305</v>
      </c>
      <c r="D9" s="6" t="s">
        <v>37</v>
      </c>
      <c r="E9" s="6" t="s">
        <v>293</v>
      </c>
    </row>
    <row r="10" spans="1:5" x14ac:dyDescent="0.25">
      <c r="A10" s="1" t="s">
        <v>306</v>
      </c>
      <c r="B10" s="1">
        <v>19</v>
      </c>
      <c r="C10" s="47">
        <v>0.2</v>
      </c>
      <c r="D10" s="1" t="s">
        <v>89</v>
      </c>
      <c r="E10" s="62" t="s">
        <v>307</v>
      </c>
    </row>
    <row r="11" spans="1:5" x14ac:dyDescent="0.25">
      <c r="A11" s="1" t="s">
        <v>308</v>
      </c>
      <c r="B11" s="1">
        <v>22</v>
      </c>
      <c r="C11" s="47">
        <v>0</v>
      </c>
      <c r="D11" s="1" t="s">
        <v>89</v>
      </c>
      <c r="E11" s="62" t="s">
        <v>309</v>
      </c>
    </row>
    <row r="12" spans="1:5" x14ac:dyDescent="0.25">
      <c r="A12" s="1" t="s">
        <v>310</v>
      </c>
      <c r="B12" s="1" t="s">
        <v>311</v>
      </c>
      <c r="C12" s="47">
        <v>5.5E-2</v>
      </c>
      <c r="D12" s="1" t="s">
        <v>89</v>
      </c>
      <c r="E12" s="62" t="s">
        <v>312</v>
      </c>
    </row>
    <row r="13" spans="1:5" x14ac:dyDescent="0.25">
      <c r="A13" s="1" t="s">
        <v>313</v>
      </c>
      <c r="B13" s="1" t="s">
        <v>314</v>
      </c>
      <c r="C13" s="47">
        <v>0.2</v>
      </c>
      <c r="D13" s="1" t="s">
        <v>89</v>
      </c>
      <c r="E13" s="62" t="s">
        <v>315</v>
      </c>
    </row>
    <row r="14" spans="1:5" x14ac:dyDescent="0.25">
      <c r="A14" s="1" t="s">
        <v>316</v>
      </c>
      <c r="B14" s="1" t="s">
        <v>317</v>
      </c>
      <c r="C14" s="47">
        <v>0.2</v>
      </c>
      <c r="D14" s="1" t="s">
        <v>89</v>
      </c>
      <c r="E14" s="62" t="s">
        <v>318</v>
      </c>
    </row>
    <row r="15" spans="1:5" x14ac:dyDescent="0.25">
      <c r="A15" s="1" t="s">
        <v>319</v>
      </c>
      <c r="B15" s="1">
        <v>27</v>
      </c>
      <c r="C15" s="47">
        <v>0.2</v>
      </c>
      <c r="D15" s="1" t="s">
        <v>89</v>
      </c>
      <c r="E15" s="62" t="s">
        <v>89</v>
      </c>
    </row>
    <row r="16" spans="1:5" x14ac:dyDescent="0.25">
      <c r="A16" s="1" t="s">
        <v>70</v>
      </c>
      <c r="B16" s="1">
        <v>28</v>
      </c>
      <c r="C16" s="47">
        <v>0</v>
      </c>
      <c r="D16" s="1" t="s">
        <v>89</v>
      </c>
      <c r="E16" s="62" t="s">
        <v>320</v>
      </c>
    </row>
    <row r="17" spans="1:6" x14ac:dyDescent="0.25">
      <c r="A17" s="1" t="s">
        <v>321</v>
      </c>
      <c r="B17" s="1">
        <v>29</v>
      </c>
      <c r="C17" s="47">
        <v>0.2</v>
      </c>
      <c r="D17" s="1" t="s">
        <v>89</v>
      </c>
      <c r="E17" s="62" t="s">
        <v>89</v>
      </c>
    </row>
    <row r="18" spans="1:6" x14ac:dyDescent="0.25">
      <c r="A18" s="1" t="s">
        <v>72</v>
      </c>
      <c r="B18" s="1" t="s">
        <v>322</v>
      </c>
      <c r="C18" s="47">
        <v>0</v>
      </c>
      <c r="D18" s="1" t="s">
        <v>89</v>
      </c>
      <c r="E18" s="62" t="s">
        <v>323</v>
      </c>
    </row>
    <row r="19" spans="1:6" x14ac:dyDescent="0.25">
      <c r="A19" s="1" t="s">
        <v>324</v>
      </c>
      <c r="B19" s="1" t="s">
        <v>325</v>
      </c>
      <c r="C19" s="47">
        <v>0.2</v>
      </c>
      <c r="D19" s="1" t="s">
        <v>89</v>
      </c>
      <c r="E19" s="62" t="s">
        <v>89</v>
      </c>
    </row>
    <row r="20" spans="1:6" x14ac:dyDescent="0.25">
      <c r="A20" s="1" t="s">
        <v>326</v>
      </c>
      <c r="B20" s="1">
        <v>33</v>
      </c>
      <c r="C20" s="47">
        <v>0.2</v>
      </c>
      <c r="D20" s="1" t="s">
        <v>89</v>
      </c>
      <c r="E20" s="62" t="s">
        <v>327</v>
      </c>
    </row>
    <row r="22" spans="1:6" ht="26" x14ac:dyDescent="0.25">
      <c r="A22" s="6" t="s">
        <v>328</v>
      </c>
      <c r="B22" s="6"/>
      <c r="C22" s="6" t="s">
        <v>118</v>
      </c>
      <c r="D22" s="6" t="s">
        <v>119</v>
      </c>
      <c r="E22" s="6" t="s">
        <v>120</v>
      </c>
      <c r="F22" s="6" t="s">
        <v>329</v>
      </c>
    </row>
    <row r="23" spans="1:6" x14ac:dyDescent="0.25">
      <c r="A23" s="1" t="s">
        <v>330</v>
      </c>
      <c r="C23" s="16">
        <f>'Prix et marges'!C17</f>
        <v>4919.642857142856</v>
      </c>
      <c r="D23" s="16">
        <f>'Prix et marges'!D17</f>
        <v>7124.9999999999991</v>
      </c>
      <c r="E23" s="16">
        <f>'Prix et marges'!E17</f>
        <v>9857.1428571428569</v>
      </c>
      <c r="F23" s="16">
        <f>'Prix et marges'!F17</f>
        <v>8035.7142857142853</v>
      </c>
    </row>
    <row r="24" spans="1:6" x14ac:dyDescent="0.25">
      <c r="A24" s="1" t="s">
        <v>331</v>
      </c>
      <c r="C24" s="60">
        <f>'Prix et marges'!C12</f>
        <v>0.12</v>
      </c>
      <c r="D24" s="60">
        <f>'Prix et marges'!D12</f>
        <v>0.12</v>
      </c>
      <c r="E24" s="60">
        <f>'Prix et marges'!E12</f>
        <v>0.12</v>
      </c>
      <c r="F24" s="60">
        <f>'Prix et marges'!F12</f>
        <v>0.12</v>
      </c>
    </row>
    <row r="25" spans="1:6" x14ac:dyDescent="0.25">
      <c r="A25" s="1" t="s">
        <v>332</v>
      </c>
      <c r="C25" s="16">
        <f>C23*C24</f>
        <v>590.35714285714266</v>
      </c>
      <c r="D25" s="16">
        <f>D23*D24</f>
        <v>854.99999999999989</v>
      </c>
      <c r="E25" s="16">
        <f>E23*E24</f>
        <v>1182.8571428571429</v>
      </c>
      <c r="F25" s="16">
        <f>F23*F24</f>
        <v>964.28571428571422</v>
      </c>
    </row>
    <row r="26" spans="1:6" x14ac:dyDescent="0.25">
      <c r="A26" s="1" t="s">
        <v>333</v>
      </c>
      <c r="C26" s="16">
        <f>'Prix et marges'!C19*$C$10+'Prix et marges'!C22*$C$11+'Prix et marges'!C9*'Prix et marges'!C23*$C$12+'Prix et marges'!C9*'Prix et marges'!C24*$C$13+'Prix et marges'!C26*$C$14+'Prix et marges'!C27*$C$15+'Prix et marges'!C28*$C$16+'Prix et marges'!C29*$C$17+'Prix et marges'!C30*'Prix et marges'!C17*$C$18+'Prix et marges'!C31*'Prix et marges'!C17*$C$19+'Prix et marges'!C33*$C$20</f>
        <v>1180.6750000000002</v>
      </c>
      <c r="D26" s="16">
        <f>'Prix et marges'!D19*$C$10+'Prix et marges'!D22*$C$11+'Prix et marges'!D9*'Prix et marges'!D23*$C$12+'Prix et marges'!D9*'Prix et marges'!D24*$C$13+'Prix et marges'!D26*$C$14+'Prix et marges'!D27*$C$15+'Prix et marges'!D28*$C$16+'Prix et marges'!D29*$C$17+'Prix et marges'!D30*'Prix et marges'!D17*$C$18+'Prix et marges'!D31*'Prix et marges'!D17*$C$19+'Prix et marges'!D33*$C$20</f>
        <v>1323.2</v>
      </c>
      <c r="E26" s="16">
        <f>'Prix et marges'!E19*$C$10+'Prix et marges'!E22*$C$11+'Prix et marges'!E9*'Prix et marges'!E23*$C$12+'Prix et marges'!E9*'Prix et marges'!E24*$C$13+'Prix et marges'!E26*$C$14+'Prix et marges'!E27*$C$15+'Prix et marges'!E28*$C$16+'Prix et marges'!E29*$C$17+'Prix et marges'!E30*'Prix et marges'!E17*$C$18+'Prix et marges'!E31*'Prix et marges'!E17*$C$19+'Prix et marges'!E33*$C$20</f>
        <v>1662.5428571428572</v>
      </c>
      <c r="F26" s="16">
        <f>'Prix et marges'!F19*$C$10+'Prix et marges'!F22*$C$11+'Prix et marges'!F9*'Prix et marges'!F23*$C$12+'Prix et marges'!F9*'Prix et marges'!F24*$C$13+'Prix et marges'!F26*$C$14+'Prix et marges'!F27*$C$15+'Prix et marges'!F28*$C$16+'Prix et marges'!F29*$C$17+'Prix et marges'!F30*'Prix et marges'!F17*$C$18+'Prix et marges'!F31*'Prix et marges'!F17*$C$19+'Prix et marges'!F33*$C$20</f>
        <v>1116.2142857142858</v>
      </c>
    </row>
    <row r="27" spans="1:6" x14ac:dyDescent="0.25">
      <c r="A27" s="1" t="s">
        <v>334</v>
      </c>
      <c r="C27" s="16">
        <f>C25-C26</f>
        <v>-590.31785714285752</v>
      </c>
      <c r="D27" s="16">
        <f>D25-D26</f>
        <v>-468.20000000000016</v>
      </c>
      <c r="E27" s="16">
        <f>E25-E26</f>
        <v>-479.68571428571431</v>
      </c>
      <c r="F27" s="16">
        <f>F25-F26</f>
        <v>-151.92857142857156</v>
      </c>
    </row>
    <row r="29" spans="1:6" ht="65" x14ac:dyDescent="0.25">
      <c r="A29" s="6" t="s">
        <v>335</v>
      </c>
      <c r="B29" s="6" t="s">
        <v>336</v>
      </c>
      <c r="C29" s="6" t="s">
        <v>305</v>
      </c>
      <c r="D29" s="6" t="s">
        <v>37</v>
      </c>
      <c r="E29" s="6" t="s">
        <v>293</v>
      </c>
    </row>
    <row r="30" spans="1:6" x14ac:dyDescent="0.25">
      <c r="A30" s="1" t="s">
        <v>337</v>
      </c>
      <c r="B30" s="1">
        <v>23</v>
      </c>
      <c r="C30" s="47">
        <v>0.2</v>
      </c>
      <c r="D30" s="1" t="s">
        <v>89</v>
      </c>
      <c r="E30" s="62" t="s">
        <v>89</v>
      </c>
    </row>
    <row r="31" spans="1:6" x14ac:dyDescent="0.25">
      <c r="A31" s="1" t="s">
        <v>338</v>
      </c>
      <c r="B31" s="1">
        <v>24</v>
      </c>
      <c r="C31" s="47">
        <v>0.2</v>
      </c>
      <c r="D31" s="1" t="s">
        <v>89</v>
      </c>
      <c r="E31" s="62" t="s">
        <v>89</v>
      </c>
    </row>
    <row r="32" spans="1:6" x14ac:dyDescent="0.25">
      <c r="A32" s="1" t="s">
        <v>128</v>
      </c>
      <c r="B32" s="1">
        <v>25</v>
      </c>
      <c r="C32" s="47">
        <v>0.2</v>
      </c>
      <c r="D32" s="1" t="s">
        <v>89</v>
      </c>
      <c r="E32" s="62" t="s">
        <v>339</v>
      </c>
    </row>
    <row r="33" spans="1:14" x14ac:dyDescent="0.25">
      <c r="A33" s="1" t="s">
        <v>340</v>
      </c>
      <c r="B33" s="1">
        <v>26</v>
      </c>
      <c r="C33" s="47">
        <v>0</v>
      </c>
      <c r="D33" s="1" t="s">
        <v>89</v>
      </c>
      <c r="E33" s="62" t="s">
        <v>341</v>
      </c>
    </row>
    <row r="34" spans="1:14" x14ac:dyDescent="0.25">
      <c r="A34" s="1" t="s">
        <v>342</v>
      </c>
      <c r="B34" s="1">
        <v>27</v>
      </c>
      <c r="C34" s="47">
        <v>0.2</v>
      </c>
      <c r="D34" s="1" t="s">
        <v>89</v>
      </c>
      <c r="E34" s="62" t="s">
        <v>89</v>
      </c>
    </row>
    <row r="35" spans="1:14" x14ac:dyDescent="0.25">
      <c r="A35" s="1" t="s">
        <v>131</v>
      </c>
      <c r="B35" s="1">
        <v>28</v>
      </c>
      <c r="C35" s="47">
        <v>0</v>
      </c>
      <c r="D35" s="1" t="s">
        <v>89</v>
      </c>
      <c r="E35" s="62" t="s">
        <v>343</v>
      </c>
    </row>
    <row r="36" spans="1:14" x14ac:dyDescent="0.25">
      <c r="A36" s="1" t="s">
        <v>132</v>
      </c>
      <c r="B36" s="1">
        <v>29</v>
      </c>
      <c r="C36" s="47">
        <v>0.1</v>
      </c>
      <c r="D36" s="1" t="s">
        <v>89</v>
      </c>
      <c r="E36" s="62" t="s">
        <v>344</v>
      </c>
    </row>
    <row r="37" spans="1:14" x14ac:dyDescent="0.25">
      <c r="A37" s="1" t="s">
        <v>133</v>
      </c>
      <c r="B37" s="1">
        <v>30</v>
      </c>
      <c r="C37" s="47">
        <v>0</v>
      </c>
      <c r="D37" s="1" t="s">
        <v>89</v>
      </c>
      <c r="E37" s="62" t="s">
        <v>345</v>
      </c>
    </row>
    <row r="38" spans="1:14" x14ac:dyDescent="0.25">
      <c r="A38" s="1" t="s">
        <v>346</v>
      </c>
      <c r="B38" s="1" t="s">
        <v>347</v>
      </c>
      <c r="C38" s="47">
        <v>0.2</v>
      </c>
      <c r="D38" s="1" t="s">
        <v>89</v>
      </c>
      <c r="E38" s="62" t="s">
        <v>89</v>
      </c>
    </row>
    <row r="40" spans="1:14" ht="13" x14ac:dyDescent="0.3">
      <c r="A40" s="2" t="s">
        <v>348</v>
      </c>
    </row>
    <row r="41" spans="1:14" ht="26" x14ac:dyDescent="0.3">
      <c r="A41" s="6" t="s">
        <v>31</v>
      </c>
      <c r="B41" s="6" t="s">
        <v>116</v>
      </c>
      <c r="C41" s="61">
        <f>'Budget mensuel'!C5</f>
        <v>46327</v>
      </c>
      <c r="D41" s="61">
        <f>'Budget mensuel'!D5</f>
        <v>46357</v>
      </c>
      <c r="E41" s="61">
        <f>'Budget mensuel'!E5</f>
        <v>46388</v>
      </c>
      <c r="F41" s="61">
        <f>'Budget mensuel'!F5</f>
        <v>46419</v>
      </c>
      <c r="G41" s="61">
        <f>'Budget mensuel'!G5</f>
        <v>46447</v>
      </c>
      <c r="H41" s="61">
        <f>'Budget mensuel'!H5</f>
        <v>46478</v>
      </c>
      <c r="I41" s="61">
        <f>'Budget mensuel'!I5</f>
        <v>46508</v>
      </c>
      <c r="J41" s="61">
        <f>'Budget mensuel'!J5</f>
        <v>46539</v>
      </c>
      <c r="K41" s="61">
        <f>'Budget mensuel'!K5</f>
        <v>46569</v>
      </c>
      <c r="L41" s="61">
        <f>'Budget mensuel'!L5</f>
        <v>46600</v>
      </c>
      <c r="M41" s="61">
        <f>'Budget mensuel'!M5</f>
        <v>46631</v>
      </c>
      <c r="N41" s="61">
        <f>'Budget mensuel'!N5</f>
        <v>46661</v>
      </c>
    </row>
    <row r="42" spans="1:14" x14ac:dyDescent="0.25">
      <c r="A42" s="1" t="s">
        <v>300</v>
      </c>
      <c r="B42" s="16">
        <f>SUM(C42:N42)</f>
        <v>14634.642857142855</v>
      </c>
      <c r="C42" s="16">
        <f>'Budget mensuel'!C7*$C$25+'Budget mensuel'!C8*$D$25+'Budget mensuel'!C9*$E$25+'Budget mensuel'!C10*$F$25</f>
        <v>0</v>
      </c>
      <c r="D42" s="16">
        <f>'Budget mensuel'!D7*$C$25+'Budget mensuel'!D8*$D$25+'Budget mensuel'!D9*$E$25+'Budget mensuel'!D10*$F$25</f>
        <v>0</v>
      </c>
      <c r="E42" s="16">
        <f>'Budget mensuel'!E7*$C$25+'Budget mensuel'!E8*$D$25+'Budget mensuel'!E9*$E$25+'Budget mensuel'!E10*$F$25</f>
        <v>590.35714285714266</v>
      </c>
      <c r="F42" s="16">
        <f>'Budget mensuel'!F7*$C$25+'Budget mensuel'!F8*$D$25+'Budget mensuel'!F9*$E$25+'Budget mensuel'!F10*$F$25</f>
        <v>1182.8571428571429</v>
      </c>
      <c r="G42" s="16">
        <f>'Budget mensuel'!G7*$C$25+'Budget mensuel'!G8*$D$25+'Budget mensuel'!G9*$E$25+'Budget mensuel'!G10*$F$25</f>
        <v>854.99999999999989</v>
      </c>
      <c r="H42" s="16">
        <f>'Budget mensuel'!H7*$C$25+'Budget mensuel'!H8*$D$25+'Budget mensuel'!H9*$E$25+'Budget mensuel'!H10*$F$25</f>
        <v>1554.6428571428569</v>
      </c>
      <c r="I42" s="16">
        <f>'Budget mensuel'!I7*$C$25+'Budget mensuel'!I8*$D$25+'Budget mensuel'!I9*$E$25+'Budget mensuel'!I10*$F$25</f>
        <v>2147.1428571428569</v>
      </c>
      <c r="J42" s="16">
        <f>'Budget mensuel'!J7*$C$25+'Budget mensuel'!J8*$D$25+'Budget mensuel'!J9*$E$25+'Budget mensuel'!J10*$F$25</f>
        <v>1819.2857142857142</v>
      </c>
      <c r="K42" s="16">
        <f>'Budget mensuel'!K7*$C$25+'Budget mensuel'!K8*$D$25+'Budget mensuel'!K9*$E$25+'Budget mensuel'!K10*$F$25</f>
        <v>590.35714285714266</v>
      </c>
      <c r="L42" s="16">
        <f>'Budget mensuel'!L7*$C$25+'Budget mensuel'!L8*$D$25+'Budget mensuel'!L9*$E$25+'Budget mensuel'!L10*$F$25</f>
        <v>0</v>
      </c>
      <c r="M42" s="16">
        <f>'Budget mensuel'!M7*$C$25+'Budget mensuel'!M8*$D$25+'Budget mensuel'!M9*$E$25+'Budget mensuel'!M10*$F$25</f>
        <v>3111.4285714285716</v>
      </c>
      <c r="N42" s="16">
        <f>'Budget mensuel'!N7*$C$25+'Budget mensuel'!N8*$D$25+'Budget mensuel'!N9*$E$25+'Budget mensuel'!N10*$F$25</f>
        <v>2783.5714285714284</v>
      </c>
    </row>
    <row r="43" spans="1:14" x14ac:dyDescent="0.25">
      <c r="A43" s="1" t="s">
        <v>333</v>
      </c>
      <c r="B43" s="16">
        <f>SUM(C43:N43)</f>
        <v>20543.75357142857</v>
      </c>
      <c r="C43" s="16">
        <f>'Budget mensuel'!C7*$C$26+'Budget mensuel'!C8*$D$26+'Budget mensuel'!C9*$E$26+'Budget mensuel'!C10*$F$26+'Budget mensuel'!C40*$C$14</f>
        <v>0</v>
      </c>
      <c r="D43" s="16">
        <f>'Budget mensuel'!D7*$C$26+'Budget mensuel'!D8*$D$26+'Budget mensuel'!D9*$E$26+'Budget mensuel'!D10*$F$26+'Budget mensuel'!D40*$C$14</f>
        <v>0</v>
      </c>
      <c r="E43" s="16">
        <f>'Budget mensuel'!E7*$C$26+'Budget mensuel'!E8*$D$26+'Budget mensuel'!E9*$E$26+'Budget mensuel'!E10*$F$26+'Budget mensuel'!E40*$C$14</f>
        <v>1320.6750000000002</v>
      </c>
      <c r="F43" s="16">
        <f>'Budget mensuel'!F7*$C$26+'Budget mensuel'!F8*$D$26+'Budget mensuel'!F9*$E$26+'Budget mensuel'!F10*$F$26+'Budget mensuel'!F40*$C$14</f>
        <v>1753.5428571428572</v>
      </c>
      <c r="G43" s="16">
        <f>'Budget mensuel'!G7*$C$26+'Budget mensuel'!G8*$D$26+'Budget mensuel'!G9*$E$26+'Budget mensuel'!G10*$F$26+'Budget mensuel'!G40*$C$14</f>
        <v>1323.2</v>
      </c>
      <c r="H43" s="16">
        <f>'Budget mensuel'!H7*$C$26+'Budget mensuel'!H8*$D$26+'Budget mensuel'!H9*$E$26+'Budget mensuel'!H10*$F$26+'Budget mensuel'!H40*$C$14</f>
        <v>2296.889285714286</v>
      </c>
      <c r="I43" s="16">
        <f>'Budget mensuel'!I7*$C$26+'Budget mensuel'!I8*$D$26+'Budget mensuel'!I9*$E$26+'Budget mensuel'!I10*$F$26+'Budget mensuel'!I40*$C$14</f>
        <v>2778.7571428571428</v>
      </c>
      <c r="J43" s="16">
        <f>'Budget mensuel'!J7*$C$26+'Budget mensuel'!J8*$D$26+'Budget mensuel'!J9*$E$26+'Budget mensuel'!J10*$F$26+'Budget mensuel'!J40*$C$14</f>
        <v>2439.4142857142861</v>
      </c>
      <c r="K43" s="16">
        <f>'Budget mensuel'!K7*$C$26+'Budget mensuel'!K8*$D$26+'Budget mensuel'!K9*$E$26+'Budget mensuel'!K10*$F$26+'Budget mensuel'!K40*$C$14</f>
        <v>1180.6750000000002</v>
      </c>
      <c r="L43" s="16">
        <f>'Budget mensuel'!L7*$C$26+'Budget mensuel'!L8*$D$26+'Budget mensuel'!L9*$E$26+'Budget mensuel'!L10*$F$26+'Budget mensuel'!L40*$C$14</f>
        <v>0</v>
      </c>
      <c r="M43" s="16">
        <f>'Budget mensuel'!M7*$C$26+'Budget mensuel'!M8*$D$26+'Budget mensuel'!M9*$E$26+'Budget mensuel'!M10*$F$26+'Budget mensuel'!M40*$C$14</f>
        <v>3894.971428571429</v>
      </c>
      <c r="N43" s="16">
        <f>'Budget mensuel'!N7*$C$26+'Budget mensuel'!N8*$D$26+'Budget mensuel'!N9*$E$26+'Budget mensuel'!N10*$F$26+'Budget mensuel'!N40*$C$14</f>
        <v>3555.6285714285714</v>
      </c>
    </row>
    <row r="44" spans="1:14" x14ac:dyDescent="0.25">
      <c r="A44" s="1" t="s">
        <v>355</v>
      </c>
      <c r="B44" s="16">
        <f>SUM(C44:N44)</f>
        <v>2232</v>
      </c>
      <c r="C44" s="16">
        <f>'Budget mensuel'!C23*$C$30+'Budget mensuel'!C24*$C$31+'Budget mensuel'!C25*$C$32+'Budget mensuel'!C26*$C$33+'Budget mensuel'!C27*$C$34+'Budget mensuel'!C28*$C$35+'Budget mensuel'!C29*$C$36+'Budget mensuel'!C30*$C$37</f>
        <v>401</v>
      </c>
      <c r="D44" s="16">
        <f>'Budget mensuel'!D23*$C$30+'Budget mensuel'!D24*$C$31+'Budget mensuel'!D25*$C$32+'Budget mensuel'!D26*$C$33+'Budget mensuel'!D27*$C$34+'Budget mensuel'!D28*$C$35+'Budget mensuel'!D29*$C$36+'Budget mensuel'!D30*$C$37</f>
        <v>341</v>
      </c>
      <c r="E44" s="16">
        <f>'Budget mensuel'!E23*$C$30+'Budget mensuel'!E24*$C$31+'Budget mensuel'!E25*$C$32+'Budget mensuel'!E26*$C$33+'Budget mensuel'!E27*$C$34+'Budget mensuel'!E28*$C$35+'Budget mensuel'!E29*$C$36+'Budget mensuel'!E30*$C$37</f>
        <v>341</v>
      </c>
      <c r="F44" s="16">
        <f>'Budget mensuel'!F23*$C$30+'Budget mensuel'!F24*$C$31+'Budget mensuel'!F25*$C$32+'Budget mensuel'!F26*$C$33+'Budget mensuel'!F27*$C$34+'Budget mensuel'!F28*$C$35+'Budget mensuel'!F29*$C$36+'Budget mensuel'!F30*$C$37</f>
        <v>341</v>
      </c>
      <c r="G44" s="16">
        <f>'Budget mensuel'!G23*$C$30+'Budget mensuel'!G24*$C$31+'Budget mensuel'!G25*$C$32+'Budget mensuel'!G26*$C$33+'Budget mensuel'!G27*$C$34+'Budget mensuel'!G28*$C$35+'Budget mensuel'!G29*$C$36+'Budget mensuel'!G30*$C$37</f>
        <v>101</v>
      </c>
      <c r="H44" s="16">
        <f>'Budget mensuel'!H23*$C$30+'Budget mensuel'!H24*$C$31+'Budget mensuel'!H25*$C$32+'Budget mensuel'!H26*$C$33+'Budget mensuel'!H27*$C$34+'Budget mensuel'!H28*$C$35+'Budget mensuel'!H29*$C$36+'Budget mensuel'!H30*$C$37</f>
        <v>101</v>
      </c>
      <c r="I44" s="16">
        <f>'Budget mensuel'!I23*$C$30+'Budget mensuel'!I24*$C$31+'Budget mensuel'!I25*$C$32+'Budget mensuel'!I26*$C$33+'Budget mensuel'!I27*$C$34+'Budget mensuel'!I28*$C$35+'Budget mensuel'!I29*$C$36+'Budget mensuel'!I30*$C$37</f>
        <v>101</v>
      </c>
      <c r="J44" s="16">
        <f>'Budget mensuel'!J23*$C$30+'Budget mensuel'!J24*$C$31+'Budget mensuel'!J25*$C$32+'Budget mensuel'!J26*$C$33+'Budget mensuel'!J27*$C$34+'Budget mensuel'!J28*$C$35+'Budget mensuel'!J29*$C$36+'Budget mensuel'!J30*$C$37</f>
        <v>101</v>
      </c>
      <c r="K44" s="16">
        <f>'Budget mensuel'!K23*$C$30+'Budget mensuel'!K24*$C$31+'Budget mensuel'!K25*$C$32+'Budget mensuel'!K26*$C$33+'Budget mensuel'!K27*$C$34+'Budget mensuel'!K28*$C$35+'Budget mensuel'!K29*$C$36+'Budget mensuel'!K30*$C$37</f>
        <v>101</v>
      </c>
      <c r="L44" s="16">
        <f>'Budget mensuel'!L23*$C$30+'Budget mensuel'!L24*$C$31+'Budget mensuel'!L25*$C$32+'Budget mensuel'!L26*$C$33+'Budget mensuel'!L27*$C$34+'Budget mensuel'!L28*$C$35+'Budget mensuel'!L29*$C$36+'Budget mensuel'!L30*$C$37</f>
        <v>101</v>
      </c>
      <c r="M44" s="16">
        <f>'Budget mensuel'!M23*$C$30+'Budget mensuel'!M24*$C$31+'Budget mensuel'!M25*$C$32+'Budget mensuel'!M26*$C$33+'Budget mensuel'!M27*$C$34+'Budget mensuel'!M28*$C$35+'Budget mensuel'!M29*$C$36+'Budget mensuel'!M30*$C$37</f>
        <v>101</v>
      </c>
      <c r="N44" s="16">
        <f>'Budget mensuel'!N23*$C$30+'Budget mensuel'!N24*$C$31+'Budget mensuel'!N25*$C$32+'Budget mensuel'!N26*$C$33+'Budget mensuel'!N27*$C$34+'Budget mensuel'!N28*$C$35+'Budget mensuel'!N29*$C$36+'Budget mensuel'!N30*$C$37</f>
        <v>101</v>
      </c>
    </row>
    <row r="45" spans="1:14" x14ac:dyDescent="0.25">
      <c r="A45" s="1" t="s">
        <v>354</v>
      </c>
      <c r="B45" s="16">
        <f>SUM(C45:N45)</f>
        <v>600</v>
      </c>
      <c r="C45" s="16">
        <f>'Plan financier 3 ans'!$C$22*$C$38</f>
        <v>600</v>
      </c>
      <c r="D45" s="16">
        <v>0</v>
      </c>
      <c r="E45" s="16">
        <v>0</v>
      </c>
      <c r="F45" s="16">
        <v>0</v>
      </c>
      <c r="G45" s="16">
        <v>0</v>
      </c>
      <c r="H45" s="16">
        <v>0</v>
      </c>
      <c r="I45" s="16">
        <v>0</v>
      </c>
      <c r="J45" s="16">
        <v>0</v>
      </c>
      <c r="K45" s="16">
        <v>0</v>
      </c>
      <c r="L45" s="16">
        <v>0</v>
      </c>
      <c r="M45" s="16">
        <v>0</v>
      </c>
      <c r="N45" s="16">
        <v>0</v>
      </c>
    </row>
    <row r="46" spans="1:14" ht="13" x14ac:dyDescent="0.3">
      <c r="A46" s="2" t="s">
        <v>353</v>
      </c>
      <c r="B46" s="17">
        <f>SUM(C46:N46)</f>
        <v>-8741.1107142857163</v>
      </c>
      <c r="C46" s="17">
        <f>C42-C43-C44-C45</f>
        <v>-1001</v>
      </c>
      <c r="D46" s="17">
        <f>D42-D43-D44-D45</f>
        <v>-341</v>
      </c>
      <c r="E46" s="17">
        <f>E42-E43-E44-E45</f>
        <v>-1071.3178571428575</v>
      </c>
      <c r="F46" s="17">
        <f>F42-F43-F44-F45</f>
        <v>-911.68571428571431</v>
      </c>
      <c r="G46" s="17">
        <f>G42-G43-G44-G45</f>
        <v>-569.20000000000016</v>
      </c>
      <c r="H46" s="17">
        <f>H42-H43-H44-H45</f>
        <v>-843.24642857142908</v>
      </c>
      <c r="I46" s="17">
        <f>I42-I43-I44-I45</f>
        <v>-732.61428571428587</v>
      </c>
      <c r="J46" s="17">
        <f>J42-J43-J44-J45</f>
        <v>-721.12857142857183</v>
      </c>
      <c r="K46" s="17">
        <f>K42-K43-K44-K45</f>
        <v>-691.31785714285752</v>
      </c>
      <c r="L46" s="17">
        <f>L42-L43-L44-L45</f>
        <v>-101</v>
      </c>
      <c r="M46" s="17">
        <f>M42-M43-M44-M45</f>
        <v>-884.54285714285743</v>
      </c>
      <c r="N46" s="17">
        <f>N42-N43-N44-N45</f>
        <v>-873.05714285714294</v>
      </c>
    </row>
    <row r="47" spans="1:14" x14ac:dyDescent="0.25">
      <c r="A47" s="1" t="s">
        <v>352</v>
      </c>
      <c r="B47" s="16">
        <f>C47</f>
        <v>0</v>
      </c>
      <c r="C47" s="16">
        <v>0</v>
      </c>
      <c r="D47" s="16">
        <f>C49</f>
        <v>1001</v>
      </c>
      <c r="E47" s="16">
        <f>D49</f>
        <v>1342</v>
      </c>
      <c r="F47" s="16">
        <f>E49</f>
        <v>2413.3178571428575</v>
      </c>
      <c r="G47" s="16">
        <f>F49</f>
        <v>3325.0035714285718</v>
      </c>
      <c r="H47" s="16">
        <f>G49</f>
        <v>3894.2035714285721</v>
      </c>
      <c r="I47" s="16">
        <f>H49</f>
        <v>4737.4500000000007</v>
      </c>
      <c r="J47" s="16">
        <f>I49</f>
        <v>5470.0642857142866</v>
      </c>
      <c r="K47" s="16">
        <f>J49</f>
        <v>6191.192857142858</v>
      </c>
      <c r="L47" s="16">
        <f>K49</f>
        <v>6882.5107142857159</v>
      </c>
      <c r="M47" s="16">
        <f>L49</f>
        <v>6983.5107142857159</v>
      </c>
      <c r="N47" s="16">
        <f>M49</f>
        <v>7868.0535714285734</v>
      </c>
    </row>
    <row r="48" spans="1:14" x14ac:dyDescent="0.25">
      <c r="A48" s="1" t="s">
        <v>351</v>
      </c>
      <c r="B48" s="16">
        <f>SUM(C48:N48)</f>
        <v>0</v>
      </c>
      <c r="C48" s="16">
        <f>MAX(0,C46-C47)</f>
        <v>0</v>
      </c>
      <c r="D48" s="16">
        <f>MAX(0,D46-D47)</f>
        <v>0</v>
      </c>
      <c r="E48" s="16">
        <f>MAX(0,E46-E47)</f>
        <v>0</v>
      </c>
      <c r="F48" s="16">
        <f>MAX(0,F46-F47)</f>
        <v>0</v>
      </c>
      <c r="G48" s="16">
        <f>MAX(0,G46-G47)</f>
        <v>0</v>
      </c>
      <c r="H48" s="16">
        <f>MAX(0,H46-H47)</f>
        <v>0</v>
      </c>
      <c r="I48" s="16">
        <f>MAX(0,I46-I47)</f>
        <v>0</v>
      </c>
      <c r="J48" s="16">
        <f>MAX(0,J46-J47)</f>
        <v>0</v>
      </c>
      <c r="K48" s="16">
        <f>MAX(0,K46-K47)</f>
        <v>0</v>
      </c>
      <c r="L48" s="16">
        <f>MAX(0,L46-L47)</f>
        <v>0</v>
      </c>
      <c r="M48" s="16">
        <f>MAX(0,M46-M47)</f>
        <v>0</v>
      </c>
      <c r="N48" s="16">
        <f>MAX(0,N46-N47)</f>
        <v>0</v>
      </c>
    </row>
    <row r="49" spans="1:14" x14ac:dyDescent="0.25">
      <c r="A49" s="1" t="s">
        <v>350</v>
      </c>
      <c r="B49" s="16">
        <f>N49</f>
        <v>8741.1107142857163</v>
      </c>
      <c r="C49" s="16">
        <f>MAX(0,C47-C46)</f>
        <v>1001</v>
      </c>
      <c r="D49" s="16">
        <f>MAX(0,D47-D46)</f>
        <v>1342</v>
      </c>
      <c r="E49" s="16">
        <f>MAX(0,E47-E46)</f>
        <v>2413.3178571428575</v>
      </c>
      <c r="F49" s="16">
        <f>MAX(0,F47-F46)</f>
        <v>3325.0035714285718</v>
      </c>
      <c r="G49" s="16">
        <f>MAX(0,G47-G46)</f>
        <v>3894.2035714285721</v>
      </c>
      <c r="H49" s="16">
        <f>MAX(0,H47-H46)</f>
        <v>4737.4500000000007</v>
      </c>
      <c r="I49" s="16">
        <f>MAX(0,I47-I46)</f>
        <v>5470.0642857142866</v>
      </c>
      <c r="J49" s="16">
        <f>MAX(0,J47-J46)</f>
        <v>6191.192857142858</v>
      </c>
      <c r="K49" s="16">
        <f>MAX(0,K47-K46)</f>
        <v>6882.5107142857159</v>
      </c>
      <c r="L49" s="16">
        <f>MAX(0,L47-L46)</f>
        <v>6983.5107142857159</v>
      </c>
      <c r="M49" s="16">
        <f>MAX(0,M47-M46)</f>
        <v>7868.0535714285734</v>
      </c>
      <c r="N49" s="16">
        <f>MAX(0,N47-N46)</f>
        <v>8741.1107142857163</v>
      </c>
    </row>
    <row r="50" spans="1:14" x14ac:dyDescent="0.25">
      <c r="A50" s="1" t="s">
        <v>349</v>
      </c>
      <c r="B50" s="16">
        <f>SUM(C50:N50)</f>
        <v>0</v>
      </c>
      <c r="C50" s="16">
        <v>0</v>
      </c>
      <c r="D50" s="16">
        <f>C48</f>
        <v>0</v>
      </c>
      <c r="E50" s="16">
        <f>D48</f>
        <v>0</v>
      </c>
      <c r="F50" s="16">
        <f>E48</f>
        <v>0</v>
      </c>
      <c r="G50" s="16">
        <f>F48</f>
        <v>0</v>
      </c>
      <c r="H50" s="16">
        <f>G48</f>
        <v>0</v>
      </c>
      <c r="I50" s="16">
        <f>H48</f>
        <v>0</v>
      </c>
      <c r="J50" s="16">
        <f>I48</f>
        <v>0</v>
      </c>
      <c r="K50" s="16">
        <f>J48</f>
        <v>0</v>
      </c>
      <c r="L50" s="16">
        <f>K48</f>
        <v>0</v>
      </c>
      <c r="M50" s="16">
        <f>L48</f>
        <v>0</v>
      </c>
      <c r="N50" s="16">
        <f>M48</f>
        <v>0</v>
      </c>
    </row>
    <row r="51" spans="1:14" ht="13" x14ac:dyDescent="0.3">
      <c r="A51" s="45" t="s">
        <v>356</v>
      </c>
      <c r="B51" s="46">
        <f>SUM(C51:N51)</f>
        <v>-8741.1107142857163</v>
      </c>
      <c r="C51" s="46">
        <f>C42-C43-C44-C45-C50</f>
        <v>-1001</v>
      </c>
      <c r="D51" s="46">
        <f>D42-D43-D44-D45-D50</f>
        <v>-341</v>
      </c>
      <c r="E51" s="46">
        <f>E42-E43-E44-E45-E50</f>
        <v>-1071.3178571428575</v>
      </c>
      <c r="F51" s="46">
        <f>F42-F43-F44-F45-F50</f>
        <v>-911.68571428571431</v>
      </c>
      <c r="G51" s="46">
        <f>G42-G43-G44-G45-G50</f>
        <v>-569.20000000000016</v>
      </c>
      <c r="H51" s="46">
        <f>H42-H43-H44-H45-H50</f>
        <v>-843.24642857142908</v>
      </c>
      <c r="I51" s="46">
        <f>I42-I43-I44-I45-I50</f>
        <v>-732.61428571428587</v>
      </c>
      <c r="J51" s="46">
        <f>J42-J43-J44-J45-J50</f>
        <v>-721.12857142857183</v>
      </c>
      <c r="K51" s="46">
        <f>K42-K43-K44-K45-K50</f>
        <v>-691.31785714285752</v>
      </c>
      <c r="L51" s="46">
        <f>L42-L43-L44-L45-L50</f>
        <v>-101</v>
      </c>
      <c r="M51" s="46">
        <f>M42-M43-M44-M45-M50</f>
        <v>-884.54285714285743</v>
      </c>
      <c r="N51" s="46">
        <f>N42-N43-N44-N45-N50</f>
        <v>-873.05714285714294</v>
      </c>
    </row>
    <row r="53" spans="1:14" ht="13" x14ac:dyDescent="0.3">
      <c r="A53" s="4" t="s">
        <v>357</v>
      </c>
    </row>
    <row r="54" spans="1:14" ht="13" x14ac:dyDescent="0.3">
      <c r="A54" s="4" t="s">
        <v>358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898DBE-F173-4946-8908-F62FA6ACEF06}">
  <dimension ref="A1:N27"/>
  <sheetViews>
    <sheetView zoomScaleNormal="100" workbookViewId="0">
      <pane xSplit="2" ySplit="5" topLeftCell="C6" activePane="bottomRight" state="frozenSplit"/>
      <selection pane="topRight" activeCell="C1" sqref="C1"/>
      <selection pane="bottomLeft" activeCell="A6" sqref="A6"/>
      <selection pane="bottomRight"/>
    </sheetView>
  </sheetViews>
  <sheetFormatPr baseColWidth="10" defaultRowHeight="12.5" x14ac:dyDescent="0.25"/>
  <cols>
    <col min="1" max="1" width="36.6328125" style="1" customWidth="1"/>
    <col min="2" max="2" width="14.6328125" style="1" customWidth="1"/>
    <col min="3" max="14" width="12.6328125" style="1" customWidth="1"/>
    <col min="15" max="16384" width="10.90625" style="1"/>
  </cols>
  <sheetData>
    <row r="1" spans="1:14" ht="18" x14ac:dyDescent="0.4">
      <c r="A1" s="3" t="s">
        <v>149</v>
      </c>
    </row>
    <row r="2" spans="1:14" ht="13" x14ac:dyDescent="0.3">
      <c r="A2" s="4" t="s">
        <v>150</v>
      </c>
    </row>
    <row r="5" spans="1:14" ht="13" x14ac:dyDescent="0.3">
      <c r="A5" s="5" t="s">
        <v>151</v>
      </c>
      <c r="B5" s="5" t="s">
        <v>116</v>
      </c>
      <c r="C5" s="33">
        <f>IF('Budget mensuel'!$C$3="","Mois "&amp;(COLUMN()-2),EDATE('Budget mensuel'!$C$3,COLUMN()-3))</f>
        <v>46327</v>
      </c>
      <c r="D5" s="33">
        <f>IF('Budget mensuel'!$C$3="","Mois "&amp;(COLUMN()-2),EDATE('Budget mensuel'!$C$3,COLUMN()-3))</f>
        <v>46357</v>
      </c>
      <c r="E5" s="33">
        <f>IF('Budget mensuel'!$C$3="","Mois "&amp;(COLUMN()-2),EDATE('Budget mensuel'!$C$3,COLUMN()-3))</f>
        <v>46388</v>
      </c>
      <c r="F5" s="33">
        <f>IF('Budget mensuel'!$C$3="","Mois "&amp;(COLUMN()-2),EDATE('Budget mensuel'!$C$3,COLUMN()-3))</f>
        <v>46419</v>
      </c>
      <c r="G5" s="33">
        <f>IF('Budget mensuel'!$C$3="","Mois "&amp;(COLUMN()-2),EDATE('Budget mensuel'!$C$3,COLUMN()-3))</f>
        <v>46447</v>
      </c>
      <c r="H5" s="33">
        <f>IF('Budget mensuel'!$C$3="","Mois "&amp;(COLUMN()-2),EDATE('Budget mensuel'!$C$3,COLUMN()-3))</f>
        <v>46478</v>
      </c>
      <c r="I5" s="33">
        <f>IF('Budget mensuel'!$C$3="","Mois "&amp;(COLUMN()-2),EDATE('Budget mensuel'!$C$3,COLUMN()-3))</f>
        <v>46508</v>
      </c>
      <c r="J5" s="33">
        <f>IF('Budget mensuel'!$C$3="","Mois "&amp;(COLUMN()-2),EDATE('Budget mensuel'!$C$3,COLUMN()-3))</f>
        <v>46539</v>
      </c>
      <c r="K5" s="33">
        <f>IF('Budget mensuel'!$C$3="","Mois "&amp;(COLUMN()-2),EDATE('Budget mensuel'!$C$3,COLUMN()-3))</f>
        <v>46569</v>
      </c>
      <c r="L5" s="33">
        <f>IF('Budget mensuel'!$C$3="","Mois "&amp;(COLUMN()-2),EDATE('Budget mensuel'!$C$3,COLUMN()-3))</f>
        <v>46600</v>
      </c>
      <c r="M5" s="33">
        <f>IF('Budget mensuel'!$C$3="","Mois "&amp;(COLUMN()-2),EDATE('Budget mensuel'!$C$3,COLUMN()-3))</f>
        <v>46631</v>
      </c>
      <c r="N5" s="33">
        <f>IF('Budget mensuel'!$C$3="","Mois "&amp;(COLUMN()-2),EDATE('Budget mensuel'!$C$3,COLUMN()-3))</f>
        <v>46661</v>
      </c>
    </row>
    <row r="6" spans="1:14" ht="13" x14ac:dyDescent="0.3">
      <c r="A6" s="10" t="s">
        <v>152</v>
      </c>
      <c r="B6" s="10"/>
      <c r="C6" s="10"/>
      <c r="D6" s="10"/>
      <c r="E6" s="10"/>
      <c r="F6" s="10"/>
      <c r="G6" s="10"/>
      <c r="H6" s="10"/>
      <c r="I6" s="10"/>
      <c r="J6" s="10"/>
      <c r="K6" s="10"/>
      <c r="L6" s="10"/>
      <c r="M6" s="10"/>
      <c r="N6" s="10"/>
    </row>
    <row r="7" spans="1:14" x14ac:dyDescent="0.25">
      <c r="A7" s="1" t="s">
        <v>153</v>
      </c>
      <c r="B7" s="13">
        <f>SUM(C7:N7)</f>
        <v>16</v>
      </c>
      <c r="C7" s="35">
        <f>'Budget mensuel'!C11</f>
        <v>0</v>
      </c>
      <c r="D7" s="35">
        <f>'Budget mensuel'!D11</f>
        <v>0</v>
      </c>
      <c r="E7" s="35">
        <f>'Budget mensuel'!E11</f>
        <v>1</v>
      </c>
      <c r="F7" s="35">
        <f>'Budget mensuel'!F11</f>
        <v>1</v>
      </c>
      <c r="G7" s="35">
        <f>'Budget mensuel'!G11</f>
        <v>1</v>
      </c>
      <c r="H7" s="35">
        <f>'Budget mensuel'!H11</f>
        <v>2</v>
      </c>
      <c r="I7" s="35">
        <f>'Budget mensuel'!I11</f>
        <v>2</v>
      </c>
      <c r="J7" s="35">
        <f>'Budget mensuel'!J11</f>
        <v>2</v>
      </c>
      <c r="K7" s="35">
        <f>'Budget mensuel'!K11</f>
        <v>1</v>
      </c>
      <c r="L7" s="35">
        <f>'Budget mensuel'!L11</f>
        <v>0</v>
      </c>
      <c r="M7" s="35">
        <f>'Budget mensuel'!M11</f>
        <v>3</v>
      </c>
      <c r="N7" s="35">
        <f>'Budget mensuel'!N11</f>
        <v>3</v>
      </c>
    </row>
    <row r="8" spans="1:14" x14ac:dyDescent="0.25">
      <c r="A8" s="1" t="s">
        <v>154</v>
      </c>
      <c r="B8" s="13">
        <f>SUM(C8:N8)</f>
        <v>0</v>
      </c>
      <c r="C8" s="12"/>
      <c r="D8" s="12"/>
      <c r="E8" s="12"/>
      <c r="F8" s="12"/>
      <c r="G8" s="12"/>
      <c r="H8" s="12"/>
      <c r="I8" s="12"/>
      <c r="J8" s="12"/>
      <c r="K8" s="12"/>
      <c r="L8" s="12"/>
      <c r="M8" s="12"/>
      <c r="N8" s="12"/>
    </row>
    <row r="9" spans="1:14" ht="13" x14ac:dyDescent="0.3">
      <c r="A9" s="2" t="s">
        <v>155</v>
      </c>
      <c r="B9" s="14">
        <f>SUM(C9:N9)</f>
        <v>0</v>
      </c>
      <c r="C9" s="14">
        <f t="shared" ref="C9:N9" si="0">IF(C8="",0,C8-C7)</f>
        <v>0</v>
      </c>
      <c r="D9" s="14">
        <f t="shared" si="0"/>
        <v>0</v>
      </c>
      <c r="E9" s="14">
        <f t="shared" si="0"/>
        <v>0</v>
      </c>
      <c r="F9" s="14">
        <f t="shared" si="0"/>
        <v>0</v>
      </c>
      <c r="G9" s="14">
        <f t="shared" si="0"/>
        <v>0</v>
      </c>
      <c r="H9" s="14">
        <f t="shared" si="0"/>
        <v>0</v>
      </c>
      <c r="I9" s="14">
        <f t="shared" si="0"/>
        <v>0</v>
      </c>
      <c r="J9" s="14">
        <f t="shared" si="0"/>
        <v>0</v>
      </c>
      <c r="K9" s="14">
        <f t="shared" si="0"/>
        <v>0</v>
      </c>
      <c r="L9" s="14">
        <f t="shared" si="0"/>
        <v>0</v>
      </c>
      <c r="M9" s="14">
        <f t="shared" si="0"/>
        <v>0</v>
      </c>
      <c r="N9" s="14">
        <f t="shared" si="0"/>
        <v>0</v>
      </c>
    </row>
    <row r="11" spans="1:14" ht="13" x14ac:dyDescent="0.3">
      <c r="A11" s="10" t="s">
        <v>124</v>
      </c>
      <c r="B11" s="10"/>
      <c r="C11" s="10"/>
      <c r="D11" s="10"/>
      <c r="E11" s="10"/>
      <c r="F11" s="10"/>
      <c r="G11" s="10"/>
      <c r="H11" s="10"/>
      <c r="I11" s="10"/>
      <c r="J11" s="10"/>
      <c r="K11" s="10"/>
      <c r="L11" s="10"/>
      <c r="M11" s="10"/>
      <c r="N11" s="10"/>
    </row>
    <row r="12" spans="1:14" x14ac:dyDescent="0.25">
      <c r="A12" s="1" t="s">
        <v>153</v>
      </c>
      <c r="B12" s="16">
        <f>SUM(C12:N12)</f>
        <v>121955.35714285714</v>
      </c>
      <c r="C12" s="36">
        <f>'Budget mensuel'!C13</f>
        <v>0</v>
      </c>
      <c r="D12" s="36">
        <f>'Budget mensuel'!D13</f>
        <v>0</v>
      </c>
      <c r="E12" s="36">
        <f>'Budget mensuel'!E13</f>
        <v>4919.642857142856</v>
      </c>
      <c r="F12" s="36">
        <f>'Budget mensuel'!F13</f>
        <v>9857.1428571428569</v>
      </c>
      <c r="G12" s="36">
        <f>'Budget mensuel'!G13</f>
        <v>7124.9999999999991</v>
      </c>
      <c r="H12" s="36">
        <f>'Budget mensuel'!H13</f>
        <v>12955.357142857141</v>
      </c>
      <c r="I12" s="36">
        <f>'Budget mensuel'!I13</f>
        <v>17892.857142857141</v>
      </c>
      <c r="J12" s="36">
        <f>'Budget mensuel'!J13</f>
        <v>15160.714285714284</v>
      </c>
      <c r="K12" s="36">
        <f>'Budget mensuel'!K13</f>
        <v>4919.642857142856</v>
      </c>
      <c r="L12" s="36">
        <f>'Budget mensuel'!L13</f>
        <v>0</v>
      </c>
      <c r="M12" s="36">
        <f>'Budget mensuel'!M13</f>
        <v>25928.571428571428</v>
      </c>
      <c r="N12" s="36">
        <f>'Budget mensuel'!N13</f>
        <v>23196.428571428569</v>
      </c>
    </row>
    <row r="13" spans="1:14" x14ac:dyDescent="0.25">
      <c r="A13" s="1" t="s">
        <v>154</v>
      </c>
      <c r="B13" s="16">
        <f>SUM(C13:N13)</f>
        <v>0</v>
      </c>
      <c r="C13" s="15"/>
      <c r="D13" s="15"/>
      <c r="E13" s="15"/>
      <c r="F13" s="15"/>
      <c r="G13" s="15"/>
      <c r="H13" s="15"/>
      <c r="I13" s="15"/>
      <c r="J13" s="15"/>
      <c r="K13" s="15"/>
      <c r="L13" s="15"/>
      <c r="M13" s="15"/>
      <c r="N13" s="15"/>
    </row>
    <row r="14" spans="1:14" ht="13" x14ac:dyDescent="0.3">
      <c r="A14" s="2" t="s">
        <v>155</v>
      </c>
      <c r="B14" s="17">
        <f>SUM(C14:N14)</f>
        <v>0</v>
      </c>
      <c r="C14" s="17">
        <f t="shared" ref="C14:N14" si="1">IF(C13="",0,C13-C12)</f>
        <v>0</v>
      </c>
      <c r="D14" s="17">
        <f t="shared" si="1"/>
        <v>0</v>
      </c>
      <c r="E14" s="17">
        <f t="shared" si="1"/>
        <v>0</v>
      </c>
      <c r="F14" s="17">
        <f t="shared" si="1"/>
        <v>0</v>
      </c>
      <c r="G14" s="17">
        <f t="shared" si="1"/>
        <v>0</v>
      </c>
      <c r="H14" s="17">
        <f t="shared" si="1"/>
        <v>0</v>
      </c>
      <c r="I14" s="17">
        <f t="shared" si="1"/>
        <v>0</v>
      </c>
      <c r="J14" s="17">
        <f t="shared" si="1"/>
        <v>0</v>
      </c>
      <c r="K14" s="17">
        <f t="shared" si="1"/>
        <v>0</v>
      </c>
      <c r="L14" s="17">
        <f t="shared" si="1"/>
        <v>0</v>
      </c>
      <c r="M14" s="17">
        <f t="shared" si="1"/>
        <v>0</v>
      </c>
      <c r="N14" s="17">
        <f t="shared" si="1"/>
        <v>0</v>
      </c>
    </row>
    <row r="16" spans="1:14" ht="13" x14ac:dyDescent="0.3">
      <c r="A16" s="10" t="s">
        <v>190</v>
      </c>
      <c r="B16" s="10"/>
      <c r="C16" s="10"/>
      <c r="D16" s="10"/>
      <c r="E16" s="10"/>
      <c r="F16" s="10"/>
      <c r="G16" s="10"/>
      <c r="H16" s="10"/>
      <c r="I16" s="10"/>
      <c r="J16" s="10"/>
      <c r="K16" s="10"/>
      <c r="L16" s="10"/>
      <c r="M16" s="10"/>
      <c r="N16" s="10"/>
    </row>
    <row r="17" spans="1:14" x14ac:dyDescent="0.25">
      <c r="A17" s="1" t="s">
        <v>153</v>
      </c>
      <c r="B17" s="16">
        <f>SUM(C17:N17)</f>
        <v>12672</v>
      </c>
      <c r="C17" s="36">
        <f>'Budget mensuel'!C32</f>
        <v>2362</v>
      </c>
      <c r="D17" s="36">
        <f>'Budget mensuel'!D32</f>
        <v>1810</v>
      </c>
      <c r="E17" s="36">
        <f>'Budget mensuel'!E32</f>
        <v>1810</v>
      </c>
      <c r="F17" s="36">
        <f>'Budget mensuel'!F32</f>
        <v>1810</v>
      </c>
      <c r="G17" s="36">
        <f>'Budget mensuel'!G32</f>
        <v>610</v>
      </c>
      <c r="H17" s="36">
        <f>'Budget mensuel'!H32</f>
        <v>610</v>
      </c>
      <c r="I17" s="36">
        <f>'Budget mensuel'!I32</f>
        <v>610</v>
      </c>
      <c r="J17" s="36">
        <f>'Budget mensuel'!J32</f>
        <v>610</v>
      </c>
      <c r="K17" s="36">
        <f>'Budget mensuel'!K32</f>
        <v>610</v>
      </c>
      <c r="L17" s="36">
        <f>'Budget mensuel'!L32</f>
        <v>610</v>
      </c>
      <c r="M17" s="36">
        <f>'Budget mensuel'!M32</f>
        <v>610</v>
      </c>
      <c r="N17" s="36">
        <f>'Budget mensuel'!N32</f>
        <v>610</v>
      </c>
    </row>
    <row r="18" spans="1:14" x14ac:dyDescent="0.25">
      <c r="A18" s="1" t="s">
        <v>154</v>
      </c>
      <c r="B18" s="16">
        <f>SUM(C18:N18)</f>
        <v>0</v>
      </c>
      <c r="C18" s="15"/>
      <c r="D18" s="15"/>
      <c r="E18" s="15"/>
      <c r="F18" s="15"/>
      <c r="G18" s="15"/>
      <c r="H18" s="15"/>
      <c r="I18" s="15"/>
      <c r="J18" s="15"/>
      <c r="K18" s="15"/>
      <c r="L18" s="15"/>
      <c r="M18" s="15"/>
      <c r="N18" s="15"/>
    </row>
    <row r="19" spans="1:14" ht="13" x14ac:dyDescent="0.3">
      <c r="A19" s="2" t="s">
        <v>155</v>
      </c>
      <c r="B19" s="17">
        <f>SUM(C19:N19)</f>
        <v>0</v>
      </c>
      <c r="C19" s="17">
        <f t="shared" ref="C19:N19" si="2">IF(C18="",0,C18-C17)</f>
        <v>0</v>
      </c>
      <c r="D19" s="17">
        <f t="shared" si="2"/>
        <v>0</v>
      </c>
      <c r="E19" s="17">
        <f t="shared" si="2"/>
        <v>0</v>
      </c>
      <c r="F19" s="17">
        <f t="shared" si="2"/>
        <v>0</v>
      </c>
      <c r="G19" s="17">
        <f t="shared" si="2"/>
        <v>0</v>
      </c>
      <c r="H19" s="17">
        <f t="shared" si="2"/>
        <v>0</v>
      </c>
      <c r="I19" s="17">
        <f t="shared" si="2"/>
        <v>0</v>
      </c>
      <c r="J19" s="17">
        <f t="shared" si="2"/>
        <v>0</v>
      </c>
      <c r="K19" s="17">
        <f t="shared" si="2"/>
        <v>0</v>
      </c>
      <c r="L19" s="17">
        <f t="shared" si="2"/>
        <v>0</v>
      </c>
      <c r="M19" s="17">
        <f t="shared" si="2"/>
        <v>0</v>
      </c>
      <c r="N19" s="17">
        <f t="shared" si="2"/>
        <v>0</v>
      </c>
    </row>
    <row r="21" spans="1:14" ht="13" x14ac:dyDescent="0.3">
      <c r="A21" s="10" t="s">
        <v>156</v>
      </c>
      <c r="B21" s="10"/>
      <c r="C21" s="10"/>
      <c r="D21" s="10"/>
      <c r="E21" s="10"/>
      <c r="F21" s="10"/>
      <c r="G21" s="10"/>
      <c r="H21" s="10"/>
      <c r="I21" s="10"/>
      <c r="J21" s="10"/>
      <c r="K21" s="10"/>
      <c r="L21" s="10"/>
      <c r="M21" s="10"/>
      <c r="N21" s="10"/>
    </row>
    <row r="22" spans="1:14" x14ac:dyDescent="0.25">
      <c r="A22" s="1" t="s">
        <v>153</v>
      </c>
      <c r="B22" s="16">
        <f>SUM(C22:N22)</f>
        <v>-40619.821428571435</v>
      </c>
      <c r="C22" s="36">
        <f>'Budget mensuel'!C34</f>
        <v>-2362</v>
      </c>
      <c r="D22" s="36">
        <f>'Budget mensuel'!D34</f>
        <v>-1810</v>
      </c>
      <c r="E22" s="36">
        <f>'Budget mensuel'!E34</f>
        <v>-5430.0714285714303</v>
      </c>
      <c r="F22" s="36">
        <f>'Budget mensuel'!F34</f>
        <v>-5888.2857142857156</v>
      </c>
      <c r="G22" s="36">
        <f>'Budget mensuel'!G34</f>
        <v>-3329.2500000000009</v>
      </c>
      <c r="H22" s="36">
        <f>'Budget mensuel'!H34</f>
        <v>-3387.9285714285725</v>
      </c>
      <c r="I22" s="36">
        <f>'Budget mensuel'!I34</f>
        <v>-4091.1428571428587</v>
      </c>
      <c r="J22" s="36">
        <f>'Budget mensuel'!J34</f>
        <v>-3187.1071428571431</v>
      </c>
      <c r="K22" s="36">
        <f>'Budget mensuel'!K34</f>
        <v>-3530.0714285714294</v>
      </c>
      <c r="L22" s="36">
        <f>'Budget mensuel'!L34</f>
        <v>-610</v>
      </c>
      <c r="M22" s="36">
        <f>'Budget mensuel'!M34</f>
        <v>-3949</v>
      </c>
      <c r="N22" s="36">
        <f>'Budget mensuel'!N34</f>
        <v>-3044.9642857142862</v>
      </c>
    </row>
    <row r="23" spans="1:14" x14ac:dyDescent="0.25">
      <c r="A23" s="1" t="s">
        <v>154</v>
      </c>
      <c r="B23" s="16">
        <f>SUM(C23:N23)</f>
        <v>0</v>
      </c>
      <c r="C23" s="15"/>
      <c r="D23" s="15"/>
      <c r="E23" s="15"/>
      <c r="F23" s="15"/>
      <c r="G23" s="15"/>
      <c r="H23" s="15"/>
      <c r="I23" s="15"/>
      <c r="J23" s="15"/>
      <c r="K23" s="15"/>
      <c r="L23" s="15"/>
      <c r="M23" s="15"/>
      <c r="N23" s="15"/>
    </row>
    <row r="24" spans="1:14" ht="13" x14ac:dyDescent="0.3">
      <c r="A24" s="2" t="s">
        <v>155</v>
      </c>
      <c r="B24" s="17">
        <f>SUM(C24:N24)</f>
        <v>0</v>
      </c>
      <c r="C24" s="17">
        <f t="shared" ref="C24:N24" si="3">IF(C23="",0,C23-C22)</f>
        <v>0</v>
      </c>
      <c r="D24" s="17">
        <f t="shared" si="3"/>
        <v>0</v>
      </c>
      <c r="E24" s="17">
        <f t="shared" si="3"/>
        <v>0</v>
      </c>
      <c r="F24" s="17">
        <f t="shared" si="3"/>
        <v>0</v>
      </c>
      <c r="G24" s="17">
        <f t="shared" si="3"/>
        <v>0</v>
      </c>
      <c r="H24" s="17">
        <f t="shared" si="3"/>
        <v>0</v>
      </c>
      <c r="I24" s="17">
        <f t="shared" si="3"/>
        <v>0</v>
      </c>
      <c r="J24" s="17">
        <f t="shared" si="3"/>
        <v>0</v>
      </c>
      <c r="K24" s="17">
        <f t="shared" si="3"/>
        <v>0</v>
      </c>
      <c r="L24" s="17">
        <f t="shared" si="3"/>
        <v>0</v>
      </c>
      <c r="M24" s="17">
        <f t="shared" si="3"/>
        <v>0</v>
      </c>
      <c r="N24" s="17">
        <f t="shared" si="3"/>
        <v>0</v>
      </c>
    </row>
    <row r="26" spans="1:14" ht="13" x14ac:dyDescent="0.3">
      <c r="A26" s="10" t="s">
        <v>157</v>
      </c>
      <c r="B26" s="10"/>
      <c r="C26" s="10"/>
      <c r="D26" s="10"/>
      <c r="E26" s="10"/>
      <c r="F26" s="10"/>
      <c r="G26" s="10"/>
      <c r="H26" s="10"/>
      <c r="I26" s="10"/>
      <c r="J26" s="10"/>
      <c r="K26" s="10"/>
      <c r="L26" s="10"/>
      <c r="M26" s="10"/>
      <c r="N26" s="10"/>
    </row>
    <row r="27" spans="1:14" ht="45" customHeight="1" x14ac:dyDescent="0.25">
      <c r="A27" s="7" t="s">
        <v>158</v>
      </c>
      <c r="C27" s="18"/>
      <c r="D27" s="18"/>
      <c r="E27" s="18"/>
      <c r="F27" s="18"/>
      <c r="G27" s="18"/>
      <c r="H27" s="18"/>
      <c r="I27" s="18"/>
      <c r="J27" s="18"/>
      <c r="K27" s="18"/>
      <c r="L27" s="18"/>
      <c r="M27" s="18"/>
      <c r="N27" s="1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FB26B6-A531-4D48-8F04-B3463A220999}">
  <dimension ref="A1:G29"/>
  <sheetViews>
    <sheetView zoomScaleNormal="100" workbookViewId="0"/>
  </sheetViews>
  <sheetFormatPr baseColWidth="10" defaultRowHeight="12.5" x14ac:dyDescent="0.25"/>
  <cols>
    <col min="1" max="1" width="46.6328125" style="1" customWidth="1"/>
    <col min="2" max="2" width="18.6328125" style="1" customWidth="1"/>
    <col min="3" max="5" width="16.6328125" style="1" customWidth="1"/>
    <col min="6" max="6" width="8.6328125" style="1" customWidth="1"/>
    <col min="7" max="7" width="70.6328125" style="1" customWidth="1"/>
    <col min="8" max="16384" width="10.90625" style="1"/>
  </cols>
  <sheetData>
    <row r="1" spans="1:7" ht="18" x14ac:dyDescent="0.4">
      <c r="A1" s="3" t="s">
        <v>159</v>
      </c>
    </row>
    <row r="2" spans="1:7" ht="13" x14ac:dyDescent="0.3">
      <c r="A2" s="4" t="s">
        <v>160</v>
      </c>
    </row>
    <row r="5" spans="1:7" ht="13" x14ac:dyDescent="0.25">
      <c r="A5" s="6" t="s">
        <v>31</v>
      </c>
      <c r="B5" s="6" t="s">
        <v>32</v>
      </c>
      <c r="C5" s="6" t="s">
        <v>161</v>
      </c>
      <c r="D5" s="6" t="s">
        <v>162</v>
      </c>
      <c r="E5" s="6" t="s">
        <v>163</v>
      </c>
      <c r="F5" s="6" t="s">
        <v>37</v>
      </c>
      <c r="G5" s="6" t="s">
        <v>38</v>
      </c>
    </row>
    <row r="6" spans="1:7" ht="13" x14ac:dyDescent="0.3">
      <c r="A6" s="10" t="s">
        <v>164</v>
      </c>
      <c r="B6" s="10"/>
      <c r="C6" s="10"/>
      <c r="D6" s="10"/>
      <c r="E6" s="10"/>
      <c r="F6" s="10"/>
      <c r="G6" s="10"/>
    </row>
    <row r="7" spans="1:7" ht="37.5" x14ac:dyDescent="0.25">
      <c r="A7" s="19" t="s">
        <v>118</v>
      </c>
      <c r="B7" s="19" t="s">
        <v>165</v>
      </c>
      <c r="C7" s="37">
        <f>'Budget mensuel'!$B$7</f>
        <v>3</v>
      </c>
      <c r="D7" s="20">
        <v>8</v>
      </c>
      <c r="E7" s="20">
        <v>12</v>
      </c>
      <c r="F7" s="21" t="s">
        <v>89</v>
      </c>
      <c r="G7" s="22" t="s">
        <v>177</v>
      </c>
    </row>
    <row r="8" spans="1:7" ht="37.5" x14ac:dyDescent="0.25">
      <c r="A8" s="19" t="s">
        <v>119</v>
      </c>
      <c r="B8" s="19" t="s">
        <v>165</v>
      </c>
      <c r="C8" s="37">
        <f>'Budget mensuel'!$B$8</f>
        <v>3</v>
      </c>
      <c r="D8" s="20">
        <v>8</v>
      </c>
      <c r="E8" s="20">
        <v>12</v>
      </c>
      <c r="F8" s="21" t="s">
        <v>89</v>
      </c>
      <c r="G8" s="22" t="s">
        <v>177</v>
      </c>
    </row>
    <row r="9" spans="1:7" ht="37.5" x14ac:dyDescent="0.25">
      <c r="A9" s="19" t="s">
        <v>120</v>
      </c>
      <c r="B9" s="19" t="s">
        <v>165</v>
      </c>
      <c r="C9" s="37">
        <f>'Budget mensuel'!$B$9</f>
        <v>3</v>
      </c>
      <c r="D9" s="20">
        <v>8</v>
      </c>
      <c r="E9" s="20">
        <v>12</v>
      </c>
      <c r="F9" s="21" t="s">
        <v>89</v>
      </c>
      <c r="G9" s="22" t="s">
        <v>177</v>
      </c>
    </row>
    <row r="10" spans="1:7" ht="37.5" x14ac:dyDescent="0.25">
      <c r="A10" s="19" t="s">
        <v>166</v>
      </c>
      <c r="B10" s="19" t="s">
        <v>165</v>
      </c>
      <c r="C10" s="37">
        <f>'Budget mensuel'!$B$10</f>
        <v>7</v>
      </c>
      <c r="D10" s="20">
        <v>24</v>
      </c>
      <c r="E10" s="20">
        <v>48</v>
      </c>
      <c r="F10" s="21" t="s">
        <v>89</v>
      </c>
      <c r="G10" s="22" t="s">
        <v>177</v>
      </c>
    </row>
    <row r="11" spans="1:7" ht="13" x14ac:dyDescent="0.25">
      <c r="A11" s="8" t="s">
        <v>122</v>
      </c>
      <c r="B11" s="8" t="s">
        <v>165</v>
      </c>
      <c r="C11" s="24">
        <f t="shared" ref="C11:E11" si="0">SUM(C7:C10)</f>
        <v>16</v>
      </c>
      <c r="D11" s="24">
        <f t="shared" si="0"/>
        <v>48</v>
      </c>
      <c r="E11" s="24">
        <f t="shared" si="0"/>
        <v>84</v>
      </c>
      <c r="F11" s="21"/>
      <c r="G11" s="22"/>
    </row>
    <row r="12" spans="1:7" ht="13" x14ac:dyDescent="0.25">
      <c r="A12" s="29" t="s">
        <v>167</v>
      </c>
      <c r="B12" s="29"/>
      <c r="C12" s="29"/>
      <c r="D12" s="29"/>
      <c r="E12" s="29"/>
      <c r="F12" s="29"/>
      <c r="G12" s="30"/>
    </row>
    <row r="13" spans="1:7" ht="13" x14ac:dyDescent="0.25">
      <c r="A13" s="8" t="s">
        <v>124</v>
      </c>
      <c r="B13" s="8" t="s">
        <v>56</v>
      </c>
      <c r="C13" s="38">
        <f>C7*'Prix et marges'!$C$17+C8*'Prix et marges'!$D$17+C9*'Prix et marges'!$E$17+C10*'Prix et marges'!$F$17</f>
        <v>121955.35714285713</v>
      </c>
      <c r="D13" s="38">
        <f>D7*'Prix et marges'!$C$17+D8*'Prix et marges'!$D$17+D9*'Prix et marges'!$E$17+D10*'Prix et marges'!$F$17</f>
        <v>368071.42857142852</v>
      </c>
      <c r="E13" s="38">
        <f>E7*'Prix et marges'!$C$17+E8*'Prix et marges'!$D$17+E9*'Prix et marges'!$E$17+E10*'Prix et marges'!$F$17</f>
        <v>648535.7142857142</v>
      </c>
      <c r="F13" s="21"/>
      <c r="G13" s="22"/>
    </row>
    <row r="14" spans="1:7" ht="13" x14ac:dyDescent="0.25">
      <c r="A14" s="8" t="s">
        <v>125</v>
      </c>
      <c r="B14" s="8" t="s">
        <v>56</v>
      </c>
      <c r="C14" s="38">
        <f>C7*'Prix et marges'!$C$34+C8*'Prix et marges'!$D$34+C9*'Prix et marges'!$E$34+C10*'Prix et marges'!$F$34+'Budget mensuel'!$B$40</f>
        <v>149903.17857142858</v>
      </c>
      <c r="D14" s="38">
        <f>D7*'Prix et marges'!$C$34+D8*'Prix et marges'!$D$34+D9*'Prix et marges'!$E$34+D10*'Prix et marges'!$F$34</f>
        <v>438760.85714285716</v>
      </c>
      <c r="E14" s="38">
        <f>E7*'Prix et marges'!$C$34+E8*'Prix et marges'!$D$34+E9*'Prix et marges'!$E$34+E10*'Prix et marges'!$F$34</f>
        <v>752864.14285714296</v>
      </c>
      <c r="F14" s="21"/>
      <c r="G14" s="22"/>
    </row>
    <row r="15" spans="1:7" ht="13" x14ac:dyDescent="0.25">
      <c r="A15" s="8" t="s">
        <v>78</v>
      </c>
      <c r="B15" s="8" t="s">
        <v>56</v>
      </c>
      <c r="C15" s="28">
        <f t="shared" ref="C15:E15" si="1">C13-C14</f>
        <v>-27947.821428571449</v>
      </c>
      <c r="D15" s="28">
        <f t="shared" si="1"/>
        <v>-70689.428571428638</v>
      </c>
      <c r="E15" s="28">
        <f t="shared" si="1"/>
        <v>-104328.42857142875</v>
      </c>
      <c r="F15" s="21"/>
      <c r="G15" s="22"/>
    </row>
    <row r="16" spans="1:7" ht="13" x14ac:dyDescent="0.25">
      <c r="A16" s="8" t="s">
        <v>79</v>
      </c>
      <c r="B16" s="8" t="s">
        <v>64</v>
      </c>
      <c r="C16" s="31">
        <f t="shared" ref="C16:E16" si="2">IF(C13&gt;0,C15/C13,0)</f>
        <v>-0.22916436049491198</v>
      </c>
      <c r="D16" s="31">
        <f t="shared" si="2"/>
        <v>-0.1920535610324085</v>
      </c>
      <c r="E16" s="31">
        <f t="shared" si="2"/>
        <v>-0.16086766892450055</v>
      </c>
      <c r="F16" s="21"/>
      <c r="G16" s="22"/>
    </row>
    <row r="17" spans="1:7" customFormat="1" ht="29" x14ac:dyDescent="0.35">
      <c r="A17" t="s">
        <v>219</v>
      </c>
      <c r="B17" t="s">
        <v>168</v>
      </c>
      <c r="C17" s="50">
        <f>'Budget mensuel'!$B$21</f>
        <v>0</v>
      </c>
      <c r="D17" s="50">
        <f>'Frais généraux 3 ans'!$F$13</f>
        <v>32486.147999999997</v>
      </c>
      <c r="E17" s="50">
        <f>'Frais généraux 3 ans'!$G$13</f>
        <v>168206.14799999999</v>
      </c>
      <c r="F17" s="40" t="s">
        <v>89</v>
      </c>
      <c r="G17" s="51" t="s">
        <v>221</v>
      </c>
    </row>
    <row r="18" spans="1:7" customFormat="1" ht="14.5" x14ac:dyDescent="0.35">
      <c r="A18" t="s">
        <v>220</v>
      </c>
      <c r="B18" t="s">
        <v>168</v>
      </c>
      <c r="C18" s="50">
        <f>'Budget mensuel'!$B$31</f>
        <v>12672</v>
      </c>
      <c r="D18" s="50">
        <f>'Frais généraux 3 ans'!$F$26</f>
        <v>24600</v>
      </c>
      <c r="E18" s="50">
        <f>'Frais généraux 3 ans'!$G$26</f>
        <v>58400</v>
      </c>
      <c r="F18" s="40" t="s">
        <v>89</v>
      </c>
      <c r="G18" s="51" t="s">
        <v>222</v>
      </c>
    </row>
    <row r="19" spans="1:7" ht="13" x14ac:dyDescent="0.25">
      <c r="A19" s="8" t="s">
        <v>190</v>
      </c>
      <c r="B19" s="8" t="s">
        <v>168</v>
      </c>
      <c r="C19" s="28">
        <f t="shared" ref="C19:E19" si="3">C17+C18</f>
        <v>12672</v>
      </c>
      <c r="D19" s="28">
        <f t="shared" si="3"/>
        <v>57086.148000000001</v>
      </c>
      <c r="E19" s="28">
        <f t="shared" si="3"/>
        <v>226606.14799999999</v>
      </c>
      <c r="F19" s="21"/>
      <c r="G19" s="22" t="s">
        <v>223</v>
      </c>
    </row>
    <row r="20" spans="1:7" ht="13" x14ac:dyDescent="0.25">
      <c r="A20" s="8" t="s">
        <v>156</v>
      </c>
      <c r="B20" s="8" t="s">
        <v>56</v>
      </c>
      <c r="C20" s="28">
        <f t="shared" ref="C20:E20" si="4">C15-C19</f>
        <v>-40619.821428571449</v>
      </c>
      <c r="D20" s="28">
        <f t="shared" si="4"/>
        <v>-127775.57657142864</v>
      </c>
      <c r="E20" s="28">
        <f t="shared" si="4"/>
        <v>-330934.57657142874</v>
      </c>
      <c r="F20" s="21"/>
      <c r="G20" s="22"/>
    </row>
    <row r="21" spans="1:7" ht="13" x14ac:dyDescent="0.25">
      <c r="A21" s="29" t="s">
        <v>169</v>
      </c>
      <c r="B21" s="29"/>
      <c r="C21" s="29"/>
      <c r="D21" s="29"/>
      <c r="E21" s="29"/>
      <c r="F21" s="29"/>
      <c r="G21" s="30"/>
    </row>
    <row r="22" spans="1:7" x14ac:dyDescent="0.25">
      <c r="A22" s="19" t="s">
        <v>170</v>
      </c>
      <c r="B22" s="19" t="s">
        <v>56</v>
      </c>
      <c r="C22" s="26">
        <v>3000</v>
      </c>
      <c r="D22" s="26">
        <v>5000</v>
      </c>
      <c r="E22" s="26">
        <v>10000</v>
      </c>
      <c r="F22" s="21" t="s">
        <v>89</v>
      </c>
      <c r="G22" s="22" t="s">
        <v>178</v>
      </c>
    </row>
    <row r="23" spans="1:7" ht="13" x14ac:dyDescent="0.25">
      <c r="A23" s="8" t="s">
        <v>171</v>
      </c>
      <c r="B23" s="8" t="s">
        <v>172</v>
      </c>
      <c r="C23" s="28">
        <f t="shared" ref="C23:E23" si="5">C20-C22</f>
        <v>-43619.821428571449</v>
      </c>
      <c r="D23" s="28">
        <f t="shared" si="5"/>
        <v>-132775.57657142862</v>
      </c>
      <c r="E23" s="28">
        <f t="shared" si="5"/>
        <v>-340934.57657142874</v>
      </c>
      <c r="F23" s="21"/>
      <c r="G23" s="22"/>
    </row>
    <row r="24" spans="1:7" ht="13" x14ac:dyDescent="0.25">
      <c r="A24" s="8" t="s">
        <v>173</v>
      </c>
      <c r="B24" s="8" t="s">
        <v>172</v>
      </c>
      <c r="C24" s="28">
        <f>C23</f>
        <v>-43619.821428571449</v>
      </c>
      <c r="D24" s="28">
        <f t="shared" ref="D24:E24" si="6">C24+D23</f>
        <v>-176395.39800000007</v>
      </c>
      <c r="E24" s="28">
        <f t="shared" si="6"/>
        <v>-517329.97457142884</v>
      </c>
      <c r="F24" s="21"/>
      <c r="G24" s="22"/>
    </row>
    <row r="25" spans="1:7" ht="13" x14ac:dyDescent="0.25">
      <c r="A25" s="8" t="s">
        <v>174</v>
      </c>
      <c r="B25" s="8" t="s">
        <v>165</v>
      </c>
      <c r="C25" s="39">
        <f t="shared" ref="C25:E25" si="7">IF(C11&gt;0,IF(C15&gt;0,C19/(C15/C11),0),0)</f>
        <v>0</v>
      </c>
      <c r="D25" s="39">
        <f t="shared" si="7"/>
        <v>0</v>
      </c>
      <c r="E25" s="39">
        <f t="shared" si="7"/>
        <v>0</v>
      </c>
      <c r="F25" s="21"/>
      <c r="G25" s="22"/>
    </row>
    <row r="27" spans="1:7" ht="13" x14ac:dyDescent="0.3">
      <c r="A27" s="2" t="s">
        <v>175</v>
      </c>
      <c r="B27" s="2" t="s">
        <v>172</v>
      </c>
      <c r="C27" s="17">
        <f>MAX(0,-MIN(C24:E24))</f>
        <v>517329.97457142884</v>
      </c>
    </row>
    <row r="29" spans="1:7" ht="13" x14ac:dyDescent="0.3">
      <c r="A29" s="4" t="s">
        <v>176</v>
      </c>
    </row>
  </sheetData>
  <dataValidations count="1">
    <dataValidation type="list" allowBlank="1" showInputMessage="1" showErrorMessage="1" sqref="F7:F25" xr:uid="{CE6E7BBF-D2B8-4903-BD10-C829B0A39B99}">
      <formula1>"F,I,P,H"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99EF4-2BFD-4A30-9CB8-0FD18304D49C}">
  <dimension ref="A1:I28"/>
  <sheetViews>
    <sheetView workbookViewId="0"/>
  </sheetViews>
  <sheetFormatPr baseColWidth="10" defaultRowHeight="12.5" x14ac:dyDescent="0.25"/>
  <cols>
    <col min="1" max="1" width="46.6328125" style="1" customWidth="1"/>
    <col min="2" max="2" width="10.6328125" style="1" customWidth="1"/>
    <col min="3" max="3" width="16.6328125" style="1" customWidth="1"/>
    <col min="4" max="5" width="13.6328125" style="1" customWidth="1"/>
    <col min="6" max="7" width="16.6328125" style="1" customWidth="1"/>
    <col min="8" max="8" width="8.6328125" style="1" customWidth="1"/>
    <col min="9" max="9" width="70.6328125" style="1" customWidth="1"/>
    <col min="10" max="16384" width="10.90625" style="1"/>
  </cols>
  <sheetData>
    <row r="1" spans="1:9" ht="18" x14ac:dyDescent="0.4">
      <c r="A1" s="3" t="s">
        <v>191</v>
      </c>
    </row>
    <row r="2" spans="1:9" ht="13" x14ac:dyDescent="0.3">
      <c r="A2" s="4" t="s">
        <v>192</v>
      </c>
    </row>
    <row r="4" spans="1:9" ht="13" x14ac:dyDescent="0.3">
      <c r="A4" s="2" t="s">
        <v>193</v>
      </c>
      <c r="C4" s="47">
        <v>0.45</v>
      </c>
      <c r="D4" s="4" t="s">
        <v>194</v>
      </c>
    </row>
    <row r="6" spans="1:9" ht="13" x14ac:dyDescent="0.3">
      <c r="A6" s="10" t="s">
        <v>195</v>
      </c>
      <c r="B6" s="10"/>
      <c r="C6" s="10"/>
      <c r="D6" s="10"/>
      <c r="E6" s="10"/>
      <c r="F6" s="10"/>
      <c r="G6" s="10"/>
      <c r="H6" s="10"/>
      <c r="I6" s="10"/>
    </row>
    <row r="7" spans="1:9" ht="42" customHeight="1" x14ac:dyDescent="0.25">
      <c r="A7" s="6" t="s">
        <v>31</v>
      </c>
      <c r="B7" s="6" t="s">
        <v>196</v>
      </c>
      <c r="C7" s="6" t="s">
        <v>197</v>
      </c>
      <c r="D7" s="6" t="s">
        <v>198</v>
      </c>
      <c r="E7" s="6" t="s">
        <v>199</v>
      </c>
      <c r="F7" s="6" t="s">
        <v>200</v>
      </c>
      <c r="G7" s="6" t="s">
        <v>201</v>
      </c>
      <c r="H7" s="6" t="s">
        <v>37</v>
      </c>
      <c r="I7" s="6" t="s">
        <v>38</v>
      </c>
    </row>
    <row r="8" spans="1:9" ht="25" x14ac:dyDescent="0.25">
      <c r="A8" s="21" t="s">
        <v>202</v>
      </c>
      <c r="B8" s="20">
        <v>2</v>
      </c>
      <c r="C8" s="25">
        <v>2500</v>
      </c>
      <c r="D8" s="20">
        <v>0</v>
      </c>
      <c r="E8" s="20">
        <v>12</v>
      </c>
      <c r="F8" s="48">
        <f t="shared" ref="F8:F12" si="0">B8*C8*D8*(1+$C$4)</f>
        <v>0</v>
      </c>
      <c r="G8" s="48">
        <f t="shared" ref="G8:G12" si="1">B8*C8*E8*(1+$C$4)</f>
        <v>87000</v>
      </c>
      <c r="H8" s="21" t="s">
        <v>89</v>
      </c>
      <c r="I8" s="22" t="s">
        <v>203</v>
      </c>
    </row>
    <row r="9" spans="1:9" ht="25" x14ac:dyDescent="0.25">
      <c r="A9" s="21" t="s">
        <v>204</v>
      </c>
      <c r="B9" s="20">
        <v>1</v>
      </c>
      <c r="C9" s="25">
        <v>1867.02</v>
      </c>
      <c r="D9" s="20">
        <v>12</v>
      </c>
      <c r="E9" s="20">
        <v>12</v>
      </c>
      <c r="F9" s="48">
        <f t="shared" si="0"/>
        <v>32486.147999999997</v>
      </c>
      <c r="G9" s="48">
        <f t="shared" si="1"/>
        <v>32486.147999999997</v>
      </c>
      <c r="H9" s="21" t="s">
        <v>89</v>
      </c>
      <c r="I9" s="22" t="s">
        <v>205</v>
      </c>
    </row>
    <row r="10" spans="1:9" ht="25" x14ac:dyDescent="0.25">
      <c r="A10" s="21" t="s">
        <v>206</v>
      </c>
      <c r="B10" s="20">
        <v>1</v>
      </c>
      <c r="C10" s="25">
        <v>2800</v>
      </c>
      <c r="D10" s="20">
        <v>0</v>
      </c>
      <c r="E10" s="20">
        <v>12</v>
      </c>
      <c r="F10" s="48">
        <f t="shared" si="0"/>
        <v>0</v>
      </c>
      <c r="G10" s="48">
        <f t="shared" si="1"/>
        <v>48720</v>
      </c>
      <c r="H10" s="21" t="s">
        <v>89</v>
      </c>
      <c r="I10" s="22" t="s">
        <v>207</v>
      </c>
    </row>
    <row r="11" spans="1:9" x14ac:dyDescent="0.25">
      <c r="A11" s="21"/>
      <c r="B11" s="20"/>
      <c r="C11" s="25"/>
      <c r="D11" s="20"/>
      <c r="E11" s="20"/>
      <c r="F11" s="48">
        <f t="shared" si="0"/>
        <v>0</v>
      </c>
      <c r="G11" s="48">
        <f t="shared" si="1"/>
        <v>0</v>
      </c>
      <c r="H11" s="21"/>
      <c r="I11" s="22"/>
    </row>
    <row r="12" spans="1:9" x14ac:dyDescent="0.25">
      <c r="A12" s="21"/>
      <c r="B12" s="20"/>
      <c r="C12" s="25"/>
      <c r="D12" s="20"/>
      <c r="E12" s="20"/>
      <c r="F12" s="48">
        <f t="shared" si="0"/>
        <v>0</v>
      </c>
      <c r="G12" s="48">
        <f t="shared" si="1"/>
        <v>0</v>
      </c>
      <c r="H12" s="21"/>
      <c r="I12" s="22"/>
    </row>
    <row r="13" spans="1:9" ht="13" x14ac:dyDescent="0.25">
      <c r="A13" s="8" t="s">
        <v>187</v>
      </c>
      <c r="B13" s="24">
        <f>SUM(B8:B12)</f>
        <v>4</v>
      </c>
      <c r="C13" s="8"/>
      <c r="D13" s="8"/>
      <c r="E13" s="8"/>
      <c r="F13" s="28">
        <f>SUM(F8:F12)</f>
        <v>32486.147999999997</v>
      </c>
      <c r="G13" s="28">
        <f>SUM(G8:G12)</f>
        <v>168206.14799999999</v>
      </c>
      <c r="H13" s="19"/>
      <c r="I13" s="9"/>
    </row>
    <row r="14" spans="1:9" x14ac:dyDescent="0.25">
      <c r="A14" s="19"/>
      <c r="B14" s="19"/>
      <c r="C14" s="19"/>
      <c r="D14" s="19"/>
      <c r="E14" s="19"/>
      <c r="F14" s="19"/>
      <c r="G14" s="19"/>
      <c r="H14" s="19"/>
      <c r="I14" s="9"/>
    </row>
    <row r="15" spans="1:9" ht="13" x14ac:dyDescent="0.25">
      <c r="A15" s="29" t="s">
        <v>208</v>
      </c>
      <c r="B15" s="29"/>
      <c r="C15" s="29"/>
      <c r="D15" s="29"/>
      <c r="E15" s="29"/>
      <c r="F15" s="29"/>
      <c r="G15" s="29"/>
      <c r="H15" s="29"/>
      <c r="I15" s="30"/>
    </row>
    <row r="16" spans="1:9" ht="13" x14ac:dyDescent="0.25">
      <c r="A16" s="49" t="s">
        <v>31</v>
      </c>
      <c r="B16" s="49"/>
      <c r="C16" s="49"/>
      <c r="D16" s="49"/>
      <c r="E16" s="49"/>
      <c r="F16" s="49" t="s">
        <v>209</v>
      </c>
      <c r="G16" s="49" t="s">
        <v>210</v>
      </c>
      <c r="H16" s="49" t="s">
        <v>37</v>
      </c>
      <c r="I16" s="49" t="s">
        <v>38</v>
      </c>
    </row>
    <row r="17" spans="1:9" ht="25" x14ac:dyDescent="0.25">
      <c r="A17" s="19" t="s">
        <v>126</v>
      </c>
      <c r="B17" s="19"/>
      <c r="C17" s="19"/>
      <c r="D17" s="19"/>
      <c r="E17" s="19"/>
      <c r="F17" s="26">
        <v>0</v>
      </c>
      <c r="G17" s="26">
        <v>10800</v>
      </c>
      <c r="H17" s="21" t="s">
        <v>89</v>
      </c>
      <c r="I17" s="22" t="s">
        <v>211</v>
      </c>
    </row>
    <row r="18" spans="1:9" x14ac:dyDescent="0.25">
      <c r="A18" s="19" t="s">
        <v>212</v>
      </c>
      <c r="B18" s="19"/>
      <c r="C18" s="19"/>
      <c r="D18" s="19"/>
      <c r="E18" s="19"/>
      <c r="F18" s="26">
        <v>1500</v>
      </c>
      <c r="G18" s="26">
        <v>3000</v>
      </c>
      <c r="H18" s="21" t="s">
        <v>89</v>
      </c>
      <c r="I18" s="22" t="s">
        <v>213</v>
      </c>
    </row>
    <row r="19" spans="1:9" x14ac:dyDescent="0.25">
      <c r="A19" s="19" t="s">
        <v>128</v>
      </c>
      <c r="B19" s="19"/>
      <c r="C19" s="19"/>
      <c r="D19" s="19"/>
      <c r="E19" s="19"/>
      <c r="F19" s="26">
        <v>15000</v>
      </c>
      <c r="G19" s="26">
        <v>30000</v>
      </c>
      <c r="H19" s="21" t="s">
        <v>89</v>
      </c>
      <c r="I19" s="22" t="s">
        <v>214</v>
      </c>
    </row>
    <row r="20" spans="1:9" ht="25" x14ac:dyDescent="0.25">
      <c r="A20" s="19" t="s">
        <v>129</v>
      </c>
      <c r="B20" s="19"/>
      <c r="C20" s="19"/>
      <c r="D20" s="19"/>
      <c r="E20" s="19"/>
      <c r="F20" s="26">
        <v>1200</v>
      </c>
      <c r="G20" s="26">
        <v>2000</v>
      </c>
      <c r="H20" s="21" t="s">
        <v>89</v>
      </c>
      <c r="I20" s="22" t="s">
        <v>215</v>
      </c>
    </row>
    <row r="21" spans="1:9" x14ac:dyDescent="0.25">
      <c r="A21" s="19" t="s">
        <v>130</v>
      </c>
      <c r="B21" s="19"/>
      <c r="C21" s="19"/>
      <c r="D21" s="19"/>
      <c r="E21" s="19"/>
      <c r="F21" s="26">
        <v>4000</v>
      </c>
      <c r="G21" s="26">
        <v>6000</v>
      </c>
      <c r="H21" s="21" t="s">
        <v>89</v>
      </c>
      <c r="I21" s="22" t="s">
        <v>216</v>
      </c>
    </row>
    <row r="22" spans="1:9" x14ac:dyDescent="0.25">
      <c r="A22" s="19" t="s">
        <v>131</v>
      </c>
      <c r="B22" s="19"/>
      <c r="C22" s="19"/>
      <c r="D22" s="19"/>
      <c r="E22" s="19"/>
      <c r="F22" s="26">
        <v>600</v>
      </c>
      <c r="G22" s="26">
        <v>1000</v>
      </c>
      <c r="H22" s="21" t="s">
        <v>89</v>
      </c>
      <c r="I22" s="22" t="s">
        <v>89</v>
      </c>
    </row>
    <row r="23" spans="1:9" x14ac:dyDescent="0.25">
      <c r="A23" s="19" t="s">
        <v>132</v>
      </c>
      <c r="B23" s="19"/>
      <c r="C23" s="19"/>
      <c r="D23" s="19"/>
      <c r="E23" s="19"/>
      <c r="F23" s="26">
        <v>2000</v>
      </c>
      <c r="G23" s="26">
        <v>4000</v>
      </c>
      <c r="H23" s="21" t="s">
        <v>89</v>
      </c>
      <c r="I23" s="22" t="s">
        <v>217</v>
      </c>
    </row>
    <row r="24" spans="1:9" ht="50" x14ac:dyDescent="0.25">
      <c r="A24" s="19" t="s">
        <v>287</v>
      </c>
      <c r="B24" s="19"/>
      <c r="C24" s="19"/>
      <c r="D24" s="19"/>
      <c r="E24" s="19"/>
      <c r="F24" s="26">
        <v>300</v>
      </c>
      <c r="G24" s="26">
        <v>600</v>
      </c>
      <c r="H24" s="21" t="s">
        <v>89</v>
      </c>
      <c r="I24" s="22" t="s">
        <v>288</v>
      </c>
    </row>
    <row r="25" spans="1:9" x14ac:dyDescent="0.25">
      <c r="A25" s="19" t="s">
        <v>218</v>
      </c>
      <c r="B25" s="19"/>
      <c r="C25" s="19"/>
      <c r="D25" s="19"/>
      <c r="E25" s="19"/>
      <c r="F25" s="26">
        <v>0</v>
      </c>
      <c r="G25" s="26">
        <v>1000</v>
      </c>
      <c r="H25" s="21" t="s">
        <v>89</v>
      </c>
      <c r="I25" s="22" t="s">
        <v>89</v>
      </c>
    </row>
    <row r="26" spans="1:9" ht="13" x14ac:dyDescent="0.3">
      <c r="A26" s="2" t="s">
        <v>189</v>
      </c>
      <c r="B26" s="2"/>
      <c r="C26" s="2"/>
      <c r="D26" s="2"/>
      <c r="E26" s="2"/>
      <c r="F26" s="17">
        <f>SUM(F17:F25)</f>
        <v>24600</v>
      </c>
      <c r="G26" s="17">
        <f>SUM(G17:G25)</f>
        <v>58400</v>
      </c>
    </row>
    <row r="28" spans="1:9" ht="13" x14ac:dyDescent="0.3">
      <c r="A28" s="45" t="s">
        <v>190</v>
      </c>
      <c r="B28" s="45"/>
      <c r="C28" s="45"/>
      <c r="D28" s="45"/>
      <c r="E28" s="45"/>
      <c r="F28" s="46">
        <f>F13+F26</f>
        <v>57086.148000000001</v>
      </c>
      <c r="G28" s="46">
        <f>G13+G26</f>
        <v>226606.14799999999</v>
      </c>
    </row>
  </sheetData>
  <dataValidations count="1">
    <dataValidation type="list" allowBlank="1" showInputMessage="1" showErrorMessage="1" sqref="H8:H25" xr:uid="{17BF4D97-1CC3-431D-AE47-E54A12C319AD}">
      <formula1>"F,I,P,H"</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Mode d'emploi</vt:lpstr>
      <vt:lpstr>Prix et marges</vt:lpstr>
      <vt:lpstr>Staffing</vt:lpstr>
      <vt:lpstr>Budget mensuel</vt:lpstr>
      <vt:lpstr>TVA</vt:lpstr>
      <vt:lpstr>Prévu et réel</vt:lpstr>
      <vt:lpstr>Plan financier 3 ans</vt:lpstr>
      <vt:lpstr>Frais généraux 3 ans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vianney vautier</dc:creator>
  <cp:lastModifiedBy>vianney vautier</cp:lastModifiedBy>
  <dcterms:created xsi:type="dcterms:W3CDTF">2026-10-27T22:12:38Z</dcterms:created>
  <dcterms:modified xsi:type="dcterms:W3CDTF">2026-10-28T12:48:07Z</dcterms:modified>
</cp:coreProperties>
</file>