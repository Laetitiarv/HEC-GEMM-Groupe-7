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ns\Documents\Claude\Projects\HEC-GEMM-Groupe-7\2 FINANCE\PREVISIONS\"/>
    </mc:Choice>
  </mc:AlternateContent>
  <xr:revisionPtr revIDLastSave="0" documentId="8_{DC0FEA24-D1E3-4498-87B2-834FCBC4AC2D}" xr6:coauthVersionLast="47" xr6:coauthVersionMax="47" xr10:uidLastSave="{00000000-0000-0000-0000-000000000000}"/>
  <bookViews>
    <workbookView xWindow="-110" yWindow="-110" windowWidth="25820" windowHeight="13900" xr2:uid="{F9A793DC-5A86-4121-9243-6317192C795B}"/>
  </bookViews>
  <sheets>
    <sheet name="Mode d'emploi" sheetId="1" r:id="rId1"/>
    <sheet name="Prix et marges" sheetId="2" r:id="rId2"/>
    <sheet name="Budget mensuel" sheetId="3" r:id="rId3"/>
    <sheet name="Prévu et réel" sheetId="4" r:id="rId4"/>
    <sheet name="Plan financier 3 a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5" l="1"/>
  <c r="C22" i="5" s="1"/>
  <c r="D10" i="5"/>
  <c r="D22" i="5" s="1"/>
  <c r="E10" i="5"/>
  <c r="E22" i="5" s="1"/>
  <c r="B23" i="4"/>
  <c r="C24" i="4"/>
  <c r="B24" i="4" s="1"/>
  <c r="D24" i="4"/>
  <c r="E24" i="4"/>
  <c r="F24" i="4"/>
  <c r="G24" i="4"/>
  <c r="H24" i="4"/>
  <c r="I24" i="4"/>
  <c r="J24" i="4"/>
  <c r="K24" i="4"/>
  <c r="L24" i="4"/>
  <c r="M24" i="4"/>
  <c r="N24" i="4"/>
  <c r="B18" i="4"/>
  <c r="C19" i="4"/>
  <c r="B19" i="4" s="1"/>
  <c r="D19" i="4"/>
  <c r="E19" i="4"/>
  <c r="F19" i="4"/>
  <c r="G19" i="4"/>
  <c r="H19" i="4"/>
  <c r="I19" i="4"/>
  <c r="J19" i="4"/>
  <c r="K19" i="4"/>
  <c r="L19" i="4"/>
  <c r="M19" i="4"/>
  <c r="N19" i="4"/>
  <c r="B13" i="4"/>
  <c r="C14" i="4"/>
  <c r="B14" i="4" s="1"/>
  <c r="D14" i="4"/>
  <c r="E14" i="4"/>
  <c r="F14" i="4"/>
  <c r="G14" i="4"/>
  <c r="H14" i="4"/>
  <c r="I14" i="4"/>
  <c r="J14" i="4"/>
  <c r="K14" i="4"/>
  <c r="L14" i="4"/>
  <c r="M14" i="4"/>
  <c r="N14" i="4"/>
  <c r="B8" i="4"/>
  <c r="C9" i="4"/>
  <c r="B9" i="4" s="1"/>
  <c r="D9" i="4"/>
  <c r="E9" i="4"/>
  <c r="F9" i="4"/>
  <c r="G9" i="4"/>
  <c r="H9" i="4"/>
  <c r="I9" i="4"/>
  <c r="J9" i="4"/>
  <c r="K9" i="4"/>
  <c r="L9" i="4"/>
  <c r="M9" i="4"/>
  <c r="N9" i="4"/>
  <c r="C5" i="4"/>
  <c r="D5" i="4"/>
  <c r="E5" i="4"/>
  <c r="F5" i="4"/>
  <c r="G5" i="4"/>
  <c r="H5" i="4"/>
  <c r="I5" i="4"/>
  <c r="J5" i="4"/>
  <c r="K5" i="4"/>
  <c r="L5" i="4"/>
  <c r="M5" i="4"/>
  <c r="N5" i="4"/>
  <c r="C25" i="3"/>
  <c r="D25" i="3"/>
  <c r="D17" i="4" s="1"/>
  <c r="E25" i="3"/>
  <c r="E17" i="4" s="1"/>
  <c r="F25" i="3"/>
  <c r="F17" i="4" s="1"/>
  <c r="G25" i="3"/>
  <c r="G17" i="4" s="1"/>
  <c r="H25" i="3"/>
  <c r="H17" i="4" s="1"/>
  <c r="I25" i="3"/>
  <c r="I17" i="4" s="1"/>
  <c r="J25" i="3"/>
  <c r="J17" i="4" s="1"/>
  <c r="K25" i="3"/>
  <c r="K17" i="4" s="1"/>
  <c r="L25" i="3"/>
  <c r="L17" i="4" s="1"/>
  <c r="M25" i="3"/>
  <c r="M17" i="4" s="1"/>
  <c r="N25" i="3"/>
  <c r="N17" i="4" s="1"/>
  <c r="B24" i="3"/>
  <c r="B23" i="3"/>
  <c r="B22" i="3"/>
  <c r="B21" i="3"/>
  <c r="B20" i="3"/>
  <c r="B19" i="3"/>
  <c r="B18" i="3"/>
  <c r="B17" i="3"/>
  <c r="B16" i="3"/>
  <c r="C10" i="3"/>
  <c r="D10" i="3"/>
  <c r="D7" i="4" s="1"/>
  <c r="E10" i="3"/>
  <c r="E7" i="4" s="1"/>
  <c r="F10" i="3"/>
  <c r="F7" i="4" s="1"/>
  <c r="G10" i="3"/>
  <c r="G7" i="4" s="1"/>
  <c r="H10" i="3"/>
  <c r="H7" i="4" s="1"/>
  <c r="I10" i="3"/>
  <c r="I7" i="4" s="1"/>
  <c r="J10" i="3"/>
  <c r="J7" i="4" s="1"/>
  <c r="K10" i="3"/>
  <c r="K7" i="4" s="1"/>
  <c r="L10" i="3"/>
  <c r="L7" i="4" s="1"/>
  <c r="M10" i="3"/>
  <c r="M7" i="4" s="1"/>
  <c r="N10" i="3"/>
  <c r="N7" i="4" s="1"/>
  <c r="B9" i="3"/>
  <c r="B8" i="3"/>
  <c r="B7" i="3"/>
  <c r="C5" i="3"/>
  <c r="D5" i="3"/>
  <c r="E5" i="3"/>
  <c r="F5" i="3"/>
  <c r="G5" i="3"/>
  <c r="H5" i="3"/>
  <c r="I5" i="3"/>
  <c r="J5" i="3"/>
  <c r="K5" i="3"/>
  <c r="L5" i="3"/>
  <c r="M5" i="3"/>
  <c r="N5" i="3"/>
  <c r="C36" i="2"/>
  <c r="D36" i="2"/>
  <c r="E36" i="2"/>
  <c r="C32" i="2"/>
  <c r="D32" i="2"/>
  <c r="E32" i="2"/>
  <c r="C19" i="2"/>
  <c r="D19" i="2"/>
  <c r="E19" i="2"/>
  <c r="C11" i="2"/>
  <c r="D11" i="2"/>
  <c r="E11" i="2"/>
  <c r="B25" i="3" l="1"/>
  <c r="C16" i="5" s="1"/>
  <c r="C17" i="4"/>
  <c r="B17" i="4" s="1"/>
  <c r="B10" i="3"/>
  <c r="C7" i="4"/>
  <c r="B7" i="4" s="1"/>
  <c r="C12" i="5"/>
  <c r="E12" i="5"/>
  <c r="C12" i="3"/>
  <c r="D12" i="3"/>
  <c r="E12" i="3"/>
  <c r="F12" i="3"/>
  <c r="G12" i="3"/>
  <c r="H12" i="3"/>
  <c r="I12" i="3"/>
  <c r="J12" i="3"/>
  <c r="K12" i="3"/>
  <c r="L12" i="3"/>
  <c r="M12" i="3"/>
  <c r="N12" i="3"/>
  <c r="D12" i="5"/>
  <c r="C34" i="2"/>
  <c r="C33" i="2"/>
  <c r="C31" i="2"/>
  <c r="C35" i="2" s="1"/>
  <c r="C26" i="2"/>
  <c r="C16" i="2"/>
  <c r="C28" i="2" s="1"/>
  <c r="C30" i="2" s="1"/>
  <c r="D31" i="2"/>
  <c r="D35" i="2" s="1"/>
  <c r="D34" i="2"/>
  <c r="D33" i="2"/>
  <c r="D26" i="2"/>
  <c r="D16" i="2"/>
  <c r="D28" i="2" s="1"/>
  <c r="D30" i="2" s="1"/>
  <c r="E34" i="2"/>
  <c r="E31" i="2"/>
  <c r="E35" i="2" s="1"/>
  <c r="E26" i="2"/>
  <c r="E33" i="2"/>
  <c r="E16" i="2"/>
  <c r="E28" i="2" s="1"/>
  <c r="E30" i="2" s="1"/>
  <c r="C15" i="5" l="1"/>
  <c r="E15" i="5"/>
  <c r="B12" i="3"/>
  <c r="C12" i="4"/>
  <c r="D12" i="4"/>
  <c r="E12" i="4"/>
  <c r="F12" i="4"/>
  <c r="G12" i="4"/>
  <c r="H12" i="4"/>
  <c r="I12" i="4"/>
  <c r="J12" i="4"/>
  <c r="K12" i="4"/>
  <c r="L12" i="4"/>
  <c r="M12" i="4"/>
  <c r="N12" i="4"/>
  <c r="D15" i="5"/>
  <c r="N13" i="3"/>
  <c r="N14" i="3" s="1"/>
  <c r="N27" i="3" s="1"/>
  <c r="N22" i="4" s="1"/>
  <c r="M13" i="3"/>
  <c r="M14" i="3" s="1"/>
  <c r="M27" i="3" s="1"/>
  <c r="M22" i="4" s="1"/>
  <c r="L13" i="3"/>
  <c r="L14" i="3" s="1"/>
  <c r="L27" i="3" s="1"/>
  <c r="L22" i="4" s="1"/>
  <c r="K13" i="3"/>
  <c r="K14" i="3" s="1"/>
  <c r="K27" i="3" s="1"/>
  <c r="K22" i="4" s="1"/>
  <c r="J13" i="3"/>
  <c r="J14" i="3" s="1"/>
  <c r="J27" i="3" s="1"/>
  <c r="J22" i="4" s="1"/>
  <c r="I13" i="3"/>
  <c r="I14" i="3" s="1"/>
  <c r="I27" i="3" s="1"/>
  <c r="I22" i="4" s="1"/>
  <c r="H13" i="3"/>
  <c r="H14" i="3" s="1"/>
  <c r="H27" i="3" s="1"/>
  <c r="H22" i="4" s="1"/>
  <c r="G13" i="3"/>
  <c r="G14" i="3" s="1"/>
  <c r="G27" i="3" s="1"/>
  <c r="G22" i="4" s="1"/>
  <c r="F13" i="3"/>
  <c r="F14" i="3" s="1"/>
  <c r="F27" i="3" s="1"/>
  <c r="F22" i="4" s="1"/>
  <c r="E13" i="3"/>
  <c r="E14" i="3" s="1"/>
  <c r="E27" i="3" s="1"/>
  <c r="E22" i="4" s="1"/>
  <c r="D13" i="3"/>
  <c r="D14" i="3" s="1"/>
  <c r="D27" i="3" s="1"/>
  <c r="D22" i="4" s="1"/>
  <c r="C13" i="3"/>
  <c r="E13" i="5"/>
  <c r="E14" i="5" s="1"/>
  <c r="E17" i="5" s="1"/>
  <c r="E20" i="5" s="1"/>
  <c r="D13" i="5"/>
  <c r="D14" i="5" s="1"/>
  <c r="D17" i="5" s="1"/>
  <c r="D20" i="5" s="1"/>
  <c r="C13" i="5"/>
  <c r="C14" i="5" s="1"/>
  <c r="C17" i="5" s="1"/>
  <c r="C20" i="5" s="1"/>
  <c r="C21" i="5" s="1"/>
  <c r="D21" i="5" l="1"/>
  <c r="E21" i="5" s="1"/>
  <c r="C24" i="5"/>
  <c r="B12" i="4"/>
  <c r="B13" i="3"/>
  <c r="C14" i="3"/>
  <c r="C27" i="3" l="1"/>
  <c r="B14" i="3"/>
  <c r="B27" i="3" l="1"/>
  <c r="C28" i="3"/>
  <c r="D28" i="3" s="1"/>
  <c r="E28" i="3" s="1"/>
  <c r="F28" i="3" s="1"/>
  <c r="G28" i="3" s="1"/>
  <c r="H28" i="3" s="1"/>
  <c r="I28" i="3" s="1"/>
  <c r="J28" i="3" s="1"/>
  <c r="K28" i="3" s="1"/>
  <c r="L28" i="3" s="1"/>
  <c r="M28" i="3" s="1"/>
  <c r="N28" i="3" s="1"/>
  <c r="B28" i="3" s="1"/>
  <c r="C22" i="4"/>
  <c r="B22" i="4" s="1"/>
</calcChain>
</file>

<file path=xl/sharedStrings.xml><?xml version="1.0" encoding="utf-8"?>
<sst xmlns="http://schemas.openxmlformats.org/spreadsheetml/2006/main" count="193" uniqueCount="130">
  <si>
    <t>Prévisions — budget, plan financier, prix et marges</t>
  </si>
  <si>
    <t>HEC GEMM Groupe 7 · Pôle Finance · Modèle vide créé le 27/10/2026, données à compléter</t>
  </si>
  <si>
    <t>Rubrique</t>
  </si>
  <si>
    <t>Contenu</t>
  </si>
  <si>
    <t>Objet</t>
  </si>
  <si>
    <t>Budget, plan financier, prix et marges (2 FINANCE/PREVISIONS/LISEZ-MOI.md).</t>
  </si>
  <si>
    <t>Onglets</t>
  </si>
  <si>
    <t>« Prix et marges » : prix, coûts directs, marge et partage de la valeur d'un événement, par type d'événement. « Budget mensuel » : 12 mois d'activité et de charges. « Prévu et réel » : le budget comparé au réel, mois par mois. « Plan financier 3 ans » : compte de résultat simplifié et besoin de financement.</t>
  </si>
  <si>
    <t>Ordre de remplissage</t>
  </si>
  <si>
    <t>1. Prix et marges · 2. Budget mensuel · 3. Plan financier 3 ans · 4. Prévu et réel, chaque mois dès que le réel est connu.</t>
  </si>
  <si>
    <t>Prévision et résultat</t>
  </si>
  <si>
    <t>Une prévision n'est pas un résultat : la comparer au réel dès qu'il est connu (onglet « Prévu et réel »), en citant la pièce du réel. Un objectif de chiffre d'affaires n'est pas une facture.</t>
  </si>
  <si>
    <t>Types d'événement</t>
  </si>
  <si>
    <t>Les colonnes suivent les cibles du cadre D-01 : communautés de foodies, entreprises (corporate) et, éventuellement, événements privés. Les en-têtes peuvent être renommés.</t>
  </si>
  <si>
    <t>Note explicative</t>
  </si>
  <si>
    <t>Selon le LISEZ-MOI du dossier, ce tableur est rangé avec une note qui l'explique (AAAA MMJJ Titre.md), à rédiger quand les chiffres seront saisis.</t>
  </si>
  <si>
    <t>Légende des cellules</t>
  </si>
  <si>
    <t>Cellule jaune, texte bleu : donnée à saisir. Cellule grise : formule, ne pas modifier. Texte vert : valeur reprise d'un autre onglet. Ligne verte « Exemple » : montre le format attendu, à remplacer ou supprimer.</t>
  </si>
  <si>
    <t>Colonne « Nature »</t>
  </si>
  <si>
    <t>F = fait constaté dans une pièce citée · I = inférence · P = proposition · H = hypothèse à valider (voir RULES.md). Si la pièce ne dit pas le chiffre : « non établi par les sources ».</t>
  </si>
  <si>
    <t>Colonne « Source »</t>
  </si>
  <si>
    <t>La pièce et l'endroit exact (ex. : S04, § Contexte, ou le nom de la note du dépôt). Signaler un chiffre tiré d'un argumentaire (plan d'affaires, présentation) plutôt que d'un document de gestion (facture, relevé, procès-verbal).</t>
  </si>
  <si>
    <t>Unités</t>
  </si>
  <si>
    <t>Montants en euros hors taxes, sauf mention contraire. Pourcentages saisis en % (ex. : 15 %).</t>
  </si>
  <si>
    <t>Cadre du projet</t>
  </si>
  <si>
    <t>Société d'événementiel : périodes vacantes de restaurants et de lieux avec cuisine, vivier de chefs d'exception, événements pour des communautés de foodies et pour des entreprises (privés éventuellement). Source : 1 DIRECTION/STRATEGIE/2026 1027 Descriptif du projet - Cadre de référence, décision D-01 du 27/10/2026.</t>
  </si>
  <si>
    <t>Références</t>
  </si>
  <si>
    <t>2 FINANCE/PREVISIONS/LISEZ-MOI.md · 2 FINANCE/AGENT.md (règles propres à la finance) · RULES.md</t>
  </si>
  <si>
    <t>Prix et marges d'un événement</t>
  </si>
  <si>
    <t>Un type d'événement par colonne. Les lignes grises se calculent seules.</t>
  </si>
  <si>
    <t>Les en-têtes de colonnes reprennent les cibles du cadre D-01 ; les renommer si besoin.</t>
  </si>
  <si>
    <t>Poste</t>
  </si>
  <si>
    <t>Unité</t>
  </si>
  <si>
    <t>Événement foodies</t>
  </si>
  <si>
    <t>Événement corporate</t>
  </si>
  <si>
    <t>Événement privé</t>
  </si>
  <si>
    <t>Nature</t>
  </si>
  <si>
    <t>Source</t>
  </si>
  <si>
    <t>Fourni par</t>
  </si>
  <si>
    <t>1. Recettes de l'événement</t>
  </si>
  <si>
    <t>Nombre de convives</t>
  </si>
  <si>
    <t>personnes</t>
  </si>
  <si>
    <t>Prix par convive</t>
  </si>
  <si>
    <t>€ HT par personne</t>
  </si>
  <si>
    <t>Minimum facturé par événement (0 si aucun)</t>
  </si>
  <si>
    <t>€ HT</t>
  </si>
  <si>
    <t>Revenus complémentaires (partenariats vins et champagne, options)</t>
  </si>
  <si>
    <t>Chiffre d'affaires de l'événement</t>
  </si>
  <si>
    <t>2. Coûts directs de l'événement</t>
  </si>
  <si>
    <t>Mise à disposition du lieu</t>
  </si>
  <si>
    <t>Rémunération du chef : part fixe</t>
  </si>
  <si>
    <t>Rémunération du chef : part du chiffre d'affaires</t>
  </si>
  <si>
    <t>% du CA</t>
  </si>
  <si>
    <t>Rémunération du chef</t>
  </si>
  <si>
    <t>Matières premières par convive</t>
  </si>
  <si>
    <t>Boissons par convive</t>
  </si>
  <si>
    <t>Matières et boissons</t>
  </si>
  <si>
    <t>Personnel de service et extras</t>
  </si>
  <si>
    <t>Ménage et remise en état du lieu</t>
  </si>
  <si>
    <t>Assurance de l'événement</t>
  </si>
  <si>
    <t>Décor, matériel et location</t>
  </si>
  <si>
    <t>Frais de paiement ou de billetterie</t>
  </si>
  <si>
    <t>Commission d'apporteur ou d'agence</t>
  </si>
  <si>
    <t>Frais et commissions</t>
  </si>
  <si>
    <t>Autres coûts directs</t>
  </si>
  <si>
    <t>Total des coûts directs</t>
  </si>
  <si>
    <t>3. Marge et partage de la valeur</t>
  </si>
  <si>
    <t>Marge sur coûts directs</t>
  </si>
  <si>
    <t>Taux de marge</t>
  </si>
  <si>
    <t>Marge par convive</t>
  </si>
  <si>
    <t>Part du lieu</t>
  </si>
  <si>
    <t>Part du chef</t>
  </si>
  <si>
    <t>Part de la société (marge)</t>
  </si>
  <si>
    <t>Prix plancher par convive (marge nulle, hors minimum)</t>
  </si>
  <si>
    <t>Budget mensuel sur 12 mois</t>
  </si>
  <si>
    <t>Saisir le nombre d'événements et les charges fixes de chaque mois ; recettes et coûts directs viennent de l'onglet Prix et marges.</t>
  </si>
  <si>
    <t>Premier mois du budget (date) :</t>
  </si>
  <si>
    <t>Total 12 mois</t>
  </si>
  <si>
    <t>Activité</t>
  </si>
  <si>
    <t>Événements foodies (nombre)</t>
  </si>
  <si>
    <t>Événements corporate (nombre)</t>
  </si>
  <si>
    <t>Événements privés (nombre)</t>
  </si>
  <si>
    <t>Nombre total d'événements</t>
  </si>
  <si>
    <t>Chiffre d'affaires et marge</t>
  </si>
  <si>
    <t>Chiffre d'affaires</t>
  </si>
  <si>
    <t>Coûts directs</t>
  </si>
  <si>
    <t>Charges fixes</t>
  </si>
  <si>
    <t>Salaires et charges sociales</t>
  </si>
  <si>
    <t>Locaux et bureaux</t>
  </si>
  <si>
    <t>Logiciels et outils</t>
  </si>
  <si>
    <t>Marketing et communication</t>
  </si>
  <si>
    <t>Assurance responsabilité civile professionnelle</t>
  </si>
  <si>
    <t>Honoraires (comptable, juridique)</t>
  </si>
  <si>
    <t>Banque et frais de paiement fixes</t>
  </si>
  <si>
    <t>Déplacements</t>
  </si>
  <si>
    <t>Autres charges fixes</t>
  </si>
  <si>
    <t>Total des charges fixes</t>
  </si>
  <si>
    <t>Résultat</t>
  </si>
  <si>
    <t>Résultat d'exploitation du mois</t>
  </si>
  <si>
    <t>Résultat cumulé</t>
  </si>
  <si>
    <t>Prévu et réel, mois par mois</t>
  </si>
  <si>
    <t>Le prévu vient du budget mensuel ; saisir le réel dès qu'il est connu, avec sa pièce.</t>
  </si>
  <si>
    <t>Indicateur</t>
  </si>
  <si>
    <t>Nombre d'événements</t>
  </si>
  <si>
    <t>Prévu</t>
  </si>
  <si>
    <t>Réel</t>
  </si>
  <si>
    <t>Écart (réel − prévu)</t>
  </si>
  <si>
    <t>Résultat d'exploitation</t>
  </si>
  <si>
    <t>Pièces du réel</t>
  </si>
  <si>
    <t>Pièce justifiant le réel (comptabilité, relevé, factures)</t>
  </si>
  <si>
    <t>Plan financier sur 3 ans (simplifié)</t>
  </si>
  <si>
    <t>Prix et coûts par événement constants (onglet Prix et marges). Ni TVA, ni impôt, ni délais de paiement.</t>
  </si>
  <si>
    <t>Année 1</t>
  </si>
  <si>
    <t>Année 2</t>
  </si>
  <si>
    <t>Année 3</t>
  </si>
  <si>
    <t>Événements foodies</t>
  </si>
  <si>
    <t>nombre par an</t>
  </si>
  <si>
    <t>Événements corporate</t>
  </si>
  <si>
    <t>Événements privés</t>
  </si>
  <si>
    <t>Compte de résultat simplifié</t>
  </si>
  <si>
    <t>€ HT par an</t>
  </si>
  <si>
    <t>Besoin de financement</t>
  </si>
  <si>
    <t>Investissements (création, site, matériel)</t>
  </si>
  <si>
    <t>Flux de l'année (résultat − investissements)</t>
  </si>
  <si>
    <t>€</t>
  </si>
  <si>
    <t>Flux cumulé</t>
  </si>
  <si>
    <t>Seuil de rentabilité</t>
  </si>
  <si>
    <t>événements par an</t>
  </si>
  <si>
    <t>Besoin de financement (point bas du flux cumulé)</t>
  </si>
  <si>
    <t>Année 1 : charges fixes reprises du budget mensuel (total 12 mois). Années 2 et 3 : à saisir. Le besoin de financement se suit ensuite dans 2 FINANCE/FINANCEMENT.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</si>
</sst>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\-#,##0;&quot;-&quot;"/>
    <numFmt numFmtId="165" formatCode="#,##0.00\ &quot;€&quot;;\-#,##0.00\ &quot;€&quot;;&quot;-&quot;"/>
    <numFmt numFmtId="166" formatCode="#,##0\ &quot;€&quot;;\-#,##0\ &quot;€&quot;;&quot;-&quot;"/>
    <numFmt numFmtId="167" formatCode="0.0%;\-0.0%;&quot;-&quot;"/>
    <numFmt numFmtId="168" formatCode="mmm\ yyyy"/>
    <numFmt numFmtId="169" formatCode="#,##0.0;\-#,##0.0;&quot;-&quot;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8000"/>
      <name val="Arial"/>
      <family val="2"/>
    </font>
    <font>
      <sz val="10"/>
      <color rgb="FF008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2" fillId="3" borderId="0" xfId="0" applyFont="1" applyFill="1"/>
    <xf numFmtId="0" fontId="6" fillId="4" borderId="1" xfId="0" applyFont="1" applyFill="1" applyBorder="1"/>
    <xf numFmtId="164" fontId="6" fillId="4" borderId="1" xfId="0" applyNumberFormat="1" applyFont="1" applyFill="1" applyBorder="1"/>
    <xf numFmtId="165" fontId="6" fillId="4" borderId="1" xfId="0" applyNumberFormat="1" applyFont="1" applyFill="1" applyBorder="1"/>
    <xf numFmtId="166" fontId="6" fillId="4" borderId="1" xfId="0" applyNumberFormat="1" applyFont="1" applyFill="1" applyBorder="1"/>
    <xf numFmtId="166" fontId="7" fillId="5" borderId="1" xfId="0" applyNumberFormat="1" applyFont="1" applyFill="1" applyBorder="1"/>
    <xf numFmtId="166" fontId="8" fillId="5" borderId="1" xfId="0" applyNumberFormat="1" applyFont="1" applyFill="1" applyBorder="1"/>
    <xf numFmtId="167" fontId="6" fillId="4" borderId="1" xfId="0" applyNumberFormat="1" applyFont="1" applyFill="1" applyBorder="1"/>
    <xf numFmtId="167" fontId="8" fillId="5" borderId="1" xfId="0" applyNumberFormat="1" applyFont="1" applyFill="1" applyBorder="1"/>
    <xf numFmtId="165" fontId="8" fillId="5" borderId="1" xfId="0" applyNumberFormat="1" applyFont="1" applyFill="1" applyBorder="1"/>
    <xf numFmtId="168" fontId="6" fillId="4" borderId="1" xfId="0" applyNumberFormat="1" applyFont="1" applyFill="1" applyBorder="1"/>
    <xf numFmtId="168" fontId="5" fillId="2" borderId="0" xfId="0" applyNumberFormat="1" applyFont="1" applyFill="1" applyAlignment="1">
      <alignment horizontal="right"/>
    </xf>
    <xf numFmtId="164" fontId="7" fillId="5" borderId="1" xfId="0" applyNumberFormat="1" applyFont="1" applyFill="1" applyBorder="1"/>
    <xf numFmtId="164" fontId="8" fillId="5" borderId="1" xfId="0" applyNumberFormat="1" applyFont="1" applyFill="1" applyBorder="1"/>
    <xf numFmtId="166" fontId="9" fillId="5" borderId="1" xfId="0" applyNumberFormat="1" applyFont="1" applyFill="1" applyBorder="1"/>
    <xf numFmtId="164" fontId="10" fillId="5" borderId="1" xfId="0" applyNumberFormat="1" applyFont="1" applyFill="1" applyBorder="1"/>
    <xf numFmtId="166" fontId="10" fillId="5" borderId="1" xfId="0" applyNumberFormat="1" applyFont="1" applyFill="1" applyBorder="1"/>
    <xf numFmtId="0" fontId="6" fillId="4" borderId="1" xfId="0" applyFont="1" applyFill="1" applyBorder="1" applyAlignment="1">
      <alignment wrapText="1"/>
    </xf>
    <xf numFmtId="169" fontId="8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03F8E-C2EA-4BB1-B4D2-4440B8160543}">
  <dimension ref="A1:B16"/>
  <sheetViews>
    <sheetView tabSelected="1" zoomScaleNormal="100" workbookViewId="0"/>
  </sheetViews>
  <sheetFormatPr baseColWidth="10" defaultRowHeight="12.5" x14ac:dyDescent="0.25"/>
  <cols>
    <col min="1" max="1" width="26.6328125" style="1" customWidth="1"/>
    <col min="2" max="2" width="110.6328125" style="1" customWidth="1"/>
    <col min="3" max="16384" width="10.90625" style="1"/>
  </cols>
  <sheetData>
    <row r="1" spans="1:2" ht="18" x14ac:dyDescent="0.4">
      <c r="A1" s="3" t="s">
        <v>0</v>
      </c>
    </row>
    <row r="2" spans="1:2" ht="13" x14ac:dyDescent="0.3">
      <c r="A2" s="4" t="s">
        <v>1</v>
      </c>
    </row>
    <row r="4" spans="1:2" ht="13" x14ac:dyDescent="0.25">
      <c r="A4" s="6" t="s">
        <v>2</v>
      </c>
      <c r="B4" s="6" t="s">
        <v>3</v>
      </c>
    </row>
    <row r="5" spans="1:2" ht="13" x14ac:dyDescent="0.25">
      <c r="A5" s="8" t="s">
        <v>4</v>
      </c>
      <c r="B5" s="9" t="s">
        <v>5</v>
      </c>
    </row>
    <row r="6" spans="1:2" ht="37.5" x14ac:dyDescent="0.25">
      <c r="A6" s="8" t="s">
        <v>6</v>
      </c>
      <c r="B6" s="9" t="s">
        <v>7</v>
      </c>
    </row>
    <row r="7" spans="1:2" ht="13" x14ac:dyDescent="0.25">
      <c r="A7" s="8" t="s">
        <v>8</v>
      </c>
      <c r="B7" s="9" t="s">
        <v>9</v>
      </c>
    </row>
    <row r="8" spans="1:2" ht="25" x14ac:dyDescent="0.25">
      <c r="A8" s="8" t="s">
        <v>10</v>
      </c>
      <c r="B8" s="9" t="s">
        <v>11</v>
      </c>
    </row>
    <row r="9" spans="1:2" ht="25" x14ac:dyDescent="0.25">
      <c r="A9" s="8" t="s">
        <v>12</v>
      </c>
      <c r="B9" s="9" t="s">
        <v>13</v>
      </c>
    </row>
    <row r="10" spans="1:2" ht="25" x14ac:dyDescent="0.25">
      <c r="A10" s="8" t="s">
        <v>14</v>
      </c>
      <c r="B10" s="9" t="s">
        <v>15</v>
      </c>
    </row>
    <row r="11" spans="1:2" ht="25" x14ac:dyDescent="0.25">
      <c r="A11" s="8" t="s">
        <v>16</v>
      </c>
      <c r="B11" s="9" t="s">
        <v>17</v>
      </c>
    </row>
    <row r="12" spans="1:2" ht="25" x14ac:dyDescent="0.25">
      <c r="A12" s="8" t="s">
        <v>18</v>
      </c>
      <c r="B12" s="9" t="s">
        <v>19</v>
      </c>
    </row>
    <row r="13" spans="1:2" ht="25" x14ac:dyDescent="0.25">
      <c r="A13" s="8" t="s">
        <v>20</v>
      </c>
      <c r="B13" s="9" t="s">
        <v>21</v>
      </c>
    </row>
    <row r="14" spans="1:2" ht="13" x14ac:dyDescent="0.25">
      <c r="A14" s="8" t="s">
        <v>22</v>
      </c>
      <c r="B14" s="9" t="s">
        <v>23</v>
      </c>
    </row>
    <row r="15" spans="1:2" ht="37.5" x14ac:dyDescent="0.25">
      <c r="A15" s="8" t="s">
        <v>24</v>
      </c>
      <c r="B15" s="9" t="s">
        <v>25</v>
      </c>
    </row>
    <row r="16" spans="1:2" ht="13" x14ac:dyDescent="0.25">
      <c r="A16" s="8" t="s">
        <v>26</v>
      </c>
      <c r="B16" s="9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CBC78-D77D-4ECD-B21C-206BE8F76C81}">
  <dimension ref="A1:H36"/>
  <sheetViews>
    <sheetView zoomScaleNormal="100" workbookViewId="0">
      <pane ySplit="5" topLeftCell="A6" activePane="bottomLeft" state="frozenSplit"/>
      <selection pane="bottomLeft"/>
    </sheetView>
  </sheetViews>
  <sheetFormatPr baseColWidth="10" defaultRowHeight="12.5" x14ac:dyDescent="0.25"/>
  <cols>
    <col min="1" max="1" width="52.6328125" style="1" customWidth="1"/>
    <col min="2" max="2" width="20.6328125" style="1" customWidth="1"/>
    <col min="3" max="5" width="17.6328125" style="1" customWidth="1"/>
    <col min="6" max="6" width="8.6328125" style="1" customWidth="1"/>
    <col min="7" max="7" width="40.6328125" style="1" customWidth="1"/>
    <col min="8" max="8" width="13.6328125" style="1" customWidth="1"/>
    <col min="9" max="16384" width="10.90625" style="1"/>
  </cols>
  <sheetData>
    <row r="1" spans="1:8" ht="18" x14ac:dyDescent="0.4">
      <c r="A1" s="3" t="s">
        <v>28</v>
      </c>
    </row>
    <row r="2" spans="1:8" ht="13" x14ac:dyDescent="0.3">
      <c r="A2" s="4" t="s">
        <v>29</v>
      </c>
    </row>
    <row r="3" spans="1:8" ht="13" x14ac:dyDescent="0.3">
      <c r="A3" s="4" t="s">
        <v>30</v>
      </c>
    </row>
    <row r="5" spans="1:8" ht="30" customHeight="1" x14ac:dyDescent="0.25">
      <c r="A5" s="6" t="s">
        <v>31</v>
      </c>
      <c r="B5" s="6" t="s">
        <v>32</v>
      </c>
      <c r="C5" s="6" t="s">
        <v>33</v>
      </c>
      <c r="D5" s="6" t="s">
        <v>34</v>
      </c>
      <c r="E5" s="6" t="s">
        <v>35</v>
      </c>
      <c r="F5" s="6" t="s">
        <v>36</v>
      </c>
      <c r="G5" s="6" t="s">
        <v>37</v>
      </c>
      <c r="H5" s="6" t="s">
        <v>38</v>
      </c>
    </row>
    <row r="6" spans="1:8" ht="13" x14ac:dyDescent="0.3">
      <c r="A6" s="10" t="s">
        <v>39</v>
      </c>
      <c r="B6" s="10"/>
      <c r="C6" s="10"/>
      <c r="D6" s="10"/>
      <c r="E6" s="10"/>
      <c r="F6" s="10"/>
      <c r="G6" s="10"/>
      <c r="H6" s="10"/>
    </row>
    <row r="7" spans="1:8" x14ac:dyDescent="0.25">
      <c r="A7" s="1" t="s">
        <v>40</v>
      </c>
      <c r="B7" s="1" t="s">
        <v>41</v>
      </c>
      <c r="C7" s="12"/>
      <c r="D7" s="12"/>
      <c r="E7" s="12"/>
      <c r="F7" s="11"/>
      <c r="G7" s="11"/>
      <c r="H7" s="11"/>
    </row>
    <row r="8" spans="1:8" x14ac:dyDescent="0.25">
      <c r="A8" s="1" t="s">
        <v>42</v>
      </c>
      <c r="B8" s="1" t="s">
        <v>43</v>
      </c>
      <c r="C8" s="13"/>
      <c r="D8" s="13"/>
      <c r="E8" s="13"/>
      <c r="F8" s="11"/>
      <c r="G8" s="11"/>
      <c r="H8" s="11"/>
    </row>
    <row r="9" spans="1:8" x14ac:dyDescent="0.25">
      <c r="A9" s="1" t="s">
        <v>44</v>
      </c>
      <c r="B9" s="1" t="s">
        <v>45</v>
      </c>
      <c r="C9" s="14"/>
      <c r="D9" s="14"/>
      <c r="E9" s="14"/>
      <c r="F9" s="11"/>
      <c r="G9" s="11"/>
      <c r="H9" s="11"/>
    </row>
    <row r="10" spans="1:8" x14ac:dyDescent="0.25">
      <c r="A10" s="1" t="s">
        <v>46</v>
      </c>
      <c r="B10" s="1" t="s">
        <v>45</v>
      </c>
      <c r="C10" s="14"/>
      <c r="D10" s="14"/>
      <c r="E10" s="14"/>
      <c r="F10" s="11"/>
      <c r="G10" s="11"/>
      <c r="H10" s="11"/>
    </row>
    <row r="11" spans="1:8" ht="13" x14ac:dyDescent="0.3">
      <c r="A11" s="2" t="s">
        <v>47</v>
      </c>
      <c r="B11" s="2" t="s">
        <v>45</v>
      </c>
      <c r="C11" s="16">
        <f t="shared" ref="C11:E11" si="0">MAX(C7*C8,C9)+C10</f>
        <v>0</v>
      </c>
      <c r="D11" s="16">
        <f t="shared" si="0"/>
        <v>0</v>
      </c>
      <c r="E11" s="16">
        <f t="shared" si="0"/>
        <v>0</v>
      </c>
      <c r="F11" s="11"/>
      <c r="G11" s="11"/>
      <c r="H11" s="11"/>
    </row>
    <row r="12" spans="1:8" ht="13" x14ac:dyDescent="0.3">
      <c r="A12" s="10" t="s">
        <v>48</v>
      </c>
      <c r="B12" s="10"/>
      <c r="C12" s="10"/>
      <c r="D12" s="10"/>
      <c r="E12" s="10"/>
      <c r="F12" s="10"/>
      <c r="G12" s="10"/>
      <c r="H12" s="10"/>
    </row>
    <row r="13" spans="1:8" x14ac:dyDescent="0.25">
      <c r="A13" s="1" t="s">
        <v>49</v>
      </c>
      <c r="B13" s="1" t="s">
        <v>45</v>
      </c>
      <c r="C13" s="14"/>
      <c r="D13" s="14"/>
      <c r="E13" s="14"/>
      <c r="F13" s="11"/>
      <c r="G13" s="11"/>
      <c r="H13" s="11"/>
    </row>
    <row r="14" spans="1:8" x14ac:dyDescent="0.25">
      <c r="A14" s="1" t="s">
        <v>50</v>
      </c>
      <c r="B14" s="1" t="s">
        <v>45</v>
      </c>
      <c r="C14" s="14"/>
      <c r="D14" s="14"/>
      <c r="E14" s="14"/>
      <c r="F14" s="11"/>
      <c r="G14" s="11"/>
      <c r="H14" s="11"/>
    </row>
    <row r="15" spans="1:8" x14ac:dyDescent="0.25">
      <c r="A15" s="1" t="s">
        <v>51</v>
      </c>
      <c r="B15" s="1" t="s">
        <v>52</v>
      </c>
      <c r="C15" s="17"/>
      <c r="D15" s="17"/>
      <c r="E15" s="17"/>
      <c r="F15" s="11"/>
      <c r="G15" s="11"/>
      <c r="H15" s="11"/>
    </row>
    <row r="16" spans="1:8" ht="13" x14ac:dyDescent="0.3">
      <c r="A16" s="2" t="s">
        <v>53</v>
      </c>
      <c r="B16" s="2" t="s">
        <v>45</v>
      </c>
      <c r="C16" s="16">
        <f t="shared" ref="C16:E16" si="1">C14+C15*C11</f>
        <v>0</v>
      </c>
      <c r="D16" s="16">
        <f t="shared" si="1"/>
        <v>0</v>
      </c>
      <c r="E16" s="16">
        <f t="shared" si="1"/>
        <v>0</v>
      </c>
      <c r="F16" s="11"/>
      <c r="G16" s="11"/>
      <c r="H16" s="11"/>
    </row>
    <row r="17" spans="1:8" x14ac:dyDescent="0.25">
      <c r="A17" s="1" t="s">
        <v>54</v>
      </c>
      <c r="B17" s="1" t="s">
        <v>43</v>
      </c>
      <c r="C17" s="13"/>
      <c r="D17" s="13"/>
      <c r="E17" s="13"/>
      <c r="F17" s="11"/>
      <c r="G17" s="11"/>
      <c r="H17" s="11"/>
    </row>
    <row r="18" spans="1:8" x14ac:dyDescent="0.25">
      <c r="A18" s="1" t="s">
        <v>55</v>
      </c>
      <c r="B18" s="1" t="s">
        <v>43</v>
      </c>
      <c r="C18" s="13"/>
      <c r="D18" s="13"/>
      <c r="E18" s="13"/>
      <c r="F18" s="11"/>
      <c r="G18" s="11"/>
      <c r="H18" s="11"/>
    </row>
    <row r="19" spans="1:8" ht="13" x14ac:dyDescent="0.3">
      <c r="A19" s="2" t="s">
        <v>56</v>
      </c>
      <c r="B19" s="2" t="s">
        <v>45</v>
      </c>
      <c r="C19" s="16">
        <f t="shared" ref="C19:E19" si="2">C7*(C17+C18)</f>
        <v>0</v>
      </c>
      <c r="D19" s="16">
        <f t="shared" si="2"/>
        <v>0</v>
      </c>
      <c r="E19" s="16">
        <f t="shared" si="2"/>
        <v>0</v>
      </c>
      <c r="F19" s="11"/>
      <c r="G19" s="11"/>
      <c r="H19" s="11"/>
    </row>
    <row r="20" spans="1:8" x14ac:dyDescent="0.25">
      <c r="A20" s="1" t="s">
        <v>57</v>
      </c>
      <c r="B20" s="1" t="s">
        <v>45</v>
      </c>
      <c r="C20" s="14"/>
      <c r="D20" s="14"/>
      <c r="E20" s="14"/>
      <c r="F20" s="11"/>
      <c r="G20" s="11"/>
      <c r="H20" s="11"/>
    </row>
    <row r="21" spans="1:8" x14ac:dyDescent="0.25">
      <c r="A21" s="1" t="s">
        <v>58</v>
      </c>
      <c r="B21" s="1" t="s">
        <v>45</v>
      </c>
      <c r="C21" s="14"/>
      <c r="D21" s="14"/>
      <c r="E21" s="14"/>
      <c r="F21" s="11"/>
      <c r="G21" s="11"/>
      <c r="H21" s="11"/>
    </row>
    <row r="22" spans="1:8" x14ac:dyDescent="0.25">
      <c r="A22" s="1" t="s">
        <v>59</v>
      </c>
      <c r="B22" s="1" t="s">
        <v>45</v>
      </c>
      <c r="C22" s="14"/>
      <c r="D22" s="14"/>
      <c r="E22" s="14"/>
      <c r="F22" s="11"/>
      <c r="G22" s="11"/>
      <c r="H22" s="11"/>
    </row>
    <row r="23" spans="1:8" x14ac:dyDescent="0.25">
      <c r="A23" s="1" t="s">
        <v>60</v>
      </c>
      <c r="B23" s="1" t="s">
        <v>45</v>
      </c>
      <c r="C23" s="14"/>
      <c r="D23" s="14"/>
      <c r="E23" s="14"/>
      <c r="F23" s="11"/>
      <c r="G23" s="11"/>
      <c r="H23" s="11"/>
    </row>
    <row r="24" spans="1:8" x14ac:dyDescent="0.25">
      <c r="A24" s="1" t="s">
        <v>61</v>
      </c>
      <c r="B24" s="1" t="s">
        <v>52</v>
      </c>
      <c r="C24" s="17"/>
      <c r="D24" s="17"/>
      <c r="E24" s="17"/>
      <c r="F24" s="11"/>
      <c r="G24" s="11"/>
      <c r="H24" s="11"/>
    </row>
    <row r="25" spans="1:8" x14ac:dyDescent="0.25">
      <c r="A25" s="1" t="s">
        <v>62</v>
      </c>
      <c r="B25" s="1" t="s">
        <v>52</v>
      </c>
      <c r="C25" s="17"/>
      <c r="D25" s="17"/>
      <c r="E25" s="17"/>
      <c r="F25" s="11"/>
      <c r="G25" s="11"/>
      <c r="H25" s="11"/>
    </row>
    <row r="26" spans="1:8" ht="13" x14ac:dyDescent="0.3">
      <c r="A26" s="2" t="s">
        <v>63</v>
      </c>
      <c r="B26" s="2" t="s">
        <v>45</v>
      </c>
      <c r="C26" s="16">
        <f t="shared" ref="C26:E26" si="3">(C24+C25)*C11</f>
        <v>0</v>
      </c>
      <c r="D26" s="16">
        <f t="shared" si="3"/>
        <v>0</v>
      </c>
      <c r="E26" s="16">
        <f t="shared" si="3"/>
        <v>0</v>
      </c>
      <c r="F26" s="11"/>
      <c r="G26" s="11"/>
      <c r="H26" s="11"/>
    </row>
    <row r="27" spans="1:8" x14ac:dyDescent="0.25">
      <c r="A27" s="1" t="s">
        <v>64</v>
      </c>
      <c r="B27" s="1" t="s">
        <v>45</v>
      </c>
      <c r="C27" s="14"/>
      <c r="D27" s="14"/>
      <c r="E27" s="14"/>
      <c r="F27" s="11"/>
      <c r="G27" s="11"/>
      <c r="H27" s="11"/>
    </row>
    <row r="28" spans="1:8" ht="13" x14ac:dyDescent="0.3">
      <c r="A28" s="2" t="s">
        <v>65</v>
      </c>
      <c r="B28" s="2" t="s">
        <v>45</v>
      </c>
      <c r="C28" s="16">
        <f t="shared" ref="C28:E28" si="4">C13+C16+C19+C20+C21+C22+C23+C26+C27</f>
        <v>0</v>
      </c>
      <c r="D28" s="16">
        <f t="shared" si="4"/>
        <v>0</v>
      </c>
      <c r="E28" s="16">
        <f t="shared" si="4"/>
        <v>0</v>
      </c>
      <c r="F28" s="11"/>
      <c r="G28" s="11"/>
      <c r="H28" s="11"/>
    </row>
    <row r="29" spans="1:8" ht="13" x14ac:dyDescent="0.3">
      <c r="A29" s="10" t="s">
        <v>66</v>
      </c>
      <c r="B29" s="10"/>
      <c r="C29" s="10"/>
      <c r="D29" s="10"/>
      <c r="E29" s="10"/>
      <c r="F29" s="10"/>
      <c r="G29" s="10"/>
      <c r="H29" s="10"/>
    </row>
    <row r="30" spans="1:8" ht="13" x14ac:dyDescent="0.3">
      <c r="A30" s="2" t="s">
        <v>67</v>
      </c>
      <c r="B30" s="2" t="s">
        <v>45</v>
      </c>
      <c r="C30" s="16">
        <f t="shared" ref="C30:E30" si="5">C11-C28</f>
        <v>0</v>
      </c>
      <c r="D30" s="16">
        <f t="shared" si="5"/>
        <v>0</v>
      </c>
      <c r="E30" s="16">
        <f t="shared" si="5"/>
        <v>0</v>
      </c>
      <c r="F30" s="11"/>
      <c r="G30" s="11"/>
      <c r="H30" s="11"/>
    </row>
    <row r="31" spans="1:8" ht="13" x14ac:dyDescent="0.3">
      <c r="A31" s="2" t="s">
        <v>68</v>
      </c>
      <c r="B31" s="2" t="s">
        <v>52</v>
      </c>
      <c r="C31" s="18">
        <f t="shared" ref="C31:E31" si="6">IF(C11&gt;0,C30/C11,0)</f>
        <v>0</v>
      </c>
      <c r="D31" s="18">
        <f t="shared" si="6"/>
        <v>0</v>
      </c>
      <c r="E31" s="18">
        <f t="shared" si="6"/>
        <v>0</v>
      </c>
      <c r="F31" s="11"/>
      <c r="G31" s="11"/>
      <c r="H31" s="11"/>
    </row>
    <row r="32" spans="1:8" ht="13" x14ac:dyDescent="0.3">
      <c r="A32" s="2" t="s">
        <v>69</v>
      </c>
      <c r="B32" s="2" t="s">
        <v>43</v>
      </c>
      <c r="C32" s="19">
        <f t="shared" ref="C32:E32" si="7">IF(C7&gt;0,C30/C7,0)</f>
        <v>0</v>
      </c>
      <c r="D32" s="19">
        <f t="shared" si="7"/>
        <v>0</v>
      </c>
      <c r="E32" s="19">
        <f t="shared" si="7"/>
        <v>0</v>
      </c>
      <c r="F32" s="11"/>
      <c r="G32" s="11"/>
      <c r="H32" s="11"/>
    </row>
    <row r="33" spans="1:8" ht="13" x14ac:dyDescent="0.3">
      <c r="A33" s="2" t="s">
        <v>70</v>
      </c>
      <c r="B33" s="2" t="s">
        <v>52</v>
      </c>
      <c r="C33" s="18">
        <f t="shared" ref="C33:E33" si="8">IF(C11&gt;0,C13/C11,0)</f>
        <v>0</v>
      </c>
      <c r="D33" s="18">
        <f t="shared" si="8"/>
        <v>0</v>
      </c>
      <c r="E33" s="18">
        <f t="shared" si="8"/>
        <v>0</v>
      </c>
      <c r="F33" s="11"/>
      <c r="G33" s="11"/>
      <c r="H33" s="11"/>
    </row>
    <row r="34" spans="1:8" ht="13" x14ac:dyDescent="0.3">
      <c r="A34" s="2" t="s">
        <v>71</v>
      </c>
      <c r="B34" s="2" t="s">
        <v>52</v>
      </c>
      <c r="C34" s="18">
        <f t="shared" ref="C34:E34" si="9">IF(C11&gt;0,C16/C11,0)</f>
        <v>0</v>
      </c>
      <c r="D34" s="18">
        <f t="shared" si="9"/>
        <v>0</v>
      </c>
      <c r="E34" s="18">
        <f t="shared" si="9"/>
        <v>0</v>
      </c>
      <c r="F34" s="11"/>
      <c r="G34" s="11"/>
      <c r="H34" s="11"/>
    </row>
    <row r="35" spans="1:8" ht="13" x14ac:dyDescent="0.3">
      <c r="A35" s="2" t="s">
        <v>72</v>
      </c>
      <c r="B35" s="2" t="s">
        <v>52</v>
      </c>
      <c r="C35" s="18">
        <f t="shared" ref="C35:E35" si="10">C31</f>
        <v>0</v>
      </c>
      <c r="D35" s="18">
        <f t="shared" si="10"/>
        <v>0</v>
      </c>
      <c r="E35" s="18">
        <f t="shared" si="10"/>
        <v>0</v>
      </c>
      <c r="F35" s="11"/>
      <c r="G35" s="11"/>
      <c r="H35" s="11"/>
    </row>
    <row r="36" spans="1:8" ht="13" x14ac:dyDescent="0.3">
      <c r="A36" s="2" t="s">
        <v>73</v>
      </c>
      <c r="B36" s="2" t="s">
        <v>43</v>
      </c>
      <c r="C36" s="19">
        <f t="shared" ref="C36:E36" si="11">IF(AND(C7&gt;0,1-C15-C24-C25&gt;0),((C13+C14+C20+C21+C22+C23+C27+C7*(C17+C18))/(1-C15-C24-C25)-C10)/C7,0)</f>
        <v>0</v>
      </c>
      <c r="D36" s="19">
        <f t="shared" si="11"/>
        <v>0</v>
      </c>
      <c r="E36" s="19">
        <f t="shared" si="11"/>
        <v>0</v>
      </c>
      <c r="F36" s="11"/>
      <c r="G36" s="11"/>
      <c r="H36" s="11"/>
    </row>
  </sheetData>
  <dataValidations count="2">
    <dataValidation type="list" allowBlank="1" showInputMessage="1" showErrorMessage="1" sqref="F7:F36" xr:uid="{BF0EF004-68EF-43BB-9EEC-88CC51C3D3B0}">
      <formula1>"F,I,P,H"</formula1>
    </dataValidation>
    <dataValidation type="list" allowBlank="1" showInputMessage="1" showErrorMessage="1" sqref="H7:H36" xr:uid="{89BF218F-9ED1-47E0-857D-1878E317A5E9}">
      <formula1>"Finance,Opérations,Ventes,Produit,Marketing,Juridique,Direction"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70C09-D668-476B-A609-19BB7017A11C}">
  <dimension ref="A1:P28"/>
  <sheetViews>
    <sheetView zoomScaleNormal="100" workbookViewId="0">
      <pane xSplit="2" ySplit="5" topLeftCell="C6" activePane="bottomRight" state="frozenSplit"/>
      <selection pane="bottomLeft" activeCell="A6" sqref="A6"/>
      <selection pane="topRight" activeCell="C1" sqref="C1"/>
      <selection pane="bottomRight"/>
    </sheetView>
  </sheetViews>
  <sheetFormatPr baseColWidth="10" defaultRowHeight="12.5" x14ac:dyDescent="0.25"/>
  <cols>
    <col min="1" max="1" width="44.6328125" style="1" customWidth="1"/>
    <col min="2" max="2" width="14.6328125" style="1" customWidth="1"/>
    <col min="3" max="14" width="11.6328125" style="1" customWidth="1"/>
    <col min="15" max="15" width="8.6328125" style="1" customWidth="1"/>
    <col min="16" max="16" width="30.6328125" style="1" customWidth="1"/>
    <col min="17" max="16384" width="10.90625" style="1"/>
  </cols>
  <sheetData>
    <row r="1" spans="1:16" ht="18" x14ac:dyDescent="0.4">
      <c r="A1" s="3" t="s">
        <v>74</v>
      </c>
    </row>
    <row r="2" spans="1:16" ht="13" x14ac:dyDescent="0.3">
      <c r="A2" s="4" t="s">
        <v>75</v>
      </c>
    </row>
    <row r="3" spans="1:16" ht="13" x14ac:dyDescent="0.3">
      <c r="A3" s="2" t="s">
        <v>76</v>
      </c>
      <c r="C3" s="20"/>
    </row>
    <row r="5" spans="1:16" ht="13" x14ac:dyDescent="0.3">
      <c r="A5" s="5" t="s">
        <v>31</v>
      </c>
      <c r="B5" s="5" t="s">
        <v>77</v>
      </c>
      <c r="C5" s="21" t="str">
        <f t="shared" ref="C5:N5" si="0">IF($C$3="","Mois "&amp;(COLUMN()-2),EDATE($C$3,COLUMN()-3))</f>
        <v>Mois 1</v>
      </c>
      <c r="D5" s="21" t="str">
        <f t="shared" si="0"/>
        <v>Mois 2</v>
      </c>
      <c r="E5" s="21" t="str">
        <f t="shared" si="0"/>
        <v>Mois 3</v>
      </c>
      <c r="F5" s="21" t="str">
        <f t="shared" si="0"/>
        <v>Mois 4</v>
      </c>
      <c r="G5" s="21" t="str">
        <f t="shared" si="0"/>
        <v>Mois 5</v>
      </c>
      <c r="H5" s="21" t="str">
        <f t="shared" si="0"/>
        <v>Mois 6</v>
      </c>
      <c r="I5" s="21" t="str">
        <f t="shared" si="0"/>
        <v>Mois 7</v>
      </c>
      <c r="J5" s="21" t="str">
        <f t="shared" si="0"/>
        <v>Mois 8</v>
      </c>
      <c r="K5" s="21" t="str">
        <f t="shared" si="0"/>
        <v>Mois 9</v>
      </c>
      <c r="L5" s="21" t="str">
        <f t="shared" si="0"/>
        <v>Mois 10</v>
      </c>
      <c r="M5" s="21" t="str">
        <f t="shared" si="0"/>
        <v>Mois 11</v>
      </c>
      <c r="N5" s="21" t="str">
        <f t="shared" si="0"/>
        <v>Mois 12</v>
      </c>
      <c r="O5" s="5" t="s">
        <v>36</v>
      </c>
      <c r="P5" s="5" t="s">
        <v>37</v>
      </c>
    </row>
    <row r="6" spans="1:16" ht="13" x14ac:dyDescent="0.3">
      <c r="A6" s="10" t="s">
        <v>78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1:16" ht="13" x14ac:dyDescent="0.3">
      <c r="A7" s="1" t="s">
        <v>79</v>
      </c>
      <c r="B7" s="23">
        <f>SUM(C7:N7)</f>
        <v>0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1"/>
      <c r="P7" s="11"/>
    </row>
    <row r="8" spans="1:16" ht="13" x14ac:dyDescent="0.3">
      <c r="A8" s="1" t="s">
        <v>80</v>
      </c>
      <c r="B8" s="23">
        <f>SUM(C8:N8)</f>
        <v>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1"/>
      <c r="P8" s="11"/>
    </row>
    <row r="9" spans="1:16" ht="13" x14ac:dyDescent="0.3">
      <c r="A9" s="1" t="s">
        <v>81</v>
      </c>
      <c r="B9" s="23">
        <f>SUM(C9:N9)</f>
        <v>0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1"/>
      <c r="P9" s="11"/>
    </row>
    <row r="10" spans="1:16" ht="13" x14ac:dyDescent="0.3">
      <c r="A10" s="2" t="s">
        <v>82</v>
      </c>
      <c r="B10" s="23">
        <f>SUM(C10:N10)</f>
        <v>0</v>
      </c>
      <c r="C10" s="23">
        <f t="shared" ref="C10:N10" si="1">SUM(C7:C9)</f>
        <v>0</v>
      </c>
      <c r="D10" s="23">
        <f t="shared" si="1"/>
        <v>0</v>
      </c>
      <c r="E10" s="23">
        <f t="shared" si="1"/>
        <v>0</v>
      </c>
      <c r="F10" s="23">
        <f t="shared" si="1"/>
        <v>0</v>
      </c>
      <c r="G10" s="23">
        <f t="shared" si="1"/>
        <v>0</v>
      </c>
      <c r="H10" s="23">
        <f t="shared" si="1"/>
        <v>0</v>
      </c>
      <c r="I10" s="23">
        <f t="shared" si="1"/>
        <v>0</v>
      </c>
      <c r="J10" s="23">
        <f t="shared" si="1"/>
        <v>0</v>
      </c>
      <c r="K10" s="23">
        <f t="shared" si="1"/>
        <v>0</v>
      </c>
      <c r="L10" s="23">
        <f t="shared" si="1"/>
        <v>0</v>
      </c>
      <c r="M10" s="23">
        <f t="shared" si="1"/>
        <v>0</v>
      </c>
      <c r="N10" s="23">
        <f t="shared" si="1"/>
        <v>0</v>
      </c>
    </row>
    <row r="11" spans="1:16" ht="13" x14ac:dyDescent="0.3">
      <c r="A11" s="10" t="s">
        <v>83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</row>
    <row r="12" spans="1:16" ht="13" x14ac:dyDescent="0.3">
      <c r="A12" s="2" t="s">
        <v>84</v>
      </c>
      <c r="B12" s="16">
        <f>SUM(C12:N12)</f>
        <v>0</v>
      </c>
      <c r="C12" s="24">
        <f>C7*'Prix et marges'!$C$11+C8*'Prix et marges'!$D$11+C9*'Prix et marges'!$E$11</f>
        <v>0</v>
      </c>
      <c r="D12" s="24">
        <f>D7*'Prix et marges'!$C$11+D8*'Prix et marges'!$D$11+D9*'Prix et marges'!$E$11</f>
        <v>0</v>
      </c>
      <c r="E12" s="24">
        <f>E7*'Prix et marges'!$C$11+E8*'Prix et marges'!$D$11+E9*'Prix et marges'!$E$11</f>
        <v>0</v>
      </c>
      <c r="F12" s="24">
        <f>F7*'Prix et marges'!$C$11+F8*'Prix et marges'!$D$11+F9*'Prix et marges'!$E$11</f>
        <v>0</v>
      </c>
      <c r="G12" s="24">
        <f>G7*'Prix et marges'!$C$11+G8*'Prix et marges'!$D$11+G9*'Prix et marges'!$E$11</f>
        <v>0</v>
      </c>
      <c r="H12" s="24">
        <f>H7*'Prix et marges'!$C$11+H8*'Prix et marges'!$D$11+H9*'Prix et marges'!$E$11</f>
        <v>0</v>
      </c>
      <c r="I12" s="24">
        <f>I7*'Prix et marges'!$C$11+I8*'Prix et marges'!$D$11+I9*'Prix et marges'!$E$11</f>
        <v>0</v>
      </c>
      <c r="J12" s="24">
        <f>J7*'Prix et marges'!$C$11+J8*'Prix et marges'!$D$11+J9*'Prix et marges'!$E$11</f>
        <v>0</v>
      </c>
      <c r="K12" s="24">
        <f>K7*'Prix et marges'!$C$11+K8*'Prix et marges'!$D$11+K9*'Prix et marges'!$E$11</f>
        <v>0</v>
      </c>
      <c r="L12" s="24">
        <f>L7*'Prix et marges'!$C$11+L8*'Prix et marges'!$D$11+L9*'Prix et marges'!$E$11</f>
        <v>0</v>
      </c>
      <c r="M12" s="24">
        <f>M7*'Prix et marges'!$C$11+M8*'Prix et marges'!$D$11+M9*'Prix et marges'!$E$11</f>
        <v>0</v>
      </c>
      <c r="N12" s="24">
        <f>N7*'Prix et marges'!$C$11+N8*'Prix et marges'!$D$11+N9*'Prix et marges'!$E$11</f>
        <v>0</v>
      </c>
    </row>
    <row r="13" spans="1:16" ht="13" x14ac:dyDescent="0.3">
      <c r="A13" s="2" t="s">
        <v>85</v>
      </c>
      <c r="B13" s="16">
        <f>SUM(C13:N13)</f>
        <v>0</v>
      </c>
      <c r="C13" s="24">
        <f>C7*'Prix et marges'!$C$28+C8*'Prix et marges'!$D$28+C9*'Prix et marges'!$E$28</f>
        <v>0</v>
      </c>
      <c r="D13" s="24">
        <f>D7*'Prix et marges'!$C$28+D8*'Prix et marges'!$D$28+D9*'Prix et marges'!$E$28</f>
        <v>0</v>
      </c>
      <c r="E13" s="24">
        <f>E7*'Prix et marges'!$C$28+E8*'Prix et marges'!$D$28+E9*'Prix et marges'!$E$28</f>
        <v>0</v>
      </c>
      <c r="F13" s="24">
        <f>F7*'Prix et marges'!$C$28+F8*'Prix et marges'!$D$28+F9*'Prix et marges'!$E$28</f>
        <v>0</v>
      </c>
      <c r="G13" s="24">
        <f>G7*'Prix et marges'!$C$28+G8*'Prix et marges'!$D$28+G9*'Prix et marges'!$E$28</f>
        <v>0</v>
      </c>
      <c r="H13" s="24">
        <f>H7*'Prix et marges'!$C$28+H8*'Prix et marges'!$D$28+H9*'Prix et marges'!$E$28</f>
        <v>0</v>
      </c>
      <c r="I13" s="24">
        <f>I7*'Prix et marges'!$C$28+I8*'Prix et marges'!$D$28+I9*'Prix et marges'!$E$28</f>
        <v>0</v>
      </c>
      <c r="J13" s="24">
        <f>J7*'Prix et marges'!$C$28+J8*'Prix et marges'!$D$28+J9*'Prix et marges'!$E$28</f>
        <v>0</v>
      </c>
      <c r="K13" s="24">
        <f>K7*'Prix et marges'!$C$28+K8*'Prix et marges'!$D$28+K9*'Prix et marges'!$E$28</f>
        <v>0</v>
      </c>
      <c r="L13" s="24">
        <f>L7*'Prix et marges'!$C$28+L8*'Prix et marges'!$D$28+L9*'Prix et marges'!$E$28</f>
        <v>0</v>
      </c>
      <c r="M13" s="24">
        <f>M7*'Prix et marges'!$C$28+M8*'Prix et marges'!$D$28+M9*'Prix et marges'!$E$28</f>
        <v>0</v>
      </c>
      <c r="N13" s="24">
        <f>N7*'Prix et marges'!$C$28+N8*'Prix et marges'!$D$28+N9*'Prix et marges'!$E$28</f>
        <v>0</v>
      </c>
    </row>
    <row r="14" spans="1:16" ht="13" x14ac:dyDescent="0.3">
      <c r="A14" s="2" t="s">
        <v>67</v>
      </c>
      <c r="B14" s="16">
        <f>SUM(C14:N14)</f>
        <v>0</v>
      </c>
      <c r="C14" s="16">
        <f t="shared" ref="C14:N14" si="2">C12-C13</f>
        <v>0</v>
      </c>
      <c r="D14" s="16">
        <f t="shared" si="2"/>
        <v>0</v>
      </c>
      <c r="E14" s="16">
        <f t="shared" si="2"/>
        <v>0</v>
      </c>
      <c r="F14" s="16">
        <f t="shared" si="2"/>
        <v>0</v>
      </c>
      <c r="G14" s="16">
        <f t="shared" si="2"/>
        <v>0</v>
      </c>
      <c r="H14" s="16">
        <f t="shared" si="2"/>
        <v>0</v>
      </c>
      <c r="I14" s="16">
        <f t="shared" si="2"/>
        <v>0</v>
      </c>
      <c r="J14" s="16">
        <f t="shared" si="2"/>
        <v>0</v>
      </c>
      <c r="K14" s="16">
        <f t="shared" si="2"/>
        <v>0</v>
      </c>
      <c r="L14" s="16">
        <f t="shared" si="2"/>
        <v>0</v>
      </c>
      <c r="M14" s="16">
        <f t="shared" si="2"/>
        <v>0</v>
      </c>
      <c r="N14" s="16">
        <f t="shared" si="2"/>
        <v>0</v>
      </c>
    </row>
    <row r="15" spans="1:16" ht="13" x14ac:dyDescent="0.3">
      <c r="A15" s="10" t="s">
        <v>86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</row>
    <row r="16" spans="1:16" ht="13" x14ac:dyDescent="0.3">
      <c r="A16" s="1" t="s">
        <v>87</v>
      </c>
      <c r="B16" s="16">
        <f>SUM(C16:N16)</f>
        <v>0</v>
      </c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1"/>
      <c r="P16" s="11"/>
    </row>
    <row r="17" spans="1:16" ht="13" x14ac:dyDescent="0.3">
      <c r="A17" s="1" t="s">
        <v>88</v>
      </c>
      <c r="B17" s="16">
        <f>SUM(C17:N17)</f>
        <v>0</v>
      </c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1"/>
      <c r="P17" s="11"/>
    </row>
    <row r="18" spans="1:16" ht="13" x14ac:dyDescent="0.3">
      <c r="A18" s="1" t="s">
        <v>89</v>
      </c>
      <c r="B18" s="16">
        <f>SUM(C18:N18)</f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1"/>
      <c r="P18" s="11"/>
    </row>
    <row r="19" spans="1:16" ht="13" x14ac:dyDescent="0.3">
      <c r="A19" s="1" t="s">
        <v>90</v>
      </c>
      <c r="B19" s="16">
        <f>SUM(C19:N19)</f>
        <v>0</v>
      </c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1"/>
      <c r="P19" s="11"/>
    </row>
    <row r="20" spans="1:16" ht="13" x14ac:dyDescent="0.3">
      <c r="A20" s="1" t="s">
        <v>91</v>
      </c>
      <c r="B20" s="16">
        <f>SUM(C20:N20)</f>
        <v>0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1"/>
      <c r="P20" s="11"/>
    </row>
    <row r="21" spans="1:16" ht="13" x14ac:dyDescent="0.3">
      <c r="A21" s="1" t="s">
        <v>92</v>
      </c>
      <c r="B21" s="16">
        <f>SUM(C21:N21)</f>
        <v>0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1"/>
      <c r="P21" s="11"/>
    </row>
    <row r="22" spans="1:16" ht="13" x14ac:dyDescent="0.3">
      <c r="A22" s="1" t="s">
        <v>93</v>
      </c>
      <c r="B22" s="16">
        <f>SUM(C22:N22)</f>
        <v>0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1"/>
      <c r="P22" s="11"/>
    </row>
    <row r="23" spans="1:16" ht="13" x14ac:dyDescent="0.3">
      <c r="A23" s="1" t="s">
        <v>94</v>
      </c>
      <c r="B23" s="16">
        <f>SUM(C23:N23)</f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1"/>
      <c r="P23" s="11"/>
    </row>
    <row r="24" spans="1:16" ht="13" x14ac:dyDescent="0.3">
      <c r="A24" s="1" t="s">
        <v>95</v>
      </c>
      <c r="B24" s="16">
        <f>SUM(C24:N24)</f>
        <v>0</v>
      </c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1"/>
      <c r="P24" s="11"/>
    </row>
    <row r="25" spans="1:16" ht="13" x14ac:dyDescent="0.3">
      <c r="A25" s="2" t="s">
        <v>96</v>
      </c>
      <c r="B25" s="16">
        <f>SUM(C25:N25)</f>
        <v>0</v>
      </c>
      <c r="C25" s="16">
        <f t="shared" ref="C25:N25" si="3">SUM(C16:C24)</f>
        <v>0</v>
      </c>
      <c r="D25" s="16">
        <f t="shared" si="3"/>
        <v>0</v>
      </c>
      <c r="E25" s="16">
        <f t="shared" si="3"/>
        <v>0</v>
      </c>
      <c r="F25" s="16">
        <f t="shared" si="3"/>
        <v>0</v>
      </c>
      <c r="G25" s="16">
        <f t="shared" si="3"/>
        <v>0</v>
      </c>
      <c r="H25" s="16">
        <f t="shared" si="3"/>
        <v>0</v>
      </c>
      <c r="I25" s="16">
        <f t="shared" si="3"/>
        <v>0</v>
      </c>
      <c r="J25" s="16">
        <f t="shared" si="3"/>
        <v>0</v>
      </c>
      <c r="K25" s="16">
        <f t="shared" si="3"/>
        <v>0</v>
      </c>
      <c r="L25" s="16">
        <f t="shared" si="3"/>
        <v>0</v>
      </c>
      <c r="M25" s="16">
        <f t="shared" si="3"/>
        <v>0</v>
      </c>
      <c r="N25" s="16">
        <f t="shared" si="3"/>
        <v>0</v>
      </c>
    </row>
    <row r="26" spans="1:16" ht="13" x14ac:dyDescent="0.3">
      <c r="A26" s="10" t="s">
        <v>97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</row>
    <row r="27" spans="1:16" ht="13" x14ac:dyDescent="0.3">
      <c r="A27" s="2" t="s">
        <v>98</v>
      </c>
      <c r="B27" s="16">
        <f>SUM(C27:N27)</f>
        <v>0</v>
      </c>
      <c r="C27" s="16">
        <f t="shared" ref="C27:N27" si="4">C14-C25</f>
        <v>0</v>
      </c>
      <c r="D27" s="16">
        <f t="shared" si="4"/>
        <v>0</v>
      </c>
      <c r="E27" s="16">
        <f t="shared" si="4"/>
        <v>0</v>
      </c>
      <c r="F27" s="16">
        <f t="shared" si="4"/>
        <v>0</v>
      </c>
      <c r="G27" s="16">
        <f t="shared" si="4"/>
        <v>0</v>
      </c>
      <c r="H27" s="16">
        <f t="shared" si="4"/>
        <v>0</v>
      </c>
      <c r="I27" s="16">
        <f t="shared" si="4"/>
        <v>0</v>
      </c>
      <c r="J27" s="16">
        <f t="shared" si="4"/>
        <v>0</v>
      </c>
      <c r="K27" s="16">
        <f t="shared" si="4"/>
        <v>0</v>
      </c>
      <c r="L27" s="16">
        <f t="shared" si="4"/>
        <v>0</v>
      </c>
      <c r="M27" s="16">
        <f t="shared" si="4"/>
        <v>0</v>
      </c>
      <c r="N27" s="16">
        <f t="shared" si="4"/>
        <v>0</v>
      </c>
    </row>
    <row r="28" spans="1:16" ht="13" x14ac:dyDescent="0.3">
      <c r="A28" s="2" t="s">
        <v>99</v>
      </c>
      <c r="B28" s="16">
        <f>N28</f>
        <v>0</v>
      </c>
      <c r="C28" s="16">
        <f>C27</f>
        <v>0</v>
      </c>
      <c r="D28" s="16">
        <f t="shared" ref="D28:N28" si="5">C28+D27</f>
        <v>0</v>
      </c>
      <c r="E28" s="16">
        <f t="shared" si="5"/>
        <v>0</v>
      </c>
      <c r="F28" s="16">
        <f t="shared" si="5"/>
        <v>0</v>
      </c>
      <c r="G28" s="16">
        <f t="shared" si="5"/>
        <v>0</v>
      </c>
      <c r="H28" s="16">
        <f t="shared" si="5"/>
        <v>0</v>
      </c>
      <c r="I28" s="16">
        <f t="shared" si="5"/>
        <v>0</v>
      </c>
      <c r="J28" s="16">
        <f t="shared" si="5"/>
        <v>0</v>
      </c>
      <c r="K28" s="16">
        <f t="shared" si="5"/>
        <v>0</v>
      </c>
      <c r="L28" s="16">
        <f t="shared" si="5"/>
        <v>0</v>
      </c>
      <c r="M28" s="16">
        <f t="shared" si="5"/>
        <v>0</v>
      </c>
      <c r="N28" s="16">
        <f t="shared" si="5"/>
        <v>0</v>
      </c>
    </row>
  </sheetData>
  <dataValidations count="1">
    <dataValidation type="list" allowBlank="1" showInputMessage="1" showErrorMessage="1" sqref="O7:O24" xr:uid="{6F7D4BAC-E13D-4A58-94E3-678A8AC0DFB6}">
      <formula1>"F,I,P,H"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59F9E-AB66-4ECC-B942-25E0DC357462}">
  <dimension ref="A1:N27"/>
  <sheetViews>
    <sheetView zoomScaleNormal="100" workbookViewId="0">
      <pane xSplit="2" ySplit="5" topLeftCell="C6" activePane="bottomRight" state="frozenSplit"/>
      <selection pane="bottomLeft" activeCell="A6" sqref="A6"/>
      <selection pane="topRight" activeCell="C1" sqref="C1"/>
      <selection pane="bottomRight"/>
    </sheetView>
  </sheetViews>
  <sheetFormatPr baseColWidth="10" defaultRowHeight="12.5" x14ac:dyDescent="0.25"/>
  <cols>
    <col min="1" max="1" width="36.6328125" style="1" customWidth="1"/>
    <col min="2" max="2" width="14.6328125" style="1" customWidth="1"/>
    <col min="3" max="14" width="12.6328125" style="1" customWidth="1"/>
    <col min="15" max="16384" width="10.90625" style="1"/>
  </cols>
  <sheetData>
    <row r="1" spans="1:14" ht="18" x14ac:dyDescent="0.4">
      <c r="A1" s="3" t="s">
        <v>100</v>
      </c>
    </row>
    <row r="2" spans="1:14" ht="13" x14ac:dyDescent="0.3">
      <c r="A2" s="4" t="s">
        <v>101</v>
      </c>
    </row>
    <row r="5" spans="1:14" ht="13" x14ac:dyDescent="0.3">
      <c r="A5" s="5" t="s">
        <v>102</v>
      </c>
      <c r="B5" s="5" t="s">
        <v>77</v>
      </c>
      <c r="C5" s="21" t="str">
        <f>IF('Budget mensuel'!$C$3="","Mois "&amp;(COLUMN()-2),EDATE('Budget mensuel'!$C$3,COLUMN()-3))</f>
        <v>Mois 1</v>
      </c>
      <c r="D5" s="21" t="str">
        <f>IF('Budget mensuel'!$C$3="","Mois "&amp;(COLUMN()-2),EDATE('Budget mensuel'!$C$3,COLUMN()-3))</f>
        <v>Mois 2</v>
      </c>
      <c r="E5" s="21" t="str">
        <f>IF('Budget mensuel'!$C$3="","Mois "&amp;(COLUMN()-2),EDATE('Budget mensuel'!$C$3,COLUMN()-3))</f>
        <v>Mois 3</v>
      </c>
      <c r="F5" s="21" t="str">
        <f>IF('Budget mensuel'!$C$3="","Mois "&amp;(COLUMN()-2),EDATE('Budget mensuel'!$C$3,COLUMN()-3))</f>
        <v>Mois 4</v>
      </c>
      <c r="G5" s="21" t="str">
        <f>IF('Budget mensuel'!$C$3="","Mois "&amp;(COLUMN()-2),EDATE('Budget mensuel'!$C$3,COLUMN()-3))</f>
        <v>Mois 5</v>
      </c>
      <c r="H5" s="21" t="str">
        <f>IF('Budget mensuel'!$C$3="","Mois "&amp;(COLUMN()-2),EDATE('Budget mensuel'!$C$3,COLUMN()-3))</f>
        <v>Mois 6</v>
      </c>
      <c r="I5" s="21" t="str">
        <f>IF('Budget mensuel'!$C$3="","Mois "&amp;(COLUMN()-2),EDATE('Budget mensuel'!$C$3,COLUMN()-3))</f>
        <v>Mois 7</v>
      </c>
      <c r="J5" s="21" t="str">
        <f>IF('Budget mensuel'!$C$3="","Mois "&amp;(COLUMN()-2),EDATE('Budget mensuel'!$C$3,COLUMN()-3))</f>
        <v>Mois 8</v>
      </c>
      <c r="K5" s="21" t="str">
        <f>IF('Budget mensuel'!$C$3="","Mois "&amp;(COLUMN()-2),EDATE('Budget mensuel'!$C$3,COLUMN()-3))</f>
        <v>Mois 9</v>
      </c>
      <c r="L5" s="21" t="str">
        <f>IF('Budget mensuel'!$C$3="","Mois "&amp;(COLUMN()-2),EDATE('Budget mensuel'!$C$3,COLUMN()-3))</f>
        <v>Mois 10</v>
      </c>
      <c r="M5" s="21" t="str">
        <f>IF('Budget mensuel'!$C$3="","Mois "&amp;(COLUMN()-2),EDATE('Budget mensuel'!$C$3,COLUMN()-3))</f>
        <v>Mois 11</v>
      </c>
      <c r="N5" s="21" t="str">
        <f>IF('Budget mensuel'!$C$3="","Mois "&amp;(COLUMN()-2),EDATE('Budget mensuel'!$C$3,COLUMN()-3))</f>
        <v>Mois 12</v>
      </c>
    </row>
    <row r="6" spans="1:14" ht="13" x14ac:dyDescent="0.3">
      <c r="A6" s="10" t="s">
        <v>103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</row>
    <row r="7" spans="1:14" x14ac:dyDescent="0.25">
      <c r="A7" s="1" t="s">
        <v>104</v>
      </c>
      <c r="B7" s="22">
        <f>SUM(C7:N7)</f>
        <v>0</v>
      </c>
      <c r="C7" s="25">
        <f>'Budget mensuel'!C10</f>
        <v>0</v>
      </c>
      <c r="D7" s="25">
        <f>'Budget mensuel'!D10</f>
        <v>0</v>
      </c>
      <c r="E7" s="25">
        <f>'Budget mensuel'!E10</f>
        <v>0</v>
      </c>
      <c r="F7" s="25">
        <f>'Budget mensuel'!F10</f>
        <v>0</v>
      </c>
      <c r="G7" s="25">
        <f>'Budget mensuel'!G10</f>
        <v>0</v>
      </c>
      <c r="H7" s="25">
        <f>'Budget mensuel'!H10</f>
        <v>0</v>
      </c>
      <c r="I7" s="25">
        <f>'Budget mensuel'!I10</f>
        <v>0</v>
      </c>
      <c r="J7" s="25">
        <f>'Budget mensuel'!J10</f>
        <v>0</v>
      </c>
      <c r="K7" s="25">
        <f>'Budget mensuel'!K10</f>
        <v>0</v>
      </c>
      <c r="L7" s="25">
        <f>'Budget mensuel'!L10</f>
        <v>0</v>
      </c>
      <c r="M7" s="25">
        <f>'Budget mensuel'!M10</f>
        <v>0</v>
      </c>
      <c r="N7" s="25">
        <f>'Budget mensuel'!N10</f>
        <v>0</v>
      </c>
    </row>
    <row r="8" spans="1:14" x14ac:dyDescent="0.25">
      <c r="A8" s="1" t="s">
        <v>105</v>
      </c>
      <c r="B8" s="22">
        <f>SUM(C8:N8)</f>
        <v>0</v>
      </c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ht="13" x14ac:dyDescent="0.3">
      <c r="A9" s="2" t="s">
        <v>106</v>
      </c>
      <c r="B9" s="23">
        <f>SUM(C9:N9)</f>
        <v>0</v>
      </c>
      <c r="C9" s="23">
        <f t="shared" ref="C9:N9" si="0">IF(C8="",0,C8-C7)</f>
        <v>0</v>
      </c>
      <c r="D9" s="23">
        <f t="shared" si="0"/>
        <v>0</v>
      </c>
      <c r="E9" s="23">
        <f t="shared" si="0"/>
        <v>0</v>
      </c>
      <c r="F9" s="23">
        <f t="shared" si="0"/>
        <v>0</v>
      </c>
      <c r="G9" s="23">
        <f t="shared" si="0"/>
        <v>0</v>
      </c>
      <c r="H9" s="23">
        <f t="shared" si="0"/>
        <v>0</v>
      </c>
      <c r="I9" s="23">
        <f t="shared" si="0"/>
        <v>0</v>
      </c>
      <c r="J9" s="23">
        <f t="shared" si="0"/>
        <v>0</v>
      </c>
      <c r="K9" s="23">
        <f t="shared" si="0"/>
        <v>0</v>
      </c>
      <c r="L9" s="23">
        <f t="shared" si="0"/>
        <v>0</v>
      </c>
      <c r="M9" s="23">
        <f t="shared" si="0"/>
        <v>0</v>
      </c>
      <c r="N9" s="23">
        <f t="shared" si="0"/>
        <v>0</v>
      </c>
    </row>
    <row r="11" spans="1:14" ht="13" x14ac:dyDescent="0.3">
      <c r="A11" s="10" t="s">
        <v>84</v>
      </c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</row>
    <row r="12" spans="1:14" x14ac:dyDescent="0.25">
      <c r="A12" s="1" t="s">
        <v>104</v>
      </c>
      <c r="B12" s="15">
        <f>SUM(C12:N12)</f>
        <v>0</v>
      </c>
      <c r="C12" s="26">
        <f>'Budget mensuel'!C12</f>
        <v>0</v>
      </c>
      <c r="D12" s="26">
        <f>'Budget mensuel'!D12</f>
        <v>0</v>
      </c>
      <c r="E12" s="26">
        <f>'Budget mensuel'!E12</f>
        <v>0</v>
      </c>
      <c r="F12" s="26">
        <f>'Budget mensuel'!F12</f>
        <v>0</v>
      </c>
      <c r="G12" s="26">
        <f>'Budget mensuel'!G12</f>
        <v>0</v>
      </c>
      <c r="H12" s="26">
        <f>'Budget mensuel'!H12</f>
        <v>0</v>
      </c>
      <c r="I12" s="26">
        <f>'Budget mensuel'!I12</f>
        <v>0</v>
      </c>
      <c r="J12" s="26">
        <f>'Budget mensuel'!J12</f>
        <v>0</v>
      </c>
      <c r="K12" s="26">
        <f>'Budget mensuel'!K12</f>
        <v>0</v>
      </c>
      <c r="L12" s="26">
        <f>'Budget mensuel'!L12</f>
        <v>0</v>
      </c>
      <c r="M12" s="26">
        <f>'Budget mensuel'!M12</f>
        <v>0</v>
      </c>
      <c r="N12" s="26">
        <f>'Budget mensuel'!N12</f>
        <v>0</v>
      </c>
    </row>
    <row r="13" spans="1:14" x14ac:dyDescent="0.25">
      <c r="A13" s="1" t="s">
        <v>105</v>
      </c>
      <c r="B13" s="15">
        <f>SUM(C13:N13)</f>
        <v>0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</row>
    <row r="14" spans="1:14" ht="13" x14ac:dyDescent="0.3">
      <c r="A14" s="2" t="s">
        <v>106</v>
      </c>
      <c r="B14" s="16">
        <f>SUM(C14:N14)</f>
        <v>0</v>
      </c>
      <c r="C14" s="16">
        <f t="shared" ref="C14:N14" si="1">IF(C13="",0,C13-C12)</f>
        <v>0</v>
      </c>
      <c r="D14" s="16">
        <f t="shared" si="1"/>
        <v>0</v>
      </c>
      <c r="E14" s="16">
        <f t="shared" si="1"/>
        <v>0</v>
      </c>
      <c r="F14" s="16">
        <f t="shared" si="1"/>
        <v>0</v>
      </c>
      <c r="G14" s="16">
        <f t="shared" si="1"/>
        <v>0</v>
      </c>
      <c r="H14" s="16">
        <f t="shared" si="1"/>
        <v>0</v>
      </c>
      <c r="I14" s="16">
        <f t="shared" si="1"/>
        <v>0</v>
      </c>
      <c r="J14" s="16">
        <f t="shared" si="1"/>
        <v>0</v>
      </c>
      <c r="K14" s="16">
        <f t="shared" si="1"/>
        <v>0</v>
      </c>
      <c r="L14" s="16">
        <f t="shared" si="1"/>
        <v>0</v>
      </c>
      <c r="M14" s="16">
        <f t="shared" si="1"/>
        <v>0</v>
      </c>
      <c r="N14" s="16">
        <f t="shared" si="1"/>
        <v>0</v>
      </c>
    </row>
    <row r="16" spans="1:14" ht="13" x14ac:dyDescent="0.3">
      <c r="A16" s="10" t="s">
        <v>96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x14ac:dyDescent="0.25">
      <c r="A17" s="1" t="s">
        <v>104</v>
      </c>
      <c r="B17" s="15">
        <f>SUM(C17:N17)</f>
        <v>0</v>
      </c>
      <c r="C17" s="26">
        <f>'Budget mensuel'!C25</f>
        <v>0</v>
      </c>
      <c r="D17" s="26">
        <f>'Budget mensuel'!D25</f>
        <v>0</v>
      </c>
      <c r="E17" s="26">
        <f>'Budget mensuel'!E25</f>
        <v>0</v>
      </c>
      <c r="F17" s="26">
        <f>'Budget mensuel'!F25</f>
        <v>0</v>
      </c>
      <c r="G17" s="26">
        <f>'Budget mensuel'!G25</f>
        <v>0</v>
      </c>
      <c r="H17" s="26">
        <f>'Budget mensuel'!H25</f>
        <v>0</v>
      </c>
      <c r="I17" s="26">
        <f>'Budget mensuel'!I25</f>
        <v>0</v>
      </c>
      <c r="J17" s="26">
        <f>'Budget mensuel'!J25</f>
        <v>0</v>
      </c>
      <c r="K17" s="26">
        <f>'Budget mensuel'!K25</f>
        <v>0</v>
      </c>
      <c r="L17" s="26">
        <f>'Budget mensuel'!L25</f>
        <v>0</v>
      </c>
      <c r="M17" s="26">
        <f>'Budget mensuel'!M25</f>
        <v>0</v>
      </c>
      <c r="N17" s="26">
        <f>'Budget mensuel'!N25</f>
        <v>0</v>
      </c>
    </row>
    <row r="18" spans="1:14" x14ac:dyDescent="0.25">
      <c r="A18" s="1" t="s">
        <v>105</v>
      </c>
      <c r="B18" s="15">
        <f>SUM(C18:N18)</f>
        <v>0</v>
      </c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</row>
    <row r="19" spans="1:14" ht="13" x14ac:dyDescent="0.3">
      <c r="A19" s="2" t="s">
        <v>106</v>
      </c>
      <c r="B19" s="16">
        <f>SUM(C19:N19)</f>
        <v>0</v>
      </c>
      <c r="C19" s="16">
        <f t="shared" ref="C19:N19" si="2">IF(C18="",0,C18-C17)</f>
        <v>0</v>
      </c>
      <c r="D19" s="16">
        <f t="shared" si="2"/>
        <v>0</v>
      </c>
      <c r="E19" s="16">
        <f t="shared" si="2"/>
        <v>0</v>
      </c>
      <c r="F19" s="16">
        <f t="shared" si="2"/>
        <v>0</v>
      </c>
      <c r="G19" s="16">
        <f t="shared" si="2"/>
        <v>0</v>
      </c>
      <c r="H19" s="16">
        <f t="shared" si="2"/>
        <v>0</v>
      </c>
      <c r="I19" s="16">
        <f t="shared" si="2"/>
        <v>0</v>
      </c>
      <c r="J19" s="16">
        <f t="shared" si="2"/>
        <v>0</v>
      </c>
      <c r="K19" s="16">
        <f t="shared" si="2"/>
        <v>0</v>
      </c>
      <c r="L19" s="16">
        <f t="shared" si="2"/>
        <v>0</v>
      </c>
      <c r="M19" s="16">
        <f t="shared" si="2"/>
        <v>0</v>
      </c>
      <c r="N19" s="16">
        <f t="shared" si="2"/>
        <v>0</v>
      </c>
    </row>
    <row r="21" spans="1:14" ht="13" x14ac:dyDescent="0.3">
      <c r="A21" s="10" t="s">
        <v>107</v>
      </c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</row>
    <row r="22" spans="1:14" x14ac:dyDescent="0.25">
      <c r="A22" s="1" t="s">
        <v>104</v>
      </c>
      <c r="B22" s="15">
        <f>SUM(C22:N22)</f>
        <v>0</v>
      </c>
      <c r="C22" s="26">
        <f>'Budget mensuel'!C27</f>
        <v>0</v>
      </c>
      <c r="D22" s="26">
        <f>'Budget mensuel'!D27</f>
        <v>0</v>
      </c>
      <c r="E22" s="26">
        <f>'Budget mensuel'!E27</f>
        <v>0</v>
      </c>
      <c r="F22" s="26">
        <f>'Budget mensuel'!F27</f>
        <v>0</v>
      </c>
      <c r="G22" s="26">
        <f>'Budget mensuel'!G27</f>
        <v>0</v>
      </c>
      <c r="H22" s="26">
        <f>'Budget mensuel'!H27</f>
        <v>0</v>
      </c>
      <c r="I22" s="26">
        <f>'Budget mensuel'!I27</f>
        <v>0</v>
      </c>
      <c r="J22" s="26">
        <f>'Budget mensuel'!J27</f>
        <v>0</v>
      </c>
      <c r="K22" s="26">
        <f>'Budget mensuel'!K27</f>
        <v>0</v>
      </c>
      <c r="L22" s="26">
        <f>'Budget mensuel'!L27</f>
        <v>0</v>
      </c>
      <c r="M22" s="26">
        <f>'Budget mensuel'!M27</f>
        <v>0</v>
      </c>
      <c r="N22" s="26">
        <f>'Budget mensuel'!N27</f>
        <v>0</v>
      </c>
    </row>
    <row r="23" spans="1:14" x14ac:dyDescent="0.25">
      <c r="A23" s="1" t="s">
        <v>105</v>
      </c>
      <c r="B23" s="15">
        <f>SUM(C23:N23)</f>
        <v>0</v>
      </c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</row>
    <row r="24" spans="1:14" ht="13" x14ac:dyDescent="0.3">
      <c r="A24" s="2" t="s">
        <v>106</v>
      </c>
      <c r="B24" s="16">
        <f>SUM(C24:N24)</f>
        <v>0</v>
      </c>
      <c r="C24" s="16">
        <f t="shared" ref="C24:N24" si="3">IF(C23="",0,C23-C22)</f>
        <v>0</v>
      </c>
      <c r="D24" s="16">
        <f t="shared" si="3"/>
        <v>0</v>
      </c>
      <c r="E24" s="16">
        <f t="shared" si="3"/>
        <v>0</v>
      </c>
      <c r="F24" s="16">
        <f t="shared" si="3"/>
        <v>0</v>
      </c>
      <c r="G24" s="16">
        <f t="shared" si="3"/>
        <v>0</v>
      </c>
      <c r="H24" s="16">
        <f t="shared" si="3"/>
        <v>0</v>
      </c>
      <c r="I24" s="16">
        <f t="shared" si="3"/>
        <v>0</v>
      </c>
      <c r="J24" s="16">
        <f t="shared" si="3"/>
        <v>0</v>
      </c>
      <c r="K24" s="16">
        <f t="shared" si="3"/>
        <v>0</v>
      </c>
      <c r="L24" s="16">
        <f t="shared" si="3"/>
        <v>0</v>
      </c>
      <c r="M24" s="16">
        <f t="shared" si="3"/>
        <v>0</v>
      </c>
      <c r="N24" s="16">
        <f t="shared" si="3"/>
        <v>0</v>
      </c>
    </row>
    <row r="26" spans="1:14" ht="13" x14ac:dyDescent="0.3">
      <c r="A26" s="10" t="s">
        <v>108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45" customHeight="1" x14ac:dyDescent="0.25">
      <c r="A27" s="7" t="s">
        <v>109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1390E-ED48-42B6-A837-38DC8E50E529}">
  <dimension ref="A1:G26"/>
  <sheetViews>
    <sheetView zoomScaleNormal="100" workbookViewId="0"/>
  </sheetViews>
  <sheetFormatPr baseColWidth="10" defaultRowHeight="12.5" x14ac:dyDescent="0.25"/>
  <cols>
    <col min="1" max="1" width="46.6328125" style="1" customWidth="1"/>
    <col min="2" max="2" width="20.6328125" style="1" customWidth="1"/>
    <col min="3" max="5" width="16.6328125" style="1" customWidth="1"/>
    <col min="6" max="6" width="8.6328125" style="1" customWidth="1"/>
    <col min="7" max="7" width="40.6328125" style="1" customWidth="1"/>
    <col min="8" max="16384" width="10.90625" style="1"/>
  </cols>
  <sheetData>
    <row r="1" spans="1:7" ht="18" x14ac:dyDescent="0.4">
      <c r="A1" s="3" t="s">
        <v>110</v>
      </c>
    </row>
    <row r="2" spans="1:7" ht="13" x14ac:dyDescent="0.3">
      <c r="A2" s="4" t="s">
        <v>111</v>
      </c>
    </row>
    <row r="5" spans="1:7" ht="13" x14ac:dyDescent="0.25">
      <c r="A5" s="6" t="s">
        <v>31</v>
      </c>
      <c r="B5" s="6" t="s">
        <v>32</v>
      </c>
      <c r="C5" s="6" t="s">
        <v>112</v>
      </c>
      <c r="D5" s="6" t="s">
        <v>113</v>
      </c>
      <c r="E5" s="6" t="s">
        <v>114</v>
      </c>
      <c r="F5" s="6" t="s">
        <v>36</v>
      </c>
      <c r="G5" s="6" t="s">
        <v>37</v>
      </c>
    </row>
    <row r="6" spans="1:7" ht="13" x14ac:dyDescent="0.3">
      <c r="A6" s="10" t="s">
        <v>78</v>
      </c>
      <c r="B6" s="10"/>
      <c r="C6" s="10"/>
      <c r="D6" s="10"/>
      <c r="E6" s="10"/>
      <c r="F6" s="10"/>
      <c r="G6" s="10"/>
    </row>
    <row r="7" spans="1:7" x14ac:dyDescent="0.25">
      <c r="A7" s="1" t="s">
        <v>115</v>
      </c>
      <c r="B7" s="1" t="s">
        <v>116</v>
      </c>
      <c r="C7" s="12"/>
      <c r="D7" s="12"/>
      <c r="E7" s="12"/>
      <c r="F7" s="11"/>
      <c r="G7" s="11"/>
    </row>
    <row r="8" spans="1:7" x14ac:dyDescent="0.25">
      <c r="A8" s="1" t="s">
        <v>117</v>
      </c>
      <c r="B8" s="1" t="s">
        <v>116</v>
      </c>
      <c r="C8" s="12"/>
      <c r="D8" s="12"/>
      <c r="E8" s="12"/>
      <c r="F8" s="11"/>
      <c r="G8" s="11"/>
    </row>
    <row r="9" spans="1:7" x14ac:dyDescent="0.25">
      <c r="A9" s="1" t="s">
        <v>118</v>
      </c>
      <c r="B9" s="1" t="s">
        <v>116</v>
      </c>
      <c r="C9" s="12"/>
      <c r="D9" s="12"/>
      <c r="E9" s="12"/>
      <c r="F9" s="11"/>
      <c r="G9" s="11"/>
    </row>
    <row r="10" spans="1:7" ht="13" x14ac:dyDescent="0.3">
      <c r="A10" s="2" t="s">
        <v>82</v>
      </c>
      <c r="B10" s="2" t="s">
        <v>116</v>
      </c>
      <c r="C10" s="23">
        <f t="shared" ref="C10:E10" si="0">SUM(C7:C9)</f>
        <v>0</v>
      </c>
      <c r="D10" s="23">
        <f t="shared" si="0"/>
        <v>0</v>
      </c>
      <c r="E10" s="23">
        <f t="shared" si="0"/>
        <v>0</v>
      </c>
      <c r="F10" s="11"/>
      <c r="G10" s="11"/>
    </row>
    <row r="11" spans="1:7" ht="13" x14ac:dyDescent="0.3">
      <c r="A11" s="10" t="s">
        <v>119</v>
      </c>
      <c r="B11" s="10"/>
      <c r="C11" s="10"/>
      <c r="D11" s="10"/>
      <c r="E11" s="10"/>
      <c r="F11" s="10"/>
      <c r="G11" s="10"/>
    </row>
    <row r="12" spans="1:7" ht="13" x14ac:dyDescent="0.3">
      <c r="A12" s="2" t="s">
        <v>84</v>
      </c>
      <c r="B12" s="2" t="s">
        <v>45</v>
      </c>
      <c r="C12" s="24">
        <f>C7*'Prix et marges'!$C$11+C8*'Prix et marges'!$D$11+C9*'Prix et marges'!$E$11</f>
        <v>0</v>
      </c>
      <c r="D12" s="24">
        <f>D7*'Prix et marges'!$C$11+D8*'Prix et marges'!$D$11+D9*'Prix et marges'!$E$11</f>
        <v>0</v>
      </c>
      <c r="E12" s="24">
        <f>E7*'Prix et marges'!$C$11+E8*'Prix et marges'!$D$11+E9*'Prix et marges'!$E$11</f>
        <v>0</v>
      </c>
      <c r="F12" s="11"/>
      <c r="G12" s="11"/>
    </row>
    <row r="13" spans="1:7" ht="13" x14ac:dyDescent="0.3">
      <c r="A13" s="2" t="s">
        <v>85</v>
      </c>
      <c r="B13" s="2" t="s">
        <v>45</v>
      </c>
      <c r="C13" s="24">
        <f>C7*'Prix et marges'!$C$28+C8*'Prix et marges'!$D$28+C9*'Prix et marges'!$E$28</f>
        <v>0</v>
      </c>
      <c r="D13" s="24">
        <f>D7*'Prix et marges'!$C$28+D8*'Prix et marges'!$D$28+D9*'Prix et marges'!$E$28</f>
        <v>0</v>
      </c>
      <c r="E13" s="24">
        <f>E7*'Prix et marges'!$C$28+E8*'Prix et marges'!$D$28+E9*'Prix et marges'!$E$28</f>
        <v>0</v>
      </c>
      <c r="F13" s="11"/>
      <c r="G13" s="11"/>
    </row>
    <row r="14" spans="1:7" ht="13" x14ac:dyDescent="0.3">
      <c r="A14" s="2" t="s">
        <v>67</v>
      </c>
      <c r="B14" s="2" t="s">
        <v>45</v>
      </c>
      <c r="C14" s="16">
        <f t="shared" ref="C14:E14" si="1">C12-C13</f>
        <v>0</v>
      </c>
      <c r="D14" s="16">
        <f t="shared" si="1"/>
        <v>0</v>
      </c>
      <c r="E14" s="16">
        <f t="shared" si="1"/>
        <v>0</v>
      </c>
      <c r="F14" s="11"/>
      <c r="G14" s="11"/>
    </row>
    <row r="15" spans="1:7" ht="13" x14ac:dyDescent="0.3">
      <c r="A15" s="2" t="s">
        <v>68</v>
      </c>
      <c r="B15" s="2" t="s">
        <v>52</v>
      </c>
      <c r="C15" s="18">
        <f t="shared" ref="C15:E15" si="2">IF(C12&gt;0,C14/C12,0)</f>
        <v>0</v>
      </c>
      <c r="D15" s="18">
        <f t="shared" si="2"/>
        <v>0</v>
      </c>
      <c r="E15" s="18">
        <f t="shared" si="2"/>
        <v>0</v>
      </c>
      <c r="F15" s="11"/>
      <c r="G15" s="11"/>
    </row>
    <row r="16" spans="1:7" x14ac:dyDescent="0.25">
      <c r="A16" s="1" t="s">
        <v>86</v>
      </c>
      <c r="B16" s="1" t="s">
        <v>120</v>
      </c>
      <c r="C16" s="26">
        <f>'Budget mensuel'!$B$25</f>
        <v>0</v>
      </c>
      <c r="D16" s="14"/>
      <c r="E16" s="14"/>
      <c r="F16" s="11"/>
      <c r="G16" s="11"/>
    </row>
    <row r="17" spans="1:7" ht="13" x14ac:dyDescent="0.3">
      <c r="A17" s="2" t="s">
        <v>107</v>
      </c>
      <c r="B17" s="2" t="s">
        <v>45</v>
      </c>
      <c r="C17" s="16">
        <f t="shared" ref="C17:E17" si="3">C14-C16</f>
        <v>0</v>
      </c>
      <c r="D17" s="16">
        <f t="shared" si="3"/>
        <v>0</v>
      </c>
      <c r="E17" s="16">
        <f t="shared" si="3"/>
        <v>0</v>
      </c>
      <c r="F17" s="11"/>
      <c r="G17" s="11"/>
    </row>
    <row r="18" spans="1:7" ht="13" x14ac:dyDescent="0.3">
      <c r="A18" s="10" t="s">
        <v>121</v>
      </c>
      <c r="B18" s="10"/>
      <c r="C18" s="10"/>
      <c r="D18" s="10"/>
      <c r="E18" s="10"/>
      <c r="F18" s="10"/>
      <c r="G18" s="10"/>
    </row>
    <row r="19" spans="1:7" x14ac:dyDescent="0.25">
      <c r="A19" s="1" t="s">
        <v>122</v>
      </c>
      <c r="B19" s="1" t="s">
        <v>45</v>
      </c>
      <c r="C19" s="14"/>
      <c r="D19" s="14"/>
      <c r="E19" s="14"/>
      <c r="F19" s="11"/>
      <c r="G19" s="11"/>
    </row>
    <row r="20" spans="1:7" ht="13" x14ac:dyDescent="0.3">
      <c r="A20" s="2" t="s">
        <v>123</v>
      </c>
      <c r="B20" s="2" t="s">
        <v>124</v>
      </c>
      <c r="C20" s="16">
        <f t="shared" ref="C20:E20" si="4">C17-C19</f>
        <v>0</v>
      </c>
      <c r="D20" s="16">
        <f t="shared" si="4"/>
        <v>0</v>
      </c>
      <c r="E20" s="16">
        <f t="shared" si="4"/>
        <v>0</v>
      </c>
      <c r="F20" s="11"/>
      <c r="G20" s="11"/>
    </row>
    <row r="21" spans="1:7" ht="13" x14ac:dyDescent="0.3">
      <c r="A21" s="2" t="s">
        <v>125</v>
      </c>
      <c r="B21" s="2" t="s">
        <v>124</v>
      </c>
      <c r="C21" s="16">
        <f>C20</f>
        <v>0</v>
      </c>
      <c r="D21" s="16">
        <f t="shared" ref="D21:E21" si="5">C21+D20</f>
        <v>0</v>
      </c>
      <c r="E21" s="16">
        <f t="shared" si="5"/>
        <v>0</v>
      </c>
      <c r="F21" s="11"/>
      <c r="G21" s="11"/>
    </row>
    <row r="22" spans="1:7" ht="13" x14ac:dyDescent="0.3">
      <c r="A22" s="2" t="s">
        <v>126</v>
      </c>
      <c r="B22" s="2" t="s">
        <v>127</v>
      </c>
      <c r="C22" s="28">
        <f t="shared" ref="C22:E22" si="6">IF(C10&gt;0,IF(C14&gt;0,C16/(C14/C10),0),0)</f>
        <v>0</v>
      </c>
      <c r="D22" s="28">
        <f t="shared" si="6"/>
        <v>0</v>
      </c>
      <c r="E22" s="28">
        <f t="shared" si="6"/>
        <v>0</v>
      </c>
      <c r="F22" s="11"/>
      <c r="G22" s="11"/>
    </row>
    <row r="24" spans="1:7" ht="13" x14ac:dyDescent="0.3">
      <c r="A24" s="2" t="s">
        <v>128</v>
      </c>
      <c r="B24" s="2" t="s">
        <v>124</v>
      </c>
      <c r="C24" s="16">
        <f>MAX(0,-MIN(C21:E21))</f>
        <v>0</v>
      </c>
    </row>
    <row r="26" spans="1:7" ht="13" x14ac:dyDescent="0.3">
      <c r="A26" s="4" t="s">
        <v>129</v>
      </c>
    </row>
  </sheetData>
  <dataValidations count="1">
    <dataValidation type="list" allowBlank="1" showInputMessage="1" showErrorMessage="1" sqref="F7:F22" xr:uid="{3B9E710E-743A-4C53-B81D-F4273C6C8235}">
      <formula1>"F,I,P,H"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Mode d'emploi</vt:lpstr>
      <vt:lpstr>Prix et marges</vt:lpstr>
      <vt:lpstr>Budget mensuel</vt:lpstr>
      <vt:lpstr>Prévu et réel</vt:lpstr>
      <vt:lpstr>Plan financier 3 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vianney vautier</dc:creator>
  <cp:lastModifiedBy>vianney vautier</cp:lastModifiedBy>
  <dcterms:created xsi:type="dcterms:W3CDTF">2026-10-27T18:20:44Z</dcterms:created>
  <dcterms:modified xsi:type="dcterms:W3CDTF">2026-10-27T18:20:50Z</dcterms:modified>
</cp:coreProperties>
</file>