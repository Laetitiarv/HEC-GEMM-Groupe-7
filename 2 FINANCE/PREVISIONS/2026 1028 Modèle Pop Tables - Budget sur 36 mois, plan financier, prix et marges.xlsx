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ans\Documents\Claude\Projects\HEC-GEMM-Groupe-7\2 FINANCE\PREVISIONS\"/>
    </mc:Choice>
  </mc:AlternateContent>
  <xr:revisionPtr revIDLastSave="0" documentId="13_ncr:1_{9484D665-FFFB-470F-8705-E8648B22E82C}" xr6:coauthVersionLast="47" xr6:coauthVersionMax="47" xr10:uidLastSave="{00000000-0000-0000-0000-000000000000}"/>
  <bookViews>
    <workbookView xWindow="-110" yWindow="-110" windowWidth="25820" windowHeight="13900" activeTab="1" xr2:uid="{09426CC5-4BCC-48B7-8854-C5C8E2CE30D1}"/>
  </bookViews>
  <sheets>
    <sheet name="Mode d'emploi" sheetId="1" r:id="rId1"/>
    <sheet name="Prix et marges" sheetId="2" r:id="rId2"/>
    <sheet name="Staffing" sheetId="7" r:id="rId3"/>
    <sheet name="Budget 36 mois" sheetId="9" r:id="rId4"/>
    <sheet name="TVA" sheetId="8" r:id="rId5"/>
    <sheet name="Prévu et réel" sheetId="4" r:id="rId6"/>
    <sheet name="Plan financier 3 ans" sheetId="5" r:id="rId7"/>
    <sheet name="Ressources humaines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6" i="9" l="1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AJ36" i="9"/>
  <c r="AK36" i="9"/>
  <c r="AL36" i="9"/>
  <c r="AM36" i="9"/>
  <c r="AN36" i="9"/>
  <c r="E36" i="9"/>
  <c r="A36" i="9"/>
  <c r="D36" i="9"/>
  <c r="G11" i="6" s="1"/>
  <c r="C36" i="9"/>
  <c r="F11" i="6" s="1"/>
  <c r="B36" i="9"/>
  <c r="E11" i="6" s="1"/>
  <c r="F21" i="9"/>
  <c r="F35" i="9" s="1"/>
  <c r="G21" i="9"/>
  <c r="G35" i="9" s="1"/>
  <c r="H21" i="9"/>
  <c r="H35" i="9" s="1"/>
  <c r="I21" i="9"/>
  <c r="I35" i="9" s="1"/>
  <c r="J21" i="9"/>
  <c r="J35" i="9" s="1"/>
  <c r="K21" i="9"/>
  <c r="K35" i="9" s="1"/>
  <c r="L21" i="9"/>
  <c r="L35" i="9" s="1"/>
  <c r="M21" i="9"/>
  <c r="M35" i="9" s="1"/>
  <c r="N21" i="9"/>
  <c r="N35" i="9" s="1"/>
  <c r="O21" i="9"/>
  <c r="O35" i="9" s="1"/>
  <c r="P21" i="9"/>
  <c r="P35" i="9" s="1"/>
  <c r="Q21" i="9"/>
  <c r="Q35" i="9" s="1"/>
  <c r="R21" i="9"/>
  <c r="R35" i="9" s="1"/>
  <c r="S21" i="9"/>
  <c r="S35" i="9" s="1"/>
  <c r="T21" i="9"/>
  <c r="T35" i="9" s="1"/>
  <c r="U21" i="9"/>
  <c r="U35" i="9" s="1"/>
  <c r="V21" i="9"/>
  <c r="V35" i="9" s="1"/>
  <c r="W21" i="9"/>
  <c r="W35" i="9" s="1"/>
  <c r="X21" i="9"/>
  <c r="X35" i="9" s="1"/>
  <c r="Y21" i="9"/>
  <c r="Y35" i="9" s="1"/>
  <c r="Z21" i="9"/>
  <c r="Z35" i="9" s="1"/>
  <c r="AA21" i="9"/>
  <c r="AA35" i="9" s="1"/>
  <c r="AB21" i="9"/>
  <c r="AC21" i="9"/>
  <c r="AC35" i="9" s="1"/>
  <c r="AD21" i="9"/>
  <c r="AD35" i="9" s="1"/>
  <c r="AE21" i="9"/>
  <c r="AE35" i="9" s="1"/>
  <c r="AF21" i="9"/>
  <c r="AF35" i="9" s="1"/>
  <c r="AG21" i="9"/>
  <c r="AG35" i="9" s="1"/>
  <c r="AH21" i="9"/>
  <c r="AH35" i="9" s="1"/>
  <c r="AI21" i="9"/>
  <c r="AI35" i="9" s="1"/>
  <c r="AJ21" i="9"/>
  <c r="AJ35" i="9" s="1"/>
  <c r="AK21" i="9"/>
  <c r="AK35" i="9" s="1"/>
  <c r="AL21" i="9"/>
  <c r="AL35" i="9" s="1"/>
  <c r="AM21" i="9"/>
  <c r="AM35" i="9" s="1"/>
  <c r="AN21" i="9"/>
  <c r="AN35" i="9" s="1"/>
  <c r="E21" i="9"/>
  <c r="B21" i="9"/>
  <c r="D21" i="9"/>
  <c r="C99" i="9"/>
  <c r="C100" i="9"/>
  <c r="C101" i="9"/>
  <c r="C98" i="9"/>
  <c r="C97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Q16" i="9"/>
  <c r="C16" i="9" s="1"/>
  <c r="Q17" i="9"/>
  <c r="B16" i="9"/>
  <c r="D16" i="9"/>
  <c r="B17" i="9"/>
  <c r="C17" i="9"/>
  <c r="D17" i="9"/>
  <c r="R12" i="9"/>
  <c r="S12" i="9"/>
  <c r="T12" i="9"/>
  <c r="U12" i="9"/>
  <c r="V12" i="9"/>
  <c r="W12" i="9"/>
  <c r="X12" i="9"/>
  <c r="Y12" i="9"/>
  <c r="Z12" i="9"/>
  <c r="AA12" i="9"/>
  <c r="AB12" i="9"/>
  <c r="AC12" i="9"/>
  <c r="D12" i="9" s="1"/>
  <c r="AD12" i="9"/>
  <c r="AE12" i="9"/>
  <c r="AF12" i="9"/>
  <c r="AG12" i="9"/>
  <c r="AH12" i="9"/>
  <c r="AI12" i="9"/>
  <c r="AJ12" i="9"/>
  <c r="AK12" i="9"/>
  <c r="AL12" i="9"/>
  <c r="AM12" i="9"/>
  <c r="AN12" i="9"/>
  <c r="Q12" i="9"/>
  <c r="C12" i="9" s="1"/>
  <c r="E12" i="5"/>
  <c r="D12" i="5"/>
  <c r="C96" i="9"/>
  <c r="E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D78" i="9"/>
  <c r="C78" i="9"/>
  <c r="E64" i="9"/>
  <c r="F64" i="9"/>
  <c r="G64" i="9"/>
  <c r="H64" i="9"/>
  <c r="I64" i="9"/>
  <c r="J64" i="9"/>
  <c r="K64" i="9"/>
  <c r="L64" i="9"/>
  <c r="M64" i="9"/>
  <c r="N64" i="9"/>
  <c r="O64" i="9"/>
  <c r="P64" i="9"/>
  <c r="Q64" i="9"/>
  <c r="R64" i="9"/>
  <c r="S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AJ64" i="9"/>
  <c r="AK64" i="9"/>
  <c r="AL64" i="9"/>
  <c r="AM64" i="9"/>
  <c r="AN64" i="9"/>
  <c r="AQ63" i="9"/>
  <c r="D63" i="9"/>
  <c r="C63" i="9"/>
  <c r="B63" i="9"/>
  <c r="AQ62" i="9"/>
  <c r="D62" i="9"/>
  <c r="C62" i="9"/>
  <c r="B62" i="9"/>
  <c r="AQ48" i="9"/>
  <c r="AQ55" i="9"/>
  <c r="D55" i="9"/>
  <c r="C55" i="9"/>
  <c r="B55" i="9"/>
  <c r="D54" i="9"/>
  <c r="C54" i="9"/>
  <c r="B54" i="9"/>
  <c r="D53" i="9"/>
  <c r="C53" i="9"/>
  <c r="B53" i="9"/>
  <c r="AQ51" i="9"/>
  <c r="D51" i="9"/>
  <c r="C51" i="9"/>
  <c r="B51" i="9"/>
  <c r="AQ50" i="9"/>
  <c r="D50" i="9"/>
  <c r="C50" i="9"/>
  <c r="B50" i="9"/>
  <c r="AQ49" i="9"/>
  <c r="D49" i="9"/>
  <c r="C49" i="9"/>
  <c r="B49" i="9"/>
  <c r="D47" i="9"/>
  <c r="C47" i="9"/>
  <c r="B47" i="9"/>
  <c r="D45" i="9"/>
  <c r="C45" i="9"/>
  <c r="B45" i="9"/>
  <c r="D44" i="9"/>
  <c r="C44" i="9"/>
  <c r="B44" i="9"/>
  <c r="D43" i="9"/>
  <c r="C43" i="9"/>
  <c r="B43" i="9"/>
  <c r="D42" i="9"/>
  <c r="E21" i="5" s="1"/>
  <c r="C42" i="9"/>
  <c r="D21" i="5" s="1"/>
  <c r="B42" i="9"/>
  <c r="C21" i="5" s="1"/>
  <c r="AQ41" i="9"/>
  <c r="D41" i="9"/>
  <c r="E20" i="5" s="1"/>
  <c r="C41" i="9"/>
  <c r="D20" i="5" s="1"/>
  <c r="B41" i="9"/>
  <c r="C20" i="5" s="1"/>
  <c r="AQ40" i="9"/>
  <c r="AQ39" i="9"/>
  <c r="A35" i="9"/>
  <c r="A34" i="9"/>
  <c r="E33" i="9"/>
  <c r="F33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AJ33" i="9"/>
  <c r="AK33" i="9"/>
  <c r="AL33" i="9"/>
  <c r="AM33" i="9"/>
  <c r="AN33" i="9"/>
  <c r="A33" i="9"/>
  <c r="D19" i="9"/>
  <c r="C19" i="9"/>
  <c r="B19" i="9"/>
  <c r="D18" i="9"/>
  <c r="C18" i="9"/>
  <c r="B18" i="9"/>
  <c r="D15" i="9"/>
  <c r="C15" i="9"/>
  <c r="B15" i="9"/>
  <c r="D14" i="9"/>
  <c r="C14" i="9"/>
  <c r="B14" i="9"/>
  <c r="B12" i="9"/>
  <c r="C12" i="5" s="1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AL11" i="9"/>
  <c r="AM11" i="9"/>
  <c r="AN11" i="9"/>
  <c r="D10" i="9"/>
  <c r="E11" i="5" s="1"/>
  <c r="C10" i="9"/>
  <c r="D11" i="5" s="1"/>
  <c r="B10" i="9"/>
  <c r="C11" i="5" s="1"/>
  <c r="D9" i="9"/>
  <c r="E10" i="5" s="1"/>
  <c r="C9" i="9"/>
  <c r="D10" i="5" s="1"/>
  <c r="B9" i="9"/>
  <c r="C10" i="5" s="1"/>
  <c r="D8" i="9"/>
  <c r="E9" i="5" s="1"/>
  <c r="C8" i="9"/>
  <c r="D9" i="5" s="1"/>
  <c r="B8" i="9"/>
  <c r="C9" i="5" s="1"/>
  <c r="D7" i="9"/>
  <c r="E7" i="5" s="1"/>
  <c r="C7" i="9"/>
  <c r="D7" i="5" s="1"/>
  <c r="B7" i="9"/>
  <c r="C7" i="5" s="1"/>
  <c r="E5" i="9"/>
  <c r="C5" i="4" s="1"/>
  <c r="F5" i="9"/>
  <c r="D5" i="4" s="1"/>
  <c r="G5" i="9"/>
  <c r="E5" i="4" s="1"/>
  <c r="H5" i="9"/>
  <c r="F5" i="4" s="1"/>
  <c r="I5" i="9"/>
  <c r="G5" i="4" s="1"/>
  <c r="J5" i="9"/>
  <c r="H5" i="4" s="1"/>
  <c r="K5" i="9"/>
  <c r="I5" i="4" s="1"/>
  <c r="L5" i="9"/>
  <c r="J5" i="4" s="1"/>
  <c r="M5" i="9"/>
  <c r="K5" i="4" s="1"/>
  <c r="N5" i="9"/>
  <c r="L5" i="4" s="1"/>
  <c r="O5" i="9"/>
  <c r="M5" i="4" s="1"/>
  <c r="P5" i="9"/>
  <c r="N5" i="4" s="1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AJ5" i="9"/>
  <c r="AK5" i="9"/>
  <c r="AL5" i="9"/>
  <c r="AM5" i="9"/>
  <c r="AN5" i="9"/>
  <c r="F24" i="8"/>
  <c r="E24" i="8"/>
  <c r="D24" i="8"/>
  <c r="C24" i="8"/>
  <c r="G36" i="7"/>
  <c r="F36" i="7"/>
  <c r="E36" i="7"/>
  <c r="D36" i="7"/>
  <c r="H34" i="7"/>
  <c r="C34" i="7"/>
  <c r="B34" i="7"/>
  <c r="A34" i="7"/>
  <c r="H33" i="7"/>
  <c r="C33" i="7"/>
  <c r="B33" i="7"/>
  <c r="A33" i="7"/>
  <c r="H32" i="7"/>
  <c r="C32" i="7"/>
  <c r="B32" i="7"/>
  <c r="A32" i="7"/>
  <c r="H31" i="7"/>
  <c r="C31" i="7"/>
  <c r="B31" i="7"/>
  <c r="A31" i="7"/>
  <c r="H30" i="7"/>
  <c r="C30" i="7"/>
  <c r="B30" i="7"/>
  <c r="A30" i="7"/>
  <c r="H29" i="7"/>
  <c r="C29" i="7"/>
  <c r="B29" i="7"/>
  <c r="A29" i="7"/>
  <c r="H28" i="7"/>
  <c r="C28" i="7"/>
  <c r="B28" i="7"/>
  <c r="A28" i="7"/>
  <c r="H27" i="7"/>
  <c r="C27" i="7"/>
  <c r="B27" i="7"/>
  <c r="A27" i="7"/>
  <c r="H26" i="7"/>
  <c r="C26" i="7"/>
  <c r="B26" i="7"/>
  <c r="A26" i="7"/>
  <c r="G21" i="7"/>
  <c r="G20" i="7"/>
  <c r="F21" i="7"/>
  <c r="F20" i="7"/>
  <c r="E21" i="7"/>
  <c r="E20" i="7"/>
  <c r="D21" i="7"/>
  <c r="D20" i="7"/>
  <c r="G19" i="7"/>
  <c r="G18" i="7"/>
  <c r="F19" i="7"/>
  <c r="F18" i="7"/>
  <c r="E19" i="7"/>
  <c r="E18" i="7"/>
  <c r="D19" i="7"/>
  <c r="D18" i="7"/>
  <c r="B23" i="4"/>
  <c r="C24" i="4"/>
  <c r="D24" i="4"/>
  <c r="E24" i="4"/>
  <c r="F24" i="4"/>
  <c r="G24" i="4"/>
  <c r="H24" i="4"/>
  <c r="I24" i="4"/>
  <c r="J24" i="4"/>
  <c r="K24" i="4"/>
  <c r="L24" i="4"/>
  <c r="M24" i="4"/>
  <c r="N24" i="4"/>
  <c r="B18" i="4"/>
  <c r="C19" i="4"/>
  <c r="D19" i="4"/>
  <c r="E19" i="4"/>
  <c r="F19" i="4"/>
  <c r="G19" i="4"/>
  <c r="H19" i="4"/>
  <c r="I19" i="4"/>
  <c r="J19" i="4"/>
  <c r="K19" i="4"/>
  <c r="L19" i="4"/>
  <c r="M19" i="4"/>
  <c r="N19" i="4"/>
  <c r="B13" i="4"/>
  <c r="C14" i="4"/>
  <c r="D14" i="4"/>
  <c r="E14" i="4"/>
  <c r="F14" i="4"/>
  <c r="G14" i="4"/>
  <c r="H14" i="4"/>
  <c r="I14" i="4"/>
  <c r="J14" i="4"/>
  <c r="K14" i="4"/>
  <c r="L14" i="4"/>
  <c r="M14" i="4"/>
  <c r="N14" i="4"/>
  <c r="B8" i="4"/>
  <c r="C9" i="4"/>
  <c r="D9" i="4"/>
  <c r="E9" i="4"/>
  <c r="F9" i="4"/>
  <c r="G9" i="4"/>
  <c r="H9" i="4"/>
  <c r="I9" i="4"/>
  <c r="J9" i="4"/>
  <c r="K9" i="4"/>
  <c r="L9" i="4"/>
  <c r="M9" i="4"/>
  <c r="N9" i="4"/>
  <c r="C14" i="2"/>
  <c r="D14" i="2"/>
  <c r="E14" i="2"/>
  <c r="F14" i="2"/>
  <c r="C13" i="2"/>
  <c r="D13" i="2"/>
  <c r="E13" i="2"/>
  <c r="F13" i="2"/>
  <c r="C9" i="2"/>
  <c r="C25" i="2" s="1"/>
  <c r="D9" i="2"/>
  <c r="E9" i="2"/>
  <c r="F9" i="2"/>
  <c r="AB35" i="9" l="1"/>
  <c r="C21" i="9"/>
  <c r="E35" i="9"/>
  <c r="B10" i="6"/>
  <c r="F17" i="2"/>
  <c r="F52" i="9" a="1"/>
  <c r="G52" i="9" a="1"/>
  <c r="H52" i="9" a="1"/>
  <c r="I52" i="9" a="1"/>
  <c r="J52" i="9" a="1"/>
  <c r="K52" i="9" a="1"/>
  <c r="L52" i="9" a="1"/>
  <c r="M52" i="9" a="1"/>
  <c r="N52" i="9" a="1"/>
  <c r="O52" i="9" a="1"/>
  <c r="P52" i="9" a="1"/>
  <c r="Q52" i="9" a="1"/>
  <c r="R52" i="9" a="1"/>
  <c r="S52" i="9" a="1"/>
  <c r="T52" i="9" a="1"/>
  <c r="U52" i="9" a="1"/>
  <c r="V52" i="9" a="1"/>
  <c r="W52" i="9" a="1"/>
  <c r="X52" i="9" a="1"/>
  <c r="Y52" i="9" a="1"/>
  <c r="Z52" i="9" a="1"/>
  <c r="AA52" i="9" a="1"/>
  <c r="AB52" i="9" a="1"/>
  <c r="AC52" i="9" a="1"/>
  <c r="AD52" i="9" a="1"/>
  <c r="AE52" i="9" a="1"/>
  <c r="AF52" i="9" a="1"/>
  <c r="AG52" i="9" a="1"/>
  <c r="AH52" i="9" a="1"/>
  <c r="AI52" i="9" a="1"/>
  <c r="AJ52" i="9" a="1"/>
  <c r="AK52" i="9" a="1"/>
  <c r="AL52" i="9" a="1"/>
  <c r="AM52" i="9" a="1"/>
  <c r="AN52" i="9" a="1"/>
  <c r="E52" i="9" a="1"/>
  <c r="B64" i="9"/>
  <c r="C29" i="5" s="1"/>
  <c r="D64" i="9"/>
  <c r="E29" i="5" s="1"/>
  <c r="C64" i="9"/>
  <c r="D29" i="5" s="1"/>
  <c r="AJ69" i="9"/>
  <c r="AE69" i="9"/>
  <c r="AC69" i="9"/>
  <c r="AA69" i="9"/>
  <c r="S69" i="9"/>
  <c r="E69" i="9"/>
  <c r="K69" i="9"/>
  <c r="Q69" i="9"/>
  <c r="Y69" i="9"/>
  <c r="T69" i="9"/>
  <c r="X69" i="9"/>
  <c r="Z69" i="9"/>
  <c r="G69" i="9"/>
  <c r="M69" i="9"/>
  <c r="O69" i="9"/>
  <c r="V69" i="9"/>
  <c r="AH69" i="9"/>
  <c r="AF69" i="9"/>
  <c r="AG69" i="9"/>
  <c r="AL69" i="9"/>
  <c r="AM69" i="9"/>
  <c r="F69" i="9"/>
  <c r="R69" i="9"/>
  <c r="P69" i="9"/>
  <c r="AB69" i="9"/>
  <c r="N69" i="9"/>
  <c r="AD69" i="9"/>
  <c r="J69" i="9"/>
  <c r="H69" i="9"/>
  <c r="AI69" i="9"/>
  <c r="W69" i="9"/>
  <c r="U69" i="9"/>
  <c r="L69" i="9"/>
  <c r="I69" i="9"/>
  <c r="AN69" i="9"/>
  <c r="AK69" i="9"/>
  <c r="B11" i="9"/>
  <c r="C8" i="5" s="1"/>
  <c r="E46" i="9"/>
  <c r="E13" i="9"/>
  <c r="F13" i="9"/>
  <c r="D7" i="4" s="1"/>
  <c r="F46" i="9"/>
  <c r="G13" i="9"/>
  <c r="E7" i="4" s="1"/>
  <c r="G46" i="9"/>
  <c r="H13" i="9"/>
  <c r="F7" i="4" s="1"/>
  <c r="H46" i="9"/>
  <c r="I46" i="9"/>
  <c r="I13" i="9"/>
  <c r="G7" i="4" s="1"/>
  <c r="J46" i="9"/>
  <c r="J13" i="9"/>
  <c r="H7" i="4" s="1"/>
  <c r="K46" i="9"/>
  <c r="K13" i="9"/>
  <c r="I7" i="4" s="1"/>
  <c r="L13" i="9"/>
  <c r="J7" i="4" s="1"/>
  <c r="L46" i="9"/>
  <c r="M46" i="9"/>
  <c r="M13" i="9"/>
  <c r="K7" i="4" s="1"/>
  <c r="N13" i="9"/>
  <c r="L7" i="4" s="1"/>
  <c r="N46" i="9"/>
  <c r="O13" i="9"/>
  <c r="M7" i="4" s="1"/>
  <c r="O46" i="9"/>
  <c r="P46" i="9"/>
  <c r="P13" i="9"/>
  <c r="N7" i="4" s="1"/>
  <c r="Q13" i="9"/>
  <c r="Q46" i="9"/>
  <c r="C11" i="9"/>
  <c r="D8" i="5" s="1"/>
  <c r="R13" i="9"/>
  <c r="R46" i="9"/>
  <c r="S13" i="9"/>
  <c r="S46" i="9"/>
  <c r="T13" i="9"/>
  <c r="T46" i="9"/>
  <c r="U46" i="9"/>
  <c r="U13" i="9"/>
  <c r="V13" i="9"/>
  <c r="V46" i="9"/>
  <c r="W13" i="9"/>
  <c r="W46" i="9"/>
  <c r="X13" i="9"/>
  <c r="X46" i="9"/>
  <c r="Y13" i="9"/>
  <c r="Y46" i="9"/>
  <c r="Z13" i="9"/>
  <c r="Z46" i="9"/>
  <c r="AA13" i="9"/>
  <c r="AA46" i="9"/>
  <c r="AB13" i="9"/>
  <c r="AB46" i="9"/>
  <c r="AC13" i="9"/>
  <c r="D11" i="9"/>
  <c r="E8" i="5" s="1"/>
  <c r="AC46" i="9"/>
  <c r="AD13" i="9"/>
  <c r="AD46" i="9"/>
  <c r="AE46" i="9"/>
  <c r="AE13" i="9"/>
  <c r="AF13" i="9"/>
  <c r="AF46" i="9"/>
  <c r="AG46" i="9"/>
  <c r="AG13" i="9"/>
  <c r="AH13" i="9"/>
  <c r="AH46" i="9"/>
  <c r="AI13" i="9"/>
  <c r="AI46" i="9"/>
  <c r="AJ46" i="9"/>
  <c r="AJ13" i="9"/>
  <c r="AK46" i="9"/>
  <c r="AK13" i="9"/>
  <c r="AL46" i="9"/>
  <c r="AL13" i="9"/>
  <c r="AM13" i="9"/>
  <c r="AM46" i="9"/>
  <c r="AN13" i="9"/>
  <c r="AN46" i="9"/>
  <c r="B35" i="9"/>
  <c r="E10" i="6" s="1"/>
  <c r="C35" i="9"/>
  <c r="F10" i="6" s="1"/>
  <c r="D35" i="9"/>
  <c r="G10" i="6" s="1"/>
  <c r="B33" i="9"/>
  <c r="E8" i="6" s="1"/>
  <c r="C33" i="9"/>
  <c r="F8" i="6" s="1"/>
  <c r="D33" i="9"/>
  <c r="G8" i="6" s="1"/>
  <c r="B29" i="9"/>
  <c r="C29" i="9"/>
  <c r="D29" i="9"/>
  <c r="G37" i="7"/>
  <c r="F37" i="7"/>
  <c r="E37" i="7"/>
  <c r="D37" i="7"/>
  <c r="F38" i="7"/>
  <c r="G39" i="7"/>
  <c r="G38" i="7"/>
  <c r="F39" i="7"/>
  <c r="E39" i="7"/>
  <c r="E38" i="7"/>
  <c r="D39" i="7"/>
  <c r="D38" i="7"/>
  <c r="B24" i="4"/>
  <c r="B14" i="4"/>
  <c r="B19" i="4"/>
  <c r="B9" i="4"/>
  <c r="F25" i="2"/>
  <c r="E17" i="2"/>
  <c r="E25" i="2"/>
  <c r="D25" i="2"/>
  <c r="D17" i="2"/>
  <c r="C17" i="2"/>
  <c r="C46" i="9" l="1"/>
  <c r="D22" i="5" s="1"/>
  <c r="AM25" i="9"/>
  <c r="AK25" i="9"/>
  <c r="AH25" i="9"/>
  <c r="W25" i="9"/>
  <c r="M25" i="9"/>
  <c r="K25" i="9"/>
  <c r="F25" i="9"/>
  <c r="AJ25" i="9"/>
  <c r="Z25" i="9"/>
  <c r="T25" i="9"/>
  <c r="S25" i="9"/>
  <c r="O25" i="9"/>
  <c r="J25" i="9"/>
  <c r="G25" i="9"/>
  <c r="AL25" i="9"/>
  <c r="AG25" i="9"/>
  <c r="AD25" i="9"/>
  <c r="AB25" i="9"/>
  <c r="Y25" i="9"/>
  <c r="X25" i="9"/>
  <c r="U25" i="9"/>
  <c r="Q25" i="9"/>
  <c r="L25" i="9"/>
  <c r="H25" i="9"/>
  <c r="AN25" i="9"/>
  <c r="AI25" i="9"/>
  <c r="AF25" i="9"/>
  <c r="AE25" i="9"/>
  <c r="AC25" i="9"/>
  <c r="AA25" i="9"/>
  <c r="V25" i="9"/>
  <c r="R25" i="9"/>
  <c r="P25" i="9"/>
  <c r="N25" i="9"/>
  <c r="I25" i="9"/>
  <c r="E25" i="9"/>
  <c r="F26" i="2"/>
  <c r="F23" i="8"/>
  <c r="F25" i="8" s="1"/>
  <c r="D46" i="9"/>
  <c r="E22" i="5" s="1"/>
  <c r="D52" i="9"/>
  <c r="E24" i="5" s="1"/>
  <c r="C52" i="9"/>
  <c r="D24" i="5" s="1"/>
  <c r="B52" i="9"/>
  <c r="C24" i="5" s="1"/>
  <c r="B46" i="9"/>
  <c r="C22" i="5" s="1"/>
  <c r="B13" i="9"/>
  <c r="C7" i="4"/>
  <c r="B7" i="4" s="1"/>
  <c r="D69" i="9"/>
  <c r="B69" i="9"/>
  <c r="C69" i="9"/>
  <c r="C13" i="9"/>
  <c r="D13" i="9"/>
  <c r="E23" i="8"/>
  <c r="E25" i="8" s="1"/>
  <c r="E26" i="2"/>
  <c r="D23" i="8"/>
  <c r="D25" i="8" s="1"/>
  <c r="D26" i="2"/>
  <c r="S24" i="9"/>
  <c r="I24" i="9"/>
  <c r="M24" i="9"/>
  <c r="Q24" i="9"/>
  <c r="T24" i="9"/>
  <c r="X24" i="9"/>
  <c r="Z24" i="9"/>
  <c r="AE24" i="9"/>
  <c r="AG24" i="9"/>
  <c r="AJ24" i="9"/>
  <c r="G24" i="9"/>
  <c r="L24" i="9"/>
  <c r="O24" i="9"/>
  <c r="W24" i="9"/>
  <c r="F24" i="9"/>
  <c r="H24" i="9"/>
  <c r="K24" i="9"/>
  <c r="P24" i="9"/>
  <c r="R24" i="9"/>
  <c r="U24" i="9"/>
  <c r="AB24" i="9"/>
  <c r="AH24" i="9"/>
  <c r="AL24" i="9"/>
  <c r="AA24" i="9"/>
  <c r="E24" i="9"/>
  <c r="J24" i="9"/>
  <c r="N24" i="9"/>
  <c r="V24" i="9"/>
  <c r="Y24" i="9"/>
  <c r="AN24" i="9"/>
  <c r="AI24" i="9"/>
  <c r="AK24" i="9"/>
  <c r="AC24" i="9"/>
  <c r="AF24" i="9"/>
  <c r="AM24" i="9"/>
  <c r="AD24" i="9"/>
  <c r="C23" i="8"/>
  <c r="C25" i="8" s="1"/>
  <c r="C26" i="2"/>
  <c r="G40" i="7"/>
  <c r="F40" i="7"/>
  <c r="E40" i="7"/>
  <c r="D40" i="7"/>
  <c r="F39" i="2"/>
  <c r="F22" i="2"/>
  <c r="F32" i="2"/>
  <c r="E32" i="2"/>
  <c r="E22" i="2"/>
  <c r="E26" i="8" s="1"/>
  <c r="E27" i="8" s="1"/>
  <c r="E39" i="2"/>
  <c r="D22" i="2"/>
  <c r="D32" i="2"/>
  <c r="D39" i="2"/>
  <c r="C39" i="2"/>
  <c r="C32" i="2"/>
  <c r="C22" i="2"/>
  <c r="D25" i="9" l="1"/>
  <c r="C25" i="9"/>
  <c r="B25" i="9"/>
  <c r="C13" i="5"/>
  <c r="G20" i="9" a="1"/>
  <c r="L20" i="9" a="1"/>
  <c r="M20" i="9" a="1"/>
  <c r="N20" i="9" a="1"/>
  <c r="O20" i="9" a="1"/>
  <c r="P20" i="9" a="1"/>
  <c r="E20" i="9" a="1"/>
  <c r="E22" i="9" s="1"/>
  <c r="F20" i="9" a="1"/>
  <c r="H20" i="9" a="1"/>
  <c r="I20" i="9" a="1"/>
  <c r="J20" i="9" a="1"/>
  <c r="K20" i="9" a="1"/>
  <c r="D13" i="5"/>
  <c r="U20" i="9" a="1"/>
  <c r="V20" i="9" a="1"/>
  <c r="W20" i="9" a="1"/>
  <c r="X20" i="9" a="1"/>
  <c r="Y20" i="9" a="1"/>
  <c r="Z20" i="9" a="1"/>
  <c r="AA20" i="9" a="1"/>
  <c r="AB20" i="9" a="1"/>
  <c r="Q20" i="9" a="1"/>
  <c r="Q22" i="9" s="1"/>
  <c r="R20" i="9" a="1"/>
  <c r="S20" i="9" a="1"/>
  <c r="T20" i="9" a="1"/>
  <c r="E13" i="5"/>
  <c r="AC20" i="9" a="1"/>
  <c r="AC22" i="9" s="1"/>
  <c r="AD20" i="9" a="1"/>
  <c r="AE20" i="9" a="1"/>
  <c r="AF20" i="9" a="1"/>
  <c r="AH20" i="9" a="1"/>
  <c r="AJ20" i="9" a="1"/>
  <c r="AL20" i="9" a="1"/>
  <c r="AM20" i="9" a="1"/>
  <c r="AG20" i="9" a="1"/>
  <c r="AI20" i="9" a="1"/>
  <c r="AK20" i="9" a="1"/>
  <c r="AN20" i="9" a="1"/>
  <c r="R77" i="9"/>
  <c r="S26" i="9"/>
  <c r="S48" i="9" s="1"/>
  <c r="H77" i="9"/>
  <c r="I26" i="9"/>
  <c r="M26" i="9"/>
  <c r="L77" i="9"/>
  <c r="P77" i="9"/>
  <c r="C24" i="9"/>
  <c r="Q26" i="9"/>
  <c r="T26" i="9"/>
  <c r="T48" i="9" s="1"/>
  <c r="S77" i="9"/>
  <c r="X26" i="9"/>
  <c r="X48" i="9" s="1"/>
  <c r="W77" i="9"/>
  <c r="Y77" i="9"/>
  <c r="Z26" i="9"/>
  <c r="Z48" i="9" s="1"/>
  <c r="AE26" i="9"/>
  <c r="AE48" i="9" s="1"/>
  <c r="AD77" i="9"/>
  <c r="AF77" i="9"/>
  <c r="AG26" i="9"/>
  <c r="AG48" i="9" s="1"/>
  <c r="AI77" i="9"/>
  <c r="AJ26" i="9"/>
  <c r="AJ48" i="9" s="1"/>
  <c r="G26" i="9"/>
  <c r="F77" i="9"/>
  <c r="L26" i="9"/>
  <c r="K77" i="9"/>
  <c r="O26" i="9"/>
  <c r="N77" i="9"/>
  <c r="V77" i="9"/>
  <c r="W26" i="9"/>
  <c r="W48" i="9" s="1"/>
  <c r="E77" i="9"/>
  <c r="F26" i="9"/>
  <c r="H26" i="9"/>
  <c r="G77" i="9"/>
  <c r="K26" i="9"/>
  <c r="J77" i="9"/>
  <c r="P26" i="9"/>
  <c r="O77" i="9"/>
  <c r="Q77" i="9"/>
  <c r="R26" i="9"/>
  <c r="R48" i="9" s="1"/>
  <c r="U26" i="9"/>
  <c r="U48" i="9" s="1"/>
  <c r="T77" i="9"/>
  <c r="AA77" i="9"/>
  <c r="AB26" i="9"/>
  <c r="AB48" i="9" s="1"/>
  <c r="AG77" i="9"/>
  <c r="AH26" i="9"/>
  <c r="AH48" i="9" s="1"/>
  <c r="AL26" i="9"/>
  <c r="AL48" i="9" s="1"/>
  <c r="AK77" i="9"/>
  <c r="AA26" i="9"/>
  <c r="AA48" i="9" s="1"/>
  <c r="Z77" i="9"/>
  <c r="E26" i="9"/>
  <c r="B24" i="9"/>
  <c r="J26" i="9"/>
  <c r="I77" i="9"/>
  <c r="M77" i="9"/>
  <c r="N26" i="9"/>
  <c r="V26" i="9"/>
  <c r="V48" i="9" s="1"/>
  <c r="U77" i="9"/>
  <c r="X77" i="9"/>
  <c r="Y26" i="9"/>
  <c r="Y48" i="9" s="1"/>
  <c r="AN26" i="9"/>
  <c r="AN48" i="9" s="1"/>
  <c r="AM77" i="9"/>
  <c r="AI26" i="9"/>
  <c r="AI48" i="9" s="1"/>
  <c r="AH77" i="9"/>
  <c r="AK26" i="9"/>
  <c r="AK48" i="9" s="1"/>
  <c r="AJ77" i="9"/>
  <c r="AB77" i="9"/>
  <c r="AC26" i="9"/>
  <c r="D24" i="9"/>
  <c r="AF26" i="9"/>
  <c r="AF48" i="9" s="1"/>
  <c r="AE77" i="9"/>
  <c r="AM26" i="9"/>
  <c r="AM48" i="9" s="1"/>
  <c r="AL77" i="9"/>
  <c r="AD26" i="9"/>
  <c r="AD48" i="9" s="1"/>
  <c r="AC77" i="9"/>
  <c r="G66" i="9"/>
  <c r="J66" i="9"/>
  <c r="L66" i="9"/>
  <c r="N66" i="9"/>
  <c r="R66" i="9"/>
  <c r="U66" i="9"/>
  <c r="W66" i="9"/>
  <c r="AB66" i="9"/>
  <c r="AE66" i="9"/>
  <c r="AK66" i="9"/>
  <c r="M66" i="9"/>
  <c r="F66" i="9"/>
  <c r="I66" i="9"/>
  <c r="O66" i="9"/>
  <c r="H66" i="9"/>
  <c r="P66" i="9"/>
  <c r="S66" i="9"/>
  <c r="X66" i="9"/>
  <c r="Z66" i="9"/>
  <c r="AC66" i="9"/>
  <c r="AG66" i="9"/>
  <c r="AI66" i="9"/>
  <c r="AM66" i="9"/>
  <c r="AF66" i="9"/>
  <c r="E66" i="9"/>
  <c r="K66" i="9"/>
  <c r="Q66" i="9"/>
  <c r="T66" i="9"/>
  <c r="V66" i="9"/>
  <c r="Y66" i="9"/>
  <c r="AA66" i="9"/>
  <c r="AD66" i="9"/>
  <c r="AH66" i="9"/>
  <c r="AJ66" i="9"/>
  <c r="AL66" i="9"/>
  <c r="AN66" i="9"/>
  <c r="T28" i="9"/>
  <c r="H28" i="9"/>
  <c r="K28" i="9"/>
  <c r="M28" i="9"/>
  <c r="Q28" i="9"/>
  <c r="S28" i="9"/>
  <c r="W28" i="9"/>
  <c r="Y28" i="9"/>
  <c r="AB28" i="9"/>
  <c r="G28" i="9"/>
  <c r="I28" i="9"/>
  <c r="O28" i="9"/>
  <c r="Z28" i="9"/>
  <c r="AC28" i="9"/>
  <c r="AE28" i="9"/>
  <c r="AI28" i="9"/>
  <c r="AJ28" i="9"/>
  <c r="AG28" i="9"/>
  <c r="AH28" i="9"/>
  <c r="AN28" i="9"/>
  <c r="E28" i="9"/>
  <c r="J28" i="9"/>
  <c r="N28" i="9"/>
  <c r="V28" i="9"/>
  <c r="X28" i="9"/>
  <c r="AA28" i="9"/>
  <c r="AL28" i="9"/>
  <c r="AD28" i="9"/>
  <c r="AF28" i="9"/>
  <c r="AK28" i="9"/>
  <c r="AM28" i="9"/>
  <c r="F28" i="9"/>
  <c r="L28" i="9"/>
  <c r="P28" i="9"/>
  <c r="R28" i="9"/>
  <c r="U28" i="9"/>
  <c r="F40" i="2"/>
  <c r="F26" i="8"/>
  <c r="F27" i="8" s="1"/>
  <c r="D40" i="2"/>
  <c r="D26" i="8"/>
  <c r="D27" i="8" s="1"/>
  <c r="C40" i="2"/>
  <c r="C26" i="8"/>
  <c r="F43" i="2"/>
  <c r="F42" i="2"/>
  <c r="E43" i="2"/>
  <c r="E42" i="2"/>
  <c r="D42" i="2"/>
  <c r="D43" i="2"/>
  <c r="C42" i="2"/>
  <c r="C43" i="2"/>
  <c r="E34" i="2"/>
  <c r="E36" i="2" s="1"/>
  <c r="E40" i="2"/>
  <c r="D34" i="2"/>
  <c r="D36" i="2" s="1"/>
  <c r="F34" i="2"/>
  <c r="F36" i="2" s="1"/>
  <c r="C34" i="2"/>
  <c r="G34" i="9" l="1"/>
  <c r="G37" i="9" s="1"/>
  <c r="G22" i="9"/>
  <c r="L34" i="9"/>
  <c r="L37" i="9" s="1"/>
  <c r="L22" i="9"/>
  <c r="M34" i="9"/>
  <c r="M37" i="9" s="1"/>
  <c r="M22" i="9"/>
  <c r="N34" i="9"/>
  <c r="N37" i="9" s="1"/>
  <c r="N22" i="9"/>
  <c r="O34" i="9"/>
  <c r="O37" i="9" s="1"/>
  <c r="O22" i="9"/>
  <c r="P34" i="9"/>
  <c r="P37" i="9" s="1"/>
  <c r="P22" i="9"/>
  <c r="E39" i="9"/>
  <c r="E40" i="9"/>
  <c r="F34" i="9"/>
  <c r="F37" i="9" s="1"/>
  <c r="F22" i="9"/>
  <c r="H34" i="9"/>
  <c r="H37" i="9" s="1"/>
  <c r="H22" i="9"/>
  <c r="B22" i="9" s="1"/>
  <c r="I34" i="9"/>
  <c r="I37" i="9" s="1"/>
  <c r="I22" i="9"/>
  <c r="J34" i="9"/>
  <c r="J37" i="9" s="1"/>
  <c r="J22" i="9"/>
  <c r="K34" i="9"/>
  <c r="K37" i="9" s="1"/>
  <c r="K22" i="9"/>
  <c r="U34" i="9"/>
  <c r="U37" i="9" s="1"/>
  <c r="U22" i="9"/>
  <c r="V34" i="9"/>
  <c r="V37" i="9" s="1"/>
  <c r="V22" i="9"/>
  <c r="W34" i="9"/>
  <c r="W37" i="9" s="1"/>
  <c r="W22" i="9"/>
  <c r="X34" i="9"/>
  <c r="X37" i="9" s="1"/>
  <c r="X22" i="9"/>
  <c r="Y34" i="9"/>
  <c r="Y37" i="9" s="1"/>
  <c r="Y22" i="9"/>
  <c r="Z34" i="9"/>
  <c r="Z37" i="9" s="1"/>
  <c r="Z22" i="9"/>
  <c r="AA34" i="9"/>
  <c r="AA37" i="9" s="1"/>
  <c r="AA22" i="9"/>
  <c r="AB34" i="9"/>
  <c r="AB37" i="9" s="1"/>
  <c r="AB22" i="9"/>
  <c r="Q39" i="9"/>
  <c r="Q40" i="9"/>
  <c r="R34" i="9"/>
  <c r="R37" i="9" s="1"/>
  <c r="R22" i="9"/>
  <c r="C22" i="9" s="1"/>
  <c r="S34" i="9"/>
  <c r="S37" i="9" s="1"/>
  <c r="S22" i="9"/>
  <c r="T34" i="9"/>
  <c r="T37" i="9" s="1"/>
  <c r="T22" i="9"/>
  <c r="AC39" i="9"/>
  <c r="AC40" i="9"/>
  <c r="AD34" i="9"/>
  <c r="AD37" i="9" s="1"/>
  <c r="AD22" i="9"/>
  <c r="AE34" i="9"/>
  <c r="AE37" i="9" s="1"/>
  <c r="AE22" i="9"/>
  <c r="AF34" i="9"/>
  <c r="AF37" i="9" s="1"/>
  <c r="AF22" i="9"/>
  <c r="AH34" i="9"/>
  <c r="AH37" i="9" s="1"/>
  <c r="AH22" i="9"/>
  <c r="AJ34" i="9"/>
  <c r="AJ37" i="9" s="1"/>
  <c r="AJ22" i="9"/>
  <c r="AL34" i="9"/>
  <c r="AL37" i="9" s="1"/>
  <c r="AL22" i="9"/>
  <c r="AM34" i="9"/>
  <c r="AM37" i="9" s="1"/>
  <c r="AM22" i="9"/>
  <c r="AG34" i="9"/>
  <c r="AG37" i="9" s="1"/>
  <c r="AG22" i="9"/>
  <c r="D22" i="9" s="1"/>
  <c r="AI34" i="9"/>
  <c r="AI37" i="9" s="1"/>
  <c r="AI22" i="9"/>
  <c r="AK34" i="9"/>
  <c r="AK37" i="9" s="1"/>
  <c r="AK22" i="9"/>
  <c r="AN34" i="9"/>
  <c r="AN37" i="9" s="1"/>
  <c r="AN22" i="9"/>
  <c r="B9" i="6"/>
  <c r="B12" i="6" s="1"/>
  <c r="B20" i="9"/>
  <c r="E34" i="9"/>
  <c r="E37" i="9" s="1"/>
  <c r="C20" i="9"/>
  <c r="Q34" i="9"/>
  <c r="Q37" i="9" s="1"/>
  <c r="AC34" i="9"/>
  <c r="AC37" i="9" s="1"/>
  <c r="D20" i="9"/>
  <c r="G12" i="4"/>
  <c r="I48" i="9"/>
  <c r="K12" i="4"/>
  <c r="M48" i="9"/>
  <c r="Q48" i="9"/>
  <c r="C26" i="9"/>
  <c r="D15" i="5" s="1"/>
  <c r="G48" i="9"/>
  <c r="E12" i="4"/>
  <c r="L48" i="9"/>
  <c r="J12" i="4"/>
  <c r="O48" i="9"/>
  <c r="M12" i="4"/>
  <c r="F48" i="9"/>
  <c r="D12" i="4"/>
  <c r="H48" i="9"/>
  <c r="F12" i="4"/>
  <c r="I12" i="4"/>
  <c r="K48" i="9"/>
  <c r="N12" i="4"/>
  <c r="P48" i="9"/>
  <c r="E48" i="9"/>
  <c r="C12" i="4"/>
  <c r="B26" i="9"/>
  <c r="C15" i="5" s="1"/>
  <c r="J48" i="9"/>
  <c r="H12" i="4"/>
  <c r="N48" i="9"/>
  <c r="L12" i="4"/>
  <c r="AC48" i="9"/>
  <c r="D26" i="9"/>
  <c r="E15" i="5" s="1"/>
  <c r="D66" i="9"/>
  <c r="B66" i="9"/>
  <c r="C66" i="9"/>
  <c r="D77" i="9"/>
  <c r="B77" i="9"/>
  <c r="B28" i="9"/>
  <c r="C28" i="9"/>
  <c r="D28" i="9"/>
  <c r="C77" i="9"/>
  <c r="AF67" i="9"/>
  <c r="G67" i="9"/>
  <c r="H67" i="9"/>
  <c r="I67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X67" i="9"/>
  <c r="Y67" i="9"/>
  <c r="Z67" i="9"/>
  <c r="AA67" i="9"/>
  <c r="AB67" i="9"/>
  <c r="AC67" i="9"/>
  <c r="AD67" i="9"/>
  <c r="AE67" i="9"/>
  <c r="AG67" i="9"/>
  <c r="E67" i="9"/>
  <c r="AH67" i="9"/>
  <c r="AI67" i="9"/>
  <c r="AJ67" i="9"/>
  <c r="AK67" i="9"/>
  <c r="AL67" i="9"/>
  <c r="AM67" i="9"/>
  <c r="AN67" i="9"/>
  <c r="F67" i="9"/>
  <c r="H27" i="9"/>
  <c r="H30" i="9" s="1"/>
  <c r="H31" i="9" s="1"/>
  <c r="O27" i="9"/>
  <c r="O30" i="9" s="1"/>
  <c r="O31" i="9" s="1"/>
  <c r="P27" i="9"/>
  <c r="P30" i="9" s="1"/>
  <c r="P31" i="9" s="1"/>
  <c r="R27" i="9"/>
  <c r="R30" i="9" s="1"/>
  <c r="R31" i="9" s="1"/>
  <c r="U27" i="9"/>
  <c r="U30" i="9" s="1"/>
  <c r="U31" i="9" s="1"/>
  <c r="V27" i="9"/>
  <c r="V30" i="9" s="1"/>
  <c r="V31" i="9" s="1"/>
  <c r="AF27" i="9"/>
  <c r="AF30" i="9" s="1"/>
  <c r="AF31" i="9" s="1"/>
  <c r="AI27" i="9"/>
  <c r="AI30" i="9" s="1"/>
  <c r="AI31" i="9" s="1"/>
  <c r="AM27" i="9"/>
  <c r="AM30" i="9" s="1"/>
  <c r="AM31" i="9" s="1"/>
  <c r="K27" i="9"/>
  <c r="K30" i="9" s="1"/>
  <c r="K31" i="9" s="1"/>
  <c r="Y27" i="9"/>
  <c r="Y30" i="9" s="1"/>
  <c r="Y31" i="9" s="1"/>
  <c r="AA27" i="9"/>
  <c r="AA30" i="9" s="1"/>
  <c r="AA31" i="9" s="1"/>
  <c r="AC27" i="9"/>
  <c r="AE27" i="9"/>
  <c r="AE30" i="9" s="1"/>
  <c r="AE31" i="9" s="1"/>
  <c r="F27" i="9"/>
  <c r="F30" i="9" s="1"/>
  <c r="F31" i="9" s="1"/>
  <c r="L27" i="9"/>
  <c r="L30" i="9" s="1"/>
  <c r="L31" i="9" s="1"/>
  <c r="M27" i="9"/>
  <c r="M30" i="9" s="1"/>
  <c r="M31" i="9" s="1"/>
  <c r="N27" i="9"/>
  <c r="N30" i="9" s="1"/>
  <c r="N31" i="9" s="1"/>
  <c r="Q27" i="9"/>
  <c r="S27" i="9"/>
  <c r="S30" i="9" s="1"/>
  <c r="S31" i="9" s="1"/>
  <c r="T27" i="9"/>
  <c r="T30" i="9" s="1"/>
  <c r="T31" i="9" s="1"/>
  <c r="W27" i="9"/>
  <c r="W30" i="9" s="1"/>
  <c r="W31" i="9" s="1"/>
  <c r="Z27" i="9"/>
  <c r="Z30" i="9" s="1"/>
  <c r="Z31" i="9" s="1"/>
  <c r="AB27" i="9"/>
  <c r="AB30" i="9" s="1"/>
  <c r="AB31" i="9" s="1"/>
  <c r="AH27" i="9"/>
  <c r="AH30" i="9" s="1"/>
  <c r="AH31" i="9" s="1"/>
  <c r="AJ27" i="9"/>
  <c r="AJ30" i="9" s="1"/>
  <c r="AJ31" i="9" s="1"/>
  <c r="E27" i="9"/>
  <c r="I27" i="9"/>
  <c r="I30" i="9" s="1"/>
  <c r="I31" i="9" s="1"/>
  <c r="J27" i="9"/>
  <c r="J30" i="9" s="1"/>
  <c r="J31" i="9" s="1"/>
  <c r="X27" i="9"/>
  <c r="X30" i="9" s="1"/>
  <c r="X31" i="9" s="1"/>
  <c r="AD27" i="9"/>
  <c r="AD30" i="9" s="1"/>
  <c r="AD31" i="9" s="1"/>
  <c r="AG27" i="9"/>
  <c r="AG30" i="9" s="1"/>
  <c r="AG31" i="9" s="1"/>
  <c r="AK27" i="9"/>
  <c r="AK30" i="9" s="1"/>
  <c r="AK31" i="9" s="1"/>
  <c r="AL27" i="9"/>
  <c r="AL30" i="9" s="1"/>
  <c r="AL31" i="9" s="1"/>
  <c r="G27" i="9"/>
  <c r="G30" i="9" s="1"/>
  <c r="G31" i="9" s="1"/>
  <c r="AN27" i="9"/>
  <c r="AN30" i="9" s="1"/>
  <c r="AN31" i="9" s="1"/>
  <c r="C27" i="8"/>
  <c r="C36" i="2"/>
  <c r="E38" i="2"/>
  <c r="E37" i="2"/>
  <c r="E41" i="2" s="1"/>
  <c r="F38" i="2"/>
  <c r="F37" i="2"/>
  <c r="F41" i="2" s="1"/>
  <c r="D38" i="2"/>
  <c r="D37" i="2"/>
  <c r="D41" i="2" s="1"/>
  <c r="G39" i="9" l="1"/>
  <c r="G40" i="9"/>
  <c r="L39" i="9"/>
  <c r="L40" i="9"/>
  <c r="M39" i="9"/>
  <c r="M40" i="9"/>
  <c r="N39" i="9"/>
  <c r="N40" i="9"/>
  <c r="O39" i="9"/>
  <c r="O40" i="9"/>
  <c r="P39" i="9"/>
  <c r="P40" i="9"/>
  <c r="F39" i="9"/>
  <c r="F40" i="9"/>
  <c r="H39" i="9"/>
  <c r="H40" i="9"/>
  <c r="I39" i="9"/>
  <c r="I40" i="9"/>
  <c r="J39" i="9"/>
  <c r="J40" i="9"/>
  <c r="K39" i="9"/>
  <c r="K40" i="9"/>
  <c r="U39" i="9"/>
  <c r="U40" i="9"/>
  <c r="V39" i="9"/>
  <c r="V40" i="9"/>
  <c r="W39" i="9"/>
  <c r="W40" i="9"/>
  <c r="X39" i="9"/>
  <c r="X40" i="9"/>
  <c r="Y39" i="9"/>
  <c r="Y40" i="9"/>
  <c r="Z39" i="9"/>
  <c r="Z40" i="9"/>
  <c r="AA39" i="9"/>
  <c r="AA40" i="9"/>
  <c r="AB39" i="9"/>
  <c r="AB40" i="9"/>
  <c r="R39" i="9"/>
  <c r="R40" i="9"/>
  <c r="S39" i="9"/>
  <c r="S40" i="9"/>
  <c r="T39" i="9"/>
  <c r="T40" i="9"/>
  <c r="AD39" i="9"/>
  <c r="AD40" i="9"/>
  <c r="AE39" i="9"/>
  <c r="AE40" i="9"/>
  <c r="AF39" i="9"/>
  <c r="AF40" i="9"/>
  <c r="AH39" i="9"/>
  <c r="AH40" i="9"/>
  <c r="AJ39" i="9"/>
  <c r="AJ40" i="9"/>
  <c r="AL39" i="9"/>
  <c r="AL40" i="9"/>
  <c r="AM39" i="9"/>
  <c r="AM40" i="9"/>
  <c r="AG39" i="9"/>
  <c r="AG40" i="9"/>
  <c r="AI39" i="9"/>
  <c r="AI40" i="9"/>
  <c r="AK39" i="9"/>
  <c r="AK40" i="9"/>
  <c r="AN39" i="9"/>
  <c r="AN40" i="9"/>
  <c r="B37" i="9"/>
  <c r="C19" i="5" s="1"/>
  <c r="B34" i="9"/>
  <c r="E9" i="6" s="1"/>
  <c r="E12" i="6" s="1"/>
  <c r="C37" i="9"/>
  <c r="D19" i="5" s="1"/>
  <c r="C34" i="9"/>
  <c r="F9" i="6" s="1"/>
  <c r="F12" i="6" s="1"/>
  <c r="D37" i="9"/>
  <c r="E19" i="5" s="1"/>
  <c r="D34" i="9"/>
  <c r="G9" i="6" s="1"/>
  <c r="G12" i="6" s="1"/>
  <c r="B12" i="4"/>
  <c r="I68" i="9"/>
  <c r="I70" i="9" s="1"/>
  <c r="I56" i="9"/>
  <c r="I57" i="9" s="1"/>
  <c r="M56" i="9"/>
  <c r="M57" i="9" s="1"/>
  <c r="M68" i="9"/>
  <c r="M70" i="9" s="1"/>
  <c r="Q56" i="9"/>
  <c r="Q68" i="9"/>
  <c r="C48" i="9"/>
  <c r="D23" i="5" s="1"/>
  <c r="G56" i="9"/>
  <c r="G57" i="9" s="1"/>
  <c r="G68" i="9"/>
  <c r="L68" i="9"/>
  <c r="L70" i="9" s="1"/>
  <c r="L56" i="9"/>
  <c r="L57" i="9" s="1"/>
  <c r="O68" i="9"/>
  <c r="O70" i="9" s="1"/>
  <c r="O56" i="9"/>
  <c r="O57" i="9" s="1"/>
  <c r="F56" i="9"/>
  <c r="F57" i="9" s="1"/>
  <c r="F68" i="9"/>
  <c r="H68" i="9"/>
  <c r="H70" i="9" s="1"/>
  <c r="H56" i="9"/>
  <c r="H57" i="9" s="1"/>
  <c r="K56" i="9"/>
  <c r="K57" i="9" s="1"/>
  <c r="K68" i="9"/>
  <c r="K70" i="9" s="1"/>
  <c r="P68" i="9"/>
  <c r="P70" i="9" s="1"/>
  <c r="P56" i="9"/>
  <c r="P57" i="9" s="1"/>
  <c r="E68" i="9"/>
  <c r="E56" i="9"/>
  <c r="B48" i="9"/>
  <c r="C23" i="5" s="1"/>
  <c r="J56" i="9"/>
  <c r="J57" i="9" s="1"/>
  <c r="J68" i="9"/>
  <c r="J70" i="9" s="1"/>
  <c r="N56" i="9"/>
  <c r="N57" i="9" s="1"/>
  <c r="N68" i="9"/>
  <c r="N70" i="9" s="1"/>
  <c r="AC68" i="9"/>
  <c r="AC56" i="9"/>
  <c r="D48" i="9"/>
  <c r="E23" i="5" s="1"/>
  <c r="AC30" i="9"/>
  <c r="D27" i="9"/>
  <c r="Q30" i="9"/>
  <c r="C27" i="9"/>
  <c r="E30" i="9"/>
  <c r="B27" i="9"/>
  <c r="D67" i="9"/>
  <c r="B67" i="9"/>
  <c r="C67" i="9"/>
  <c r="C37" i="2"/>
  <c r="C41" i="2" s="1"/>
  <c r="C38" i="2"/>
  <c r="U56" i="9" l="1"/>
  <c r="U57" i="9" s="1"/>
  <c r="U59" i="9" s="1"/>
  <c r="U68" i="9"/>
  <c r="U70" i="9" s="1"/>
  <c r="V56" i="9"/>
  <c r="V57" i="9" s="1"/>
  <c r="V59" i="9" s="1"/>
  <c r="V68" i="9"/>
  <c r="V70" i="9" s="1"/>
  <c r="W56" i="9"/>
  <c r="W57" i="9" s="1"/>
  <c r="W59" i="9" s="1"/>
  <c r="W68" i="9"/>
  <c r="W70" i="9" s="1"/>
  <c r="X56" i="9"/>
  <c r="X57" i="9" s="1"/>
  <c r="X59" i="9" s="1"/>
  <c r="X68" i="9"/>
  <c r="X70" i="9" s="1"/>
  <c r="Y68" i="9"/>
  <c r="Y70" i="9" s="1"/>
  <c r="Y56" i="9"/>
  <c r="Y57" i="9" s="1"/>
  <c r="Y59" i="9" s="1"/>
  <c r="Z68" i="9"/>
  <c r="Z70" i="9" s="1"/>
  <c r="Z56" i="9"/>
  <c r="Z57" i="9" s="1"/>
  <c r="Z59" i="9" s="1"/>
  <c r="AA56" i="9"/>
  <c r="AA57" i="9" s="1"/>
  <c r="AA59" i="9" s="1"/>
  <c r="AA68" i="9"/>
  <c r="AA70" i="9" s="1"/>
  <c r="AB56" i="9"/>
  <c r="AB57" i="9" s="1"/>
  <c r="AB59" i="9" s="1"/>
  <c r="AB68" i="9"/>
  <c r="AB70" i="9" s="1"/>
  <c r="R68" i="9"/>
  <c r="R56" i="9"/>
  <c r="C39" i="9"/>
  <c r="S68" i="9"/>
  <c r="S70" i="9" s="1"/>
  <c r="S56" i="9"/>
  <c r="S57" i="9" s="1"/>
  <c r="S59" i="9" s="1"/>
  <c r="T68" i="9"/>
  <c r="T70" i="9" s="1"/>
  <c r="T56" i="9"/>
  <c r="T57" i="9" s="1"/>
  <c r="T59" i="9" s="1"/>
  <c r="D39" i="9"/>
  <c r="AD68" i="9"/>
  <c r="AD56" i="9"/>
  <c r="AE68" i="9"/>
  <c r="AE70" i="9" s="1"/>
  <c r="AE56" i="9"/>
  <c r="AE57" i="9" s="1"/>
  <c r="AE59" i="9" s="1"/>
  <c r="AF56" i="9"/>
  <c r="AF57" i="9" s="1"/>
  <c r="AF59" i="9" s="1"/>
  <c r="AF68" i="9"/>
  <c r="AF70" i="9" s="1"/>
  <c r="AH56" i="9"/>
  <c r="AH57" i="9" s="1"/>
  <c r="AH59" i="9" s="1"/>
  <c r="AH68" i="9"/>
  <c r="AH70" i="9" s="1"/>
  <c r="AJ56" i="9"/>
  <c r="AJ57" i="9" s="1"/>
  <c r="AJ59" i="9" s="1"/>
  <c r="AJ68" i="9"/>
  <c r="AJ70" i="9" s="1"/>
  <c r="AL56" i="9"/>
  <c r="AL57" i="9" s="1"/>
  <c r="AL59" i="9" s="1"/>
  <c r="AL68" i="9"/>
  <c r="AL70" i="9" s="1"/>
  <c r="AM68" i="9"/>
  <c r="AM70" i="9" s="1"/>
  <c r="AM56" i="9"/>
  <c r="AM57" i="9" s="1"/>
  <c r="AM59" i="9" s="1"/>
  <c r="AG68" i="9"/>
  <c r="AG70" i="9" s="1"/>
  <c r="AG56" i="9"/>
  <c r="AG57" i="9" s="1"/>
  <c r="AG59" i="9" s="1"/>
  <c r="AI68" i="9"/>
  <c r="AI70" i="9" s="1"/>
  <c r="AI56" i="9"/>
  <c r="AI57" i="9" s="1"/>
  <c r="AI59" i="9" s="1"/>
  <c r="AK68" i="9"/>
  <c r="AK70" i="9" s="1"/>
  <c r="AK56" i="9"/>
  <c r="AK57" i="9" s="1"/>
  <c r="AK59" i="9" s="1"/>
  <c r="AN68" i="9"/>
  <c r="AN70" i="9" s="1"/>
  <c r="AN56" i="9"/>
  <c r="AN57" i="9" s="1"/>
  <c r="AN59" i="9" s="1"/>
  <c r="B39" i="9"/>
  <c r="C40" i="9"/>
  <c r="D40" i="9"/>
  <c r="B40" i="9"/>
  <c r="I59" i="9"/>
  <c r="G22" i="4" s="1"/>
  <c r="G17" i="4"/>
  <c r="M59" i="9"/>
  <c r="K22" i="4" s="1"/>
  <c r="K17" i="4"/>
  <c r="Q57" i="9"/>
  <c r="Q70" i="9"/>
  <c r="G59" i="9"/>
  <c r="E22" i="4" s="1"/>
  <c r="E17" i="4"/>
  <c r="L59" i="9"/>
  <c r="J22" i="4" s="1"/>
  <c r="J17" i="4"/>
  <c r="O59" i="9"/>
  <c r="M22" i="4" s="1"/>
  <c r="M17" i="4"/>
  <c r="F59" i="9"/>
  <c r="D17" i="4"/>
  <c r="F70" i="9"/>
  <c r="H59" i="9"/>
  <c r="F22" i="4" s="1"/>
  <c r="F17" i="4"/>
  <c r="K59" i="9"/>
  <c r="I22" i="4" s="1"/>
  <c r="I17" i="4"/>
  <c r="P59" i="9"/>
  <c r="N22" i="4" s="1"/>
  <c r="N17" i="4"/>
  <c r="E70" i="9"/>
  <c r="E75" i="9"/>
  <c r="B68" i="9"/>
  <c r="E57" i="9"/>
  <c r="B56" i="9"/>
  <c r="C25" i="5" s="1"/>
  <c r="J59" i="9"/>
  <c r="H22" i="4" s="1"/>
  <c r="H17" i="4"/>
  <c r="N59" i="9"/>
  <c r="L22" i="4" s="1"/>
  <c r="L17" i="4"/>
  <c r="AC70" i="9"/>
  <c r="AC57" i="9"/>
  <c r="AC31" i="9"/>
  <c r="D30" i="9"/>
  <c r="E16" i="5" s="1"/>
  <c r="Q31" i="9"/>
  <c r="C30" i="9"/>
  <c r="D16" i="5" s="1"/>
  <c r="E31" i="9"/>
  <c r="B30" i="9"/>
  <c r="C16" i="5" s="1"/>
  <c r="G70" i="9"/>
  <c r="R70" i="9" l="1"/>
  <c r="C70" i="9" s="1"/>
  <c r="C68" i="9"/>
  <c r="R57" i="9"/>
  <c r="C56" i="9"/>
  <c r="D25" i="5" s="1"/>
  <c r="AD70" i="9"/>
  <c r="D70" i="9" s="1"/>
  <c r="D68" i="9"/>
  <c r="AD57" i="9"/>
  <c r="D56" i="9"/>
  <c r="E25" i="5" s="1"/>
  <c r="D22" i="4"/>
  <c r="E73" i="9"/>
  <c r="F71" i="9" s="1"/>
  <c r="B70" i="9"/>
  <c r="E72" i="9"/>
  <c r="F74" i="9" s="1"/>
  <c r="F75" i="9" s="1"/>
  <c r="F79" i="9" s="1"/>
  <c r="C17" i="4"/>
  <c r="B17" i="4" s="1"/>
  <c r="B57" i="9"/>
  <c r="C26" i="5" s="1"/>
  <c r="AC59" i="9"/>
  <c r="D31" i="9"/>
  <c r="E17" i="5" s="1"/>
  <c r="C31" i="9"/>
  <c r="D17" i="5" s="1"/>
  <c r="Q59" i="9"/>
  <c r="E59" i="9"/>
  <c r="B31" i="9"/>
  <c r="C17" i="5" s="1"/>
  <c r="C57" i="9" l="1"/>
  <c r="D26" i="5" s="1"/>
  <c r="D32" i="5" s="1"/>
  <c r="R59" i="9"/>
  <c r="C59" i="9" s="1"/>
  <c r="D27" i="5" s="1"/>
  <c r="D30" i="5" s="1"/>
  <c r="D57" i="9"/>
  <c r="E26" i="5" s="1"/>
  <c r="E32" i="5" s="1"/>
  <c r="AD59" i="9"/>
  <c r="D59" i="9" s="1"/>
  <c r="E27" i="5" s="1"/>
  <c r="E30" i="5" s="1"/>
  <c r="F72" i="9"/>
  <c r="G74" i="9" s="1"/>
  <c r="G75" i="9" s="1"/>
  <c r="G79" i="9" s="1"/>
  <c r="F73" i="9"/>
  <c r="G71" i="9" s="1"/>
  <c r="E18" i="5"/>
  <c r="D18" i="5"/>
  <c r="E60" i="9"/>
  <c r="F60" i="9" s="1"/>
  <c r="G60" i="9" s="1"/>
  <c r="H60" i="9" s="1"/>
  <c r="I60" i="9" s="1"/>
  <c r="J60" i="9" s="1"/>
  <c r="K60" i="9" s="1"/>
  <c r="L60" i="9" s="1"/>
  <c r="M60" i="9" s="1"/>
  <c r="N60" i="9" s="1"/>
  <c r="O60" i="9" s="1"/>
  <c r="P60" i="9" s="1"/>
  <c r="B59" i="9"/>
  <c r="C27" i="5" s="1"/>
  <c r="C30" i="5" s="1"/>
  <c r="C31" i="5" s="1"/>
  <c r="E79" i="9"/>
  <c r="E80" i="9" s="1"/>
  <c r="C22" i="4"/>
  <c r="B22" i="4" s="1"/>
  <c r="C18" i="5"/>
  <c r="C32" i="5"/>
  <c r="G72" i="9" l="1"/>
  <c r="H74" i="9" s="1"/>
  <c r="H75" i="9" s="1"/>
  <c r="H79" i="9" s="1"/>
  <c r="G73" i="9"/>
  <c r="H71" i="9" s="1"/>
  <c r="B60" i="9"/>
  <c r="Q60" i="9"/>
  <c r="R60" i="9" s="1"/>
  <c r="S60" i="9" s="1"/>
  <c r="T60" i="9" s="1"/>
  <c r="U60" i="9" s="1"/>
  <c r="V60" i="9" s="1"/>
  <c r="W60" i="9" s="1"/>
  <c r="X60" i="9" s="1"/>
  <c r="Y60" i="9" s="1"/>
  <c r="Z60" i="9" s="1"/>
  <c r="AA60" i="9" s="1"/>
  <c r="AB60" i="9" s="1"/>
  <c r="D31" i="5"/>
  <c r="F80" i="9"/>
  <c r="G80" i="9" s="1"/>
  <c r="E31" i="5" l="1"/>
  <c r="C35" i="5"/>
  <c r="H80" i="9"/>
  <c r="H72" i="9"/>
  <c r="I74" i="9" s="1"/>
  <c r="I75" i="9" s="1"/>
  <c r="I79" i="9" s="1"/>
  <c r="H73" i="9"/>
  <c r="I71" i="9" s="1"/>
  <c r="AC60" i="9"/>
  <c r="AD60" i="9" s="1"/>
  <c r="AE60" i="9" s="1"/>
  <c r="AF60" i="9" s="1"/>
  <c r="AG60" i="9" s="1"/>
  <c r="AH60" i="9" s="1"/>
  <c r="AI60" i="9" s="1"/>
  <c r="AJ60" i="9" s="1"/>
  <c r="AK60" i="9" s="1"/>
  <c r="AL60" i="9" s="1"/>
  <c r="AM60" i="9" s="1"/>
  <c r="AN60" i="9" s="1"/>
  <c r="D60" i="9" s="1"/>
  <c r="C60" i="9"/>
  <c r="I80" i="9" l="1"/>
  <c r="I73" i="9"/>
  <c r="J71" i="9" s="1"/>
  <c r="I72" i="9"/>
  <c r="J74" i="9" s="1"/>
  <c r="J75" i="9" s="1"/>
  <c r="J79" i="9" s="1"/>
  <c r="J80" i="9" l="1"/>
  <c r="J72" i="9"/>
  <c r="K74" i="9" s="1"/>
  <c r="K75" i="9" s="1"/>
  <c r="K79" i="9" s="1"/>
  <c r="J73" i="9"/>
  <c r="K71" i="9" s="1"/>
  <c r="K80" i="9" l="1"/>
  <c r="K72" i="9"/>
  <c r="L74" i="9" s="1"/>
  <c r="L75" i="9" s="1"/>
  <c r="L79" i="9" s="1"/>
  <c r="L80" i="9" s="1"/>
  <c r="K73" i="9"/>
  <c r="L71" i="9" s="1"/>
  <c r="L72" i="9" l="1"/>
  <c r="M74" i="9" s="1"/>
  <c r="L73" i="9"/>
  <c r="M71" i="9" s="1"/>
  <c r="M72" i="9" l="1"/>
  <c r="M73" i="9"/>
  <c r="N71" i="9" s="1"/>
  <c r="M75" i="9"/>
  <c r="M79" i="9" s="1"/>
  <c r="M80" i="9" s="1"/>
  <c r="N72" i="9" l="1"/>
  <c r="N73" i="9"/>
  <c r="O71" i="9" s="1"/>
  <c r="N74" i="9"/>
  <c r="O72" i="9" l="1"/>
  <c r="O73" i="9"/>
  <c r="P71" i="9" s="1"/>
  <c r="N75" i="9"/>
  <c r="O74" i="9"/>
  <c r="O75" i="9" s="1"/>
  <c r="O79" i="9" s="1"/>
  <c r="P72" i="9" l="1"/>
  <c r="P73" i="9"/>
  <c r="N79" i="9"/>
  <c r="N80" i="9" s="1"/>
  <c r="O80" i="9" s="1"/>
  <c r="P74" i="9"/>
  <c r="Q71" i="9" l="1"/>
  <c r="B73" i="9"/>
  <c r="C39" i="5" s="1"/>
  <c r="B74" i="9"/>
  <c r="P75" i="9"/>
  <c r="Q74" i="9"/>
  <c r="Q75" i="9" s="1"/>
  <c r="Q79" i="9" s="1"/>
  <c r="B72" i="9"/>
  <c r="P79" i="9" l="1"/>
  <c r="B75" i="9"/>
  <c r="Q73" i="9"/>
  <c r="R71" i="9" s="1"/>
  <c r="Q72" i="9"/>
  <c r="R74" i="9" s="1"/>
  <c r="R75" i="9" s="1"/>
  <c r="R79" i="9" s="1"/>
  <c r="P80" i="9" l="1"/>
  <c r="B79" i="9"/>
  <c r="R72" i="9"/>
  <c r="S74" i="9" s="1"/>
  <c r="S75" i="9" s="1"/>
  <c r="S79" i="9" s="1"/>
  <c r="R73" i="9"/>
  <c r="S71" i="9" s="1"/>
  <c r="B80" i="9" l="1"/>
  <c r="Q80" i="9"/>
  <c r="R80" i="9" s="1"/>
  <c r="S80" i="9" s="1"/>
  <c r="C38" i="5"/>
  <c r="S72" i="9"/>
  <c r="T74" i="9" s="1"/>
  <c r="T75" i="9" s="1"/>
  <c r="T79" i="9" s="1"/>
  <c r="S73" i="9"/>
  <c r="T71" i="9" s="1"/>
  <c r="T80" i="9" l="1"/>
  <c r="T72" i="9"/>
  <c r="U74" i="9" s="1"/>
  <c r="U75" i="9" s="1"/>
  <c r="U79" i="9" s="1"/>
  <c r="T73" i="9"/>
  <c r="U71" i="9" s="1"/>
  <c r="U80" i="9" l="1"/>
  <c r="U73" i="9"/>
  <c r="V71" i="9" s="1"/>
  <c r="U72" i="9"/>
  <c r="V74" i="9" s="1"/>
  <c r="V75" i="9" s="1"/>
  <c r="V79" i="9" s="1"/>
  <c r="V80" i="9" l="1"/>
  <c r="V73" i="9"/>
  <c r="W71" i="9" s="1"/>
  <c r="V72" i="9"/>
  <c r="W74" i="9" s="1"/>
  <c r="W75" i="9" s="1"/>
  <c r="W79" i="9" s="1"/>
  <c r="W80" i="9" l="1"/>
  <c r="W73" i="9"/>
  <c r="X71" i="9" s="1"/>
  <c r="W72" i="9"/>
  <c r="X74" i="9" s="1"/>
  <c r="X75" i="9" s="1"/>
  <c r="X79" i="9" s="1"/>
  <c r="X80" i="9" l="1"/>
  <c r="X72" i="9"/>
  <c r="Y74" i="9" s="1"/>
  <c r="X73" i="9"/>
  <c r="Y71" i="9" s="1"/>
  <c r="Y72" i="9" l="1"/>
  <c r="Y73" i="9"/>
  <c r="Z71" i="9" s="1"/>
  <c r="Y75" i="9"/>
  <c r="Y79" i="9" s="1"/>
  <c r="Y80" i="9" s="1"/>
  <c r="Z73" i="9" l="1"/>
  <c r="AA71" i="9" s="1"/>
  <c r="Z72" i="9"/>
  <c r="AA74" i="9" s="1"/>
  <c r="Z74" i="9"/>
  <c r="Z75" i="9" s="1"/>
  <c r="Z79" i="9" s="1"/>
  <c r="Z80" i="9" s="1"/>
  <c r="AA73" i="9" l="1"/>
  <c r="AB71" i="9" s="1"/>
  <c r="AA72" i="9"/>
  <c r="AA75" i="9"/>
  <c r="AB73" i="9" l="1"/>
  <c r="AB72" i="9"/>
  <c r="AB74" i="9"/>
  <c r="AA79" i="9"/>
  <c r="AA80" i="9" s="1"/>
  <c r="AC74" i="9" l="1"/>
  <c r="AC75" i="9" s="1"/>
  <c r="AC79" i="9" s="1"/>
  <c r="C72" i="9"/>
  <c r="AC71" i="9"/>
  <c r="C73" i="9"/>
  <c r="D39" i="5" s="1"/>
  <c r="C74" i="9"/>
  <c r="AB75" i="9"/>
  <c r="AC72" i="9" l="1"/>
  <c r="AD74" i="9" s="1"/>
  <c r="AD75" i="9" s="1"/>
  <c r="AD79" i="9" s="1"/>
  <c r="AC73" i="9"/>
  <c r="AD71" i="9" s="1"/>
  <c r="C75" i="9"/>
  <c r="AB79" i="9"/>
  <c r="AD72" i="9" l="1"/>
  <c r="AE74" i="9" s="1"/>
  <c r="AE75" i="9" s="1"/>
  <c r="AE79" i="9" s="1"/>
  <c r="AD73" i="9"/>
  <c r="AE71" i="9" s="1"/>
  <c r="AB80" i="9"/>
  <c r="C79" i="9"/>
  <c r="AE73" i="9" l="1"/>
  <c r="AF71" i="9" s="1"/>
  <c r="AE72" i="9"/>
  <c r="AF74" i="9" s="1"/>
  <c r="AF75" i="9" s="1"/>
  <c r="AF79" i="9" s="1"/>
  <c r="C80" i="9"/>
  <c r="D38" i="5"/>
  <c r="AC80" i="9"/>
  <c r="AD80" i="9" s="1"/>
  <c r="AE80" i="9" s="1"/>
  <c r="AF73" i="9" l="1"/>
  <c r="AG71" i="9" s="1"/>
  <c r="AF72" i="9"/>
  <c r="AG74" i="9" s="1"/>
  <c r="AG75" i="9" s="1"/>
  <c r="AG79" i="9" s="1"/>
  <c r="AF80" i="9"/>
  <c r="AG80" i="9" l="1"/>
  <c r="AG73" i="9"/>
  <c r="AH71" i="9" s="1"/>
  <c r="AG72" i="9"/>
  <c r="AH74" i="9" s="1"/>
  <c r="AH75" i="9" s="1"/>
  <c r="AH79" i="9" s="1"/>
  <c r="AH80" i="9" l="1"/>
  <c r="AH73" i="9"/>
  <c r="AI71" i="9" s="1"/>
  <c r="AH72" i="9"/>
  <c r="AI74" i="9" s="1"/>
  <c r="AI75" i="9" s="1"/>
  <c r="AI79" i="9" s="1"/>
  <c r="AI80" i="9" l="1"/>
  <c r="AI72" i="9"/>
  <c r="AJ74" i="9" s="1"/>
  <c r="AJ75" i="9" s="1"/>
  <c r="AJ79" i="9" s="1"/>
  <c r="AJ80" i="9" s="1"/>
  <c r="AI73" i="9"/>
  <c r="AJ71" i="9" s="1"/>
  <c r="AJ73" i="9" l="1"/>
  <c r="AK71" i="9" s="1"/>
  <c r="AJ72" i="9"/>
  <c r="AK74" i="9" s="1"/>
  <c r="AK75" i="9" s="1"/>
  <c r="AK79" i="9" s="1"/>
  <c r="AK80" i="9" s="1"/>
  <c r="AK72" i="9" l="1"/>
  <c r="AL74" i="9" s="1"/>
  <c r="AK73" i="9"/>
  <c r="AL71" i="9" s="1"/>
  <c r="AL75" i="9" l="1"/>
  <c r="AL73" i="9"/>
  <c r="AM71" i="9" s="1"/>
  <c r="AL72" i="9"/>
  <c r="AM74" i="9" s="1"/>
  <c r="AM75" i="9" s="1"/>
  <c r="AM79" i="9" s="1"/>
  <c r="AL79" i="9" l="1"/>
  <c r="AL80" i="9" s="1"/>
  <c r="AM80" i="9" s="1"/>
  <c r="AM72" i="9"/>
  <c r="AN74" i="9" s="1"/>
  <c r="AM73" i="9"/>
  <c r="AN71" i="9" s="1"/>
  <c r="D74" i="9" l="1"/>
  <c r="AN75" i="9"/>
  <c r="AN72" i="9"/>
  <c r="D72" i="9" s="1"/>
  <c r="AN73" i="9"/>
  <c r="D73" i="9" s="1"/>
  <c r="E39" i="5" s="1"/>
  <c r="D75" i="9" l="1"/>
  <c r="AN79" i="9"/>
  <c r="AN80" i="9" l="1"/>
  <c r="D79" i="9"/>
  <c r="D80" i="9" l="1"/>
  <c r="E38" i="5"/>
  <c r="C36" i="5"/>
  <c r="C37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<sst xmlns="http://schemas.openxmlformats.org/spreadsheetml/2006/main" count="699" uniqueCount="475">
  <si>
    <t>Rubrique</t>
  </si>
  <si>
    <t>Contenu</t>
  </si>
  <si>
    <t>Objet</t>
  </si>
  <si>
    <t>Budget, plan financier, prix et marges (2 FINANCE/PREVISIONS/LISEZ-MOI.md).</t>
  </si>
  <si>
    <t>État du fichier</t>
  </si>
  <si>
    <t>Onglets</t>
  </si>
  <si>
    <t>Offres modélisées</t>
  </si>
  <si>
    <t>Les trois soirées de l'offre A (Premier soir, Le Voyage, La Grande Nuit) et la privatisation de l'offre B avec un chef confirmé pour 10 convives, d'après 5 PRODUIT (offre, pricing, pilotes). Les prix y sont des propositions (P), non validées par l'équipe.</t>
  </si>
  <si>
    <t>Prévision et résultat</t>
  </si>
  <si>
    <t>Une prévision n'est pas un résultat : la comparer au réel dès qu'il est connu (onglet « Prévu et réel »), en citant la pièce du réel. Un objectif de chiffre d'affaires n'est pas une facture.</t>
  </si>
  <si>
    <t>Simplifications</t>
  </si>
  <si>
    <t>Prix affichés TTC convertis en HT avec un taux de TVA moyen (H). Ni impôt sur les sociétés, ni délais de paiement. Les acomptes et remboursements (seuil de 70 % à J-14) ne sont pas modélisés.</t>
  </si>
  <si>
    <t>Légende des cellules</t>
  </si>
  <si>
    <t>Cellule jaune, texte bleu : donnée à saisir. Cellule grise : formule, ne pas modifier. Texte vert : valeur reprise d'un autre onglet. Ligne verte « Exemple » : montre le format attendu, à remplacer ou supprimer.</t>
  </si>
  <si>
    <t>Colonne « Nature »</t>
  </si>
  <si>
    <t>F = fait constaté dans une pièce citée · I = inférence · P = proposition · H = hypothèse à valider (voir RULES.md). Si la pièce ne dit pas le chiffre : « non établi par les sources ».</t>
  </si>
  <si>
    <t>Colonne « Source »</t>
  </si>
  <si>
    <t>La pièce et l'endroit exact (ex. : S04, § Contexte, ou le nom de la note du dépôt). Signaler un chiffre tiré d'un argumentaire (plan d'affaires, présentation) plutôt que d'un document de gestion (facture, relevé, procès-verbal).</t>
  </si>
  <si>
    <t>Unités</t>
  </si>
  <si>
    <t>Montants en euros hors taxes, sauf mention contraire. Pourcentages saisis en % (ex. : 15 %).</t>
  </si>
  <si>
    <t>Cadre du projet</t>
  </si>
  <si>
    <t>Références</t>
  </si>
  <si>
    <t>2 FINANCE/PREVISIONS/LISEZ-MOI.md · 2 FINANCE/AGENT.md · RULES.md · 5 PRODUIT (offre, pricing, pilotes) · 3 MARKETING/new project (concurrence, communication)</t>
  </si>
  <si>
    <t>Prix et marges d'une soirée</t>
  </si>
  <si>
    <t>Une offre par colonne. Lignes grises calculées. Montants HT sauf mention TTC.</t>
  </si>
  <si>
    <t>Valeurs du 27/10/2026 : prix et capacités proposés par le Produit (P) ; coûts en hypothèses temporaires (H), à remplacer par des devis.</t>
  </si>
  <si>
    <t>Poste</t>
  </si>
  <si>
    <t>Unité</t>
  </si>
  <si>
    <t>Premier soir (offre A)</t>
  </si>
  <si>
    <t>Le Voyage (offre A)</t>
  </si>
  <si>
    <t>La Grande Nuit (offre A)</t>
  </si>
  <si>
    <t>Privatisation, chef confirmé (offre B)</t>
  </si>
  <si>
    <t>Nature</t>
  </si>
  <si>
    <t>Source</t>
  </si>
  <si>
    <t>Fourni par</t>
  </si>
  <si>
    <t>1. Recettes</t>
  </si>
  <si>
    <t>Capacité</t>
  </si>
  <si>
    <t>couverts</t>
  </si>
  <si>
    <t>Taux de remplissage</t>
  </si>
  <si>
    <t>% des couverts</t>
  </si>
  <si>
    <t>Convives payants</t>
  </si>
  <si>
    <t>personnes</t>
  </si>
  <si>
    <t>Prix affiché TTC par convive</t>
  </si>
  <si>
    <t>€ TTC par personne</t>
  </si>
  <si>
    <t>Forfait affiché TTC par soirée (privatisation)</t>
  </si>
  <si>
    <t>€ TTC</t>
  </si>
  <si>
    <t>Taux de TVA moyen</t>
  </si>
  <si>
    <t>%</t>
  </si>
  <si>
    <t>Prix HT par convive</t>
  </si>
  <si>
    <t>€ HT par personne</t>
  </si>
  <si>
    <t>Forfait HT</t>
  </si>
  <si>
    <t>€ HT</t>
  </si>
  <si>
    <t>Minimum facturé (0 si aucun)</t>
  </si>
  <si>
    <t>Revenus complémentaires (partenariats, options)</t>
  </si>
  <si>
    <t>Chiffre d'affaires de la soirée</t>
  </si>
  <si>
    <t>2. Coûts directs de la soirée</t>
  </si>
  <si>
    <t>Mise à disposition du lieu (restaurateur)</t>
  </si>
  <si>
    <t>Chef : cachet et déplacement (part fixe)</t>
  </si>
  <si>
    <t>Chef : part du chiffre d'affaires</t>
  </si>
  <si>
    <t>% du CA</t>
  </si>
  <si>
    <t>Rémunération du chef</t>
  </si>
  <si>
    <t>Matières premières par convive</t>
  </si>
  <si>
    <t>Vins ou jus d'accord par convive</t>
  </si>
  <si>
    <t>Matières et boissons</t>
  </si>
  <si>
    <t>Ménage et remise en état du lieu</t>
  </si>
  <si>
    <t>Assurance de la soirée</t>
  </si>
  <si>
    <t>Décor, souvenir numéroté, petit matériel</t>
  </si>
  <si>
    <t>Frais de paiement</t>
  </si>
  <si>
    <t>Commission d'apporteur (concierge, agence)</t>
  </si>
  <si>
    <t>Frais et commissions</t>
  </si>
  <si>
    <t>Total des coûts directs</t>
  </si>
  <si>
    <t>3. Marge, partage de la valeur et seuils</t>
  </si>
  <si>
    <t>Marge sur coûts directs</t>
  </si>
  <si>
    <t>Taux de marge</t>
  </si>
  <si>
    <t>Marge par convive payant</t>
  </si>
  <si>
    <t>Part du lieu</t>
  </si>
  <si>
    <t>Part du chef</t>
  </si>
  <si>
    <t>Part de la société (marge)</t>
  </si>
  <si>
    <t>Prix plancher TTC par convive (marge nulle, hors minimum)</t>
  </si>
  <si>
    <t>Taux de remplissage d'équilibre au prix affiché</t>
  </si>
  <si>
    <t>P</t>
  </si>
  <si>
    <t>Produit</t>
  </si>
  <si>
    <t>H</t>
  </si>
  <si>
    <t>Finance</t>
  </si>
  <si>
    <t>5 PRODUIT/Fou d'un soir le pricing.md (@Fréd, 27/10/2026), prix des soirées et grille de privatisation (prix TTC tout compris)</t>
  </si>
  <si>
    <t>5 PRODUIT/Fou d'un soir le pricing.md (@Fréd, 27/10/2026), forfait de privatisation chef confirmé ; H : forfait supposé TTC comme les prix de l'offre A</t>
  </si>
  <si>
    <t>Taux mixte (le pricing le signale « à vérifier avec la finance ») : 10 % sur la restauration, 20 % sur les boissons alcoolisées (règle fiscale à confirmer par un expert-comptable) ; H : boissons alcoolisées environ 20 % du prix</t>
  </si>
  <si>
    <t>Aucun minimum prévu par le Produit</t>
  </si>
  <si>
    <t>Non établi par les sources : partenariats vins et champagne envisagés, aucun accord</t>
  </si>
  <si>
    <t>Ventes</t>
  </si>
  <si>
    <t>F location de restaurants à Paris de 35 à 620 €/h, moyenne environ 373 à 386 €/h (Giggster) ; privatisation « à partir de 2 916 € » (Privateaser), cités dans 3 MARKETING/old project/MARCHE. La cible du Produit (11 à 12 % du prix HT) donnerait 750 à 1 350 € : écart signalé</t>
  </si>
  <si>
    <t>Calé sur la répartition cible du Produit (chef 15 / 22 / 30 % du prix HT, P, 5 PRODUIT/Fou d'un soir le pricing.md (@Fréd, 27/10/2026)) ; F chef privé 500 à 1 400 € par jour hors matières (Chefs Talents 2026, cité dans 3 MARKETING/new project/3 Concurrence)</t>
  </si>
  <si>
    <t>Rémunération du chef supposée entièrement fixe ; une part variable reste possible (descriptif du projet 3, § 6)</t>
  </si>
  <si>
    <t>Calé sur la cible du Produit (matières et vins 33 / 30 / 27 % du prix HT, P) ; F ratio matières et boissons idéalement sous 35 % (Keobiz, cité dans le descriptif du projet 3)</t>
  </si>
  <si>
    <t>Opérations</t>
  </si>
  <si>
    <t>Même source ; accord mets-jus au même coût que l'accord mets-vins (pricing : « coût réel reste à chiffrer »)</t>
  </si>
  <si>
    <t>Hypothèse temporaire ; cible « frais » du Produit 8 / 6 / 5 % du prix HT</t>
  </si>
  <si>
    <t>Hypothèse temporaire, devis d'assureur à obtenir</t>
  </si>
  <si>
    <t>Juridique</t>
  </si>
  <si>
    <t>Hypothèse temporaire (menu numéroté, souvenir, mise en scène)</t>
  </si>
  <si>
    <t>F Stripe 1,5 % + 0,25 € par carte européenne (stripe.com/fr/pricing, consulté le 27/10/2026), arrondi à 1,6 % ; privatisation réglée par virement (H)</t>
  </si>
  <si>
    <t>F honoraires d'agence 10 à 20 % du budget (BlackTrombone 2026, cité dans le descriptif du projet 3) ; part des ventes via les concierges à mesurer pendant les pilotes</t>
  </si>
  <si>
    <t>Marketing</t>
  </si>
  <si>
    <t>Total 12 mois</t>
  </si>
  <si>
    <t>Premier soir</t>
  </si>
  <si>
    <t>Le Voyage</t>
  </si>
  <si>
    <t>La Grande Nuit</t>
  </si>
  <si>
    <t>Nombre total de soirées</t>
  </si>
  <si>
    <t>Chiffre d'affaires</t>
  </si>
  <si>
    <t>Locaux et bureaux</t>
  </si>
  <si>
    <t>Marketing et communication</t>
  </si>
  <si>
    <t>Honoraires (comptable, juridique)</t>
  </si>
  <si>
    <t>Banque</t>
  </si>
  <si>
    <t>Déplacements</t>
  </si>
  <si>
    <t>Autres charges (création de la société)</t>
  </si>
  <si>
    <t>Résultat d'exploitation du mois</t>
  </si>
  <si>
    <t>Résultat cumulé</t>
  </si>
  <si>
    <t>F</t>
  </si>
  <si>
    <t>Indicateur</t>
  </si>
  <si>
    <t>Nombre de soirées</t>
  </si>
  <si>
    <t>Prévu</t>
  </si>
  <si>
    <t>Réel</t>
  </si>
  <si>
    <t>Écart (réel − prévu)</t>
  </si>
  <si>
    <t>Résultat d'exploitation</t>
  </si>
  <si>
    <t>Pièces du réel</t>
  </si>
  <si>
    <t>Pièce justifiant le réel (comptabilité, relevé, factures)</t>
  </si>
  <si>
    <t>Année 1</t>
  </si>
  <si>
    <t>Année 2</t>
  </si>
  <si>
    <t>Année 3</t>
  </si>
  <si>
    <t>Activité</t>
  </si>
  <si>
    <t>soirées par an</t>
  </si>
  <si>
    <t>Compte de résultat simplifié</t>
  </si>
  <si>
    <t>€</t>
  </si>
  <si>
    <t>Flux cumulé</t>
  </si>
  <si>
    <t>Seuil de rentabilité</t>
  </si>
  <si>
    <t>Total ressources humaines</t>
  </si>
  <si>
    <t>Total des frais généraux</t>
  </si>
  <si>
    <t>Taux de charges sociales patronales</t>
  </si>
  <si>
    <t>H : ordre de grandeur hors allègements (la réduction générale abaisse fortement ce taux près du SMIC) ; à faire confirmer par l'expert-comptable</t>
  </si>
  <si>
    <t>Salaire brut mensuel par personne (€)</t>
  </si>
  <si>
    <t>Coût chargé année 2 (€)</t>
  </si>
  <si>
    <t>Coût chargé année 3 (€)</t>
  </si>
  <si>
    <t>Fondateurs (rémunération)</t>
  </si>
  <si>
    <t>H : deux fondateurs rémunérés à partir de l'année 3 ; montant à décider par la Direction</t>
  </si>
  <si>
    <t>Coordinateur ou coordinatrice d'événements</t>
  </si>
  <si>
    <t>Commercial ou commerciale entreprises</t>
  </si>
  <si>
    <t>Logiciels et outils (site, billetterie, fichier clients)</t>
  </si>
  <si>
    <t>Frais généraux</t>
  </si>
  <si>
    <t>Mis à jour le 28/10/2026 : frais généraux divisés en ressources humaines (fondateurs, salariés, charges sociales, stagiaires et indépendants) et frais matériels et de fonctionnement (locaux, outils, marketing, assurance, honoraires, banque, déplacements, autres). Année 1 : budget mensuel. Années 2 et 3 : onglet « Frais généraux 3 ans ».</t>
  </si>
  <si>
    <t>Heures par personne</t>
  </si>
  <si>
    <t>Coût horaire chargé (€)</t>
  </si>
  <si>
    <t>Privatisation (table de 10)</t>
  </si>
  <si>
    <t>Poste de salle (1 = oui)</t>
  </si>
  <si>
    <t>Source et nature</t>
  </si>
  <si>
    <t>Brigade (second, commis)</t>
  </si>
  <si>
    <t>Effectifs P (Opérations). H : 9 h (mise en place et service) à 35 €/h, coût d'un extra retenu dans le descriptif du projet 3 (H), à confirmer par devis</t>
  </si>
  <si>
    <t>Maître d'hôtel</t>
  </si>
  <si>
    <t>Effectifs P (Opérations). H : 8 h à 45 €/h</t>
  </si>
  <si>
    <t>Serveurs (base)</t>
  </si>
  <si>
    <t>Effectifs P (Opérations : 1 serveur pour 7 couverts). H : 7 h à 35 €/h</t>
  </si>
  <si>
    <t>Serveur de réserve</t>
  </si>
  <si>
    <t>Effectifs P (Opérations : 1 en criticité C2 et C3). H : 7 h à 35 €/h</t>
  </si>
  <si>
    <t>Sommelier invité</t>
  </si>
  <si>
    <t>Effectifs P (Opérations). H : 7 h à 60 €/h, cachet à négocier</t>
  </si>
  <si>
    <t>Aide sommelier</t>
  </si>
  <si>
    <t>Effectifs P (Opérations : à partir de 20 couverts). H : 7 h à 38 €/h</t>
  </si>
  <si>
    <t>Plongeurs</t>
  </si>
  <si>
    <t>Effectifs P (Opérations). H : 7 h à 30 €/h</t>
  </si>
  <si>
    <t>Responsable de production (nous)</t>
  </si>
  <si>
    <t>Effectifs P (Opérations). H : assuré par un fondateur, non rémunéré la première année (coût dans les frais généraux)</t>
  </si>
  <si>
    <t>Interlocuteur client (Ventes)</t>
  </si>
  <si>
    <t>Effectifs P (Opérations : en C2 et C3). H : assuré par un fondateur, non rémunéré la première année</t>
  </si>
  <si>
    <t>Chef invité : 1 par soirée, compté à part (cachet, Prix et marges ligne 20)</t>
  </si>
  <si>
    <t>Personnes mobilisées, hors chef</t>
  </si>
  <si>
    <t>dont postes de salle</t>
  </si>
  <si>
    <t>Heures de travail payées</t>
  </si>
  <si>
    <t>Équipe de service, brigade, sommelier et plonge</t>
  </si>
  <si>
    <t>Staffing</t>
  </si>
  <si>
    <t>Mis à jour le 28/10/2026 : le coût de l'équipe de chaque soirée (Prix et marges, ligne 26) est calculé dans l'onglet « Staffing » à partir des effectifs proposés par les Opérations (6 OPERATIONS/PRODUCTION/2026 1028 Calculateur de staffing par événement.xlsx et 2026 1028 Typologie des événements, process et staffing.md), multipliés par des heures et des coûts horaires en hypothèse (H). Le choix « service de salle fourni par le restaurant » y est modifiable.</t>
  </si>
  <si>
    <t>Staffing d'une soirée : scénario S0 (pilotes) et scénario S3 (soirées récurrentes)</t>
  </si>
  <si>
    <t>Effectifs repris des Opérations (propositions). Heures et coûts horaires : hypothèses temporaires (H), aucun devis à ce jour.</t>
  </si>
  <si>
    <t>Personnel de la soirée (salle, sommellerie, brigade, plonge) : toujours fourni et payé par Fou d'un soir.</t>
  </si>
  <si>
    <t>Orientation du responsable Opérations du 28/10/2026, à porter au registre des décisions par la Direction (6 OPERATIONS/PRODUCTION/2026 1028 Scénarios de staffing - leviers de coût.md, § 3). Remplace l'option « salle fournie par le restaurant ».</t>
  </si>
  <si>
    <t>Rôle (scénario S0 : équipe complète, criticité C2)</t>
  </si>
  <si>
    <t>Coût de l'équipe S0, pilotes (€ HT)</t>
  </si>
  <si>
    <t>Source S0 : 6 OPERATIONS/PRODUCTION/2026 1028 Calculateur de staffing par événement.xlsx (Opérations, 28/10/2026). Source S3 : 6 OPERATIONS/PRODUCTION/2026 1028 Scénarios de staffing - leviers de coût.md (§ 4 et 5).</t>
  </si>
  <si>
    <t>Rôle (scénario S3 : soirées récurrentes optimisées)</t>
  </si>
  <si>
    <t>P (Opérations) : inchangé</t>
  </si>
  <si>
    <t>P (Opérations), levier L2 : 1 serveur pour 9 couverts (24 couverts : 3 au lieu de 4 ; 20 couverts : 3, inchangé)</t>
  </si>
  <si>
    <t>P (Opérations), levier L1 : soirée récurrente classée C1, pas de serveur de réserve. Privatisation : I (Finance), maintenue en C2, contrat client</t>
  </si>
  <si>
    <t>P (Opérations) : aide sommelier maintenu (levier L4 écarté, § 6.3)</t>
  </si>
  <si>
    <t>P (Opérations), levier L3 : vaisselle sale reprise par le loueur, −1 plongeur (réponse d'Options attendue). Privatisation : I (Finance), 1 plongeur maintenu</t>
  </si>
  <si>
    <t>P (Opérations) : fondateur, non rémunéré la première année</t>
  </si>
  <si>
    <t>P (Opérations) : pas nécessaire en C1. Privatisation maintenue (contrat client). Coût nul</t>
  </si>
  <si>
    <t>Personnes mobilisées S3, hors chef</t>
  </si>
  <si>
    <t>Coût de l'équipe S3, soirées récurrentes (€ HT)</t>
  </si>
  <si>
    <t>Surcoût d'une soirée pilote (S0 − S3)</t>
  </si>
  <si>
    <t>Le coût de référence d'une soirée (Prix et marges, ligne 26) est celui de S3. Les deux pilotes (Premier soir et La Grande Nuit) gardent l'équipe complète S0 : leur surcoût (ligne 40) est ajouté au budget comme un coût de test (Budget mensuel, lignes 37 à 40).</t>
  </si>
  <si>
    <t>Non chiffré : le levier L3 rend la location de vaisselle un peu plus chère (montant attendu du loueur Options).</t>
  </si>
  <si>
    <t>Idem</t>
  </si>
  <si>
    <t>Scénario S3</t>
  </si>
  <si>
    <t>Mis à jour le 28/10/2026 : le coût de l'équipe d'une soirée (Prix et marges, ligne 26) suit le scénario S3 des Opérations pour les soirées récurrentes (6 OPERATIONS/PRODUCTION/2026 1028 Scénarios de staffing - leviers de coût.md). Les deux pilotes gardent l'équipe complète (S0) : leur surcoût est ajouté aux coûts directs du budget (Budget mensuel, lignes 37 à 40). Le personnel est toujours fourni par Fou d'un soir.</t>
  </si>
  <si>
    <t>Cotisation foncière des entreprises (CFE)</t>
  </si>
  <si>
    <t>Effet de la TVA sur la trésorerie. Le compte de résultat reste hors taxes : la TVA ne change ni la marge ni le résultat, seulement le calendrier des encaissements et des décaissements.</t>
  </si>
  <si>
    <t>Paramètre</t>
  </si>
  <si>
    <t>Choix retenu</t>
  </si>
  <si>
    <t>Source et explication</t>
  </si>
  <si>
    <t>Régime</t>
  </si>
  <si>
    <t>Réel normal, déclaration mensuelle</t>
  </si>
  <si>
    <t>H : la TVA nette d'un mois est reversée à l'État le mois suivant ; à confirmer par l'expert-comptable (donnée n° 6)</t>
  </si>
  <si>
    <t>Crédit de TVA</t>
  </si>
  <si>
    <t>Reporté sur les mois suivants</t>
  </si>
  <si>
    <t>H prudente : aucune demande de remboursement. Un remboursement du crédit peut être demandé ; il améliorerait la trésorerie ; à confirmer par l'expert-comptable (donnée n° 6)</t>
  </si>
  <si>
    <t>TVA collectée sur les ventes</t>
  </si>
  <si>
    <t>Taux moyen de chaque offre (Prix et marges, ligne 12)</t>
  </si>
  <si>
    <t>H : 12 % (10 % sur la restauration, 20 % sur les boissons alcoolisées), déjà utilisé pour passer du TTC au HT</t>
  </si>
  <si>
    <t>Coût d'une soirée</t>
  </si>
  <si>
    <t>Ligne de Prix et marges</t>
  </si>
  <si>
    <t>Taux de TVA déductible</t>
  </si>
  <si>
    <t>Lieu (mise à disposition)</t>
  </si>
  <si>
    <t>H : location facturée avec TVA à 20 %</t>
  </si>
  <si>
    <t>Chef (cachet)</t>
  </si>
  <si>
    <t>H prudente : chef indépendant en franchise de TVA, qui ne facture pas de TVA</t>
  </si>
  <si>
    <t>Matières premières</t>
  </si>
  <si>
    <t>23 × convives</t>
  </si>
  <si>
    <t>H : taux réduit des produits alimentaires (5,5 %)</t>
  </si>
  <si>
    <t>Boissons (vins, alcools)</t>
  </si>
  <si>
    <t>24 × convives</t>
  </si>
  <si>
    <t>H : boissons alcoolisées à 20 %</t>
  </si>
  <si>
    <t>Équipe (extras, brigade, plonge)</t>
  </si>
  <si>
    <t>26 et surcoût des pilotes</t>
  </si>
  <si>
    <t>H : extras facturés par une agence avec TVA à 20 % ; 0 % s'ils étaient salariés en direct</t>
  </si>
  <si>
    <t>Ménage</t>
  </si>
  <si>
    <t>H : assurance exonérée de TVA</t>
  </si>
  <si>
    <t>Décor et fleurs</t>
  </si>
  <si>
    <t>30 × chiffre d'affaires</t>
  </si>
  <si>
    <t>H : services financiers exonérés de TVA</t>
  </si>
  <si>
    <t>Commission d'apporteur</t>
  </si>
  <si>
    <t>31 × chiffre d'affaires</t>
  </si>
  <si>
    <t>H : 0 % si le photographe est en franchise de TVA</t>
  </si>
  <si>
    <t>Par soirée</t>
  </si>
  <si>
    <t>Privatisation</t>
  </si>
  <si>
    <t>Chiffre d'affaires HT</t>
  </si>
  <si>
    <t>Taux de TVA collectée</t>
  </si>
  <si>
    <t>TVA collectée</t>
  </si>
  <si>
    <t>TVA déductible sur les coûts directs</t>
  </si>
  <si>
    <t>TVA nette de la soirée</t>
  </si>
  <si>
    <t>Frais généraux et investissements</t>
  </si>
  <si>
    <t>Ligne du budget</t>
  </si>
  <si>
    <t>Locaux</t>
  </si>
  <si>
    <t>Logiciels et outils</t>
  </si>
  <si>
    <t>H : dîners de concierges au restaurant à 10 %, le reste à 20 % ; 20 % retenu</t>
  </si>
  <si>
    <t>H : assurance exonérée</t>
  </si>
  <si>
    <t>Honoraires</t>
  </si>
  <si>
    <t>H : services bancaires exonérés</t>
  </si>
  <si>
    <t>H : transports à 10 %</t>
  </si>
  <si>
    <t>H prudente : frais de greffe sans TVA</t>
  </si>
  <si>
    <t>TVA reversée à l'État (due du mois précédent)</t>
  </si>
  <si>
    <t>Crédit de TVA à reporter</t>
  </si>
  <si>
    <t>TVA due au titre du mois</t>
  </si>
  <si>
    <t>Crédit de TVA reporté du mois précédent</t>
  </si>
  <si>
    <t>TVA déductible sur les investissements</t>
  </si>
  <si>
    <t>TVA déductible sur les frais généraux</t>
  </si>
  <si>
    <t>Effet de la TVA sur la trésorerie</t>
  </si>
  <si>
    <t>TVA et CFE</t>
  </si>
  <si>
    <t>Mis à jour le 28/10/2026 : onglet « TVA » (taux par poste en hypothèse, TVA collectée, déductible et reversée chaque mois, crédit reporté) ; son effet sur la trésorerie (ligne 51) est repris dans 2 FINANCE/TRESORERIE. CFE ajoutée aux frais généraux des années 2 et 3 (onglet Frais généraux 3 ans, ligne 24). Le compte de résultat reste hors taxes ; pas d'impôt sur les sociétés (pertes).</t>
  </si>
  <si>
    <t>Budget détaillé sur 36 mois (novembre 2026 - octobre 2029)</t>
  </si>
  <si>
    <t>Pop Tables · Pôle Finance · Version du 28/10/2026 (soir), selon les décisions D-02 à D-19 de la Direction. Une colonne par mois ; recettes et coûts directs repris de « Prix et marges » ; ressources humaines reprises de « Ressources humaines ». Montants HT, sauf TVA et trésorerie.</t>
  </si>
  <si>
    <t>Premier mois :</t>
  </si>
  <si>
    <t>Mois n°</t>
  </si>
  <si>
    <t>Année 1 (nov. 2026 - oct. 2027)</t>
  </si>
  <si>
    <t>Année 2 (nov. 2027 - oct. 2028)</t>
  </si>
  <si>
    <t>Année 3 (nov. 2028 - oct. 2029)</t>
  </si>
  <si>
    <t>1. Villes et activité (nombre de soirées)</t>
  </si>
  <si>
    <t>Villes actives</t>
  </si>
  <si>
    <t>F / H</t>
  </si>
  <si>
    <t>Premier soir (place à l'unité)</t>
  </si>
  <si>
    <t>Le Voyage (place à l'unité)</t>
  </si>
  <si>
    <t>La Grande Nuit (place à l'unité)</t>
  </si>
  <si>
    <t>Soirées « place à l'unité » (B2C, pré-vente)</t>
  </si>
  <si>
    <t>Privatisations de salle (B2C et B2B, chef confirmé)</t>
  </si>
  <si>
    <t>Soirées « place à l'unité » des villes 3, 5 et 6. Prix, coûts et TVA supposés identiques à Paris (H)</t>
  </si>
  <si>
    <t>Pilote Premier soir (inclus ligne 8)</t>
  </si>
  <si>
    <t>5 PRODUIT, plan des deux soirées pilotes</t>
  </si>
  <si>
    <t>Pilote La Grande Nuit (inclus ligne 10)</t>
  </si>
  <si>
    <t>2. Chiffre d'affaires et coûts directs</t>
  </si>
  <si>
    <t>Chiffre d'affaires des places à l'unité</t>
  </si>
  <si>
    <t>Nombre de soirées × chiffre d'affaires d'une soirée (Prix et marges, ligne 17)</t>
  </si>
  <si>
    <t>Chiffre d'affaires des privatisations</t>
  </si>
  <si>
    <t>Coûts directs des soirées</t>
  </si>
  <si>
    <t>Nombre de soirées × coûts directs d'une soirée (Prix et marges, ligne 34) : lieu, chef, matières, boissons, équipe (D-06), ménage, assurance, décor, frais et commissions ; photographe à 0 (D-08)</t>
  </si>
  <si>
    <t>Surcoût d'équipe des pilotes</t>
  </si>
  <si>
    <t>Onglet Staffing, ligne 40 (équipe complète S0 à 24 et 20 couverts). F Les Opérations proposent 490 € au total (note du 28/10, branche non fusionnée) : non repris</t>
  </si>
  <si>
    <t>Déplacements de production hors Paris</t>
  </si>
  <si>
    <t>Responsable de production : train et 1 nuit en France, avion et 1 nuit à l'étranger, par soirée (Paramètres). Le personnel est recruté sur place (D-07)</t>
  </si>
  <si>
    <t>3. Frais généraux : ressources humaines (onglet Ressources humaines)</t>
  </si>
  <si>
    <t>Effectif × salaire brut × (1 + charges), à partir du premier mois payé (onglet Ressources humaines)</t>
  </si>
  <si>
    <t>4. Frais généraux : fonctionnement, marketing, ventes</t>
  </si>
  <si>
    <t>Marketing et communication courants</t>
  </si>
  <si>
    <t>300 € par mois en année 1 ; 15 000 € puis 30 000 € (contenus, dîners de concierges, coffrets, relations presse, communication des villes)</t>
  </si>
  <si>
    <t>Campagne de lancement : influenceurs et préparation des assets</t>
  </si>
  <si>
    <t>Budget fixé par le responsable Finance le 28/10/2026 (10 000 €) : préparation des assets (photos, vidéos, visuels du drop) en février 2027, influenceurs en mars 2027 (H)</t>
  </si>
  <si>
    <t>Soirée de lancement (D-14)</t>
  </si>
  <si>
    <t>D-14 : à inscrire au plan. Option non choisie par le Marketing : milieu de l'option 2 recommandée (18 000 à 38 000 € HT, 3 MARKETING, Premier événement - Trois options), en mars 2027, après les pilotes (H). À remplacer par l'option retenue</t>
  </si>
  <si>
    <t>Ventes : outils de prospection</t>
  </si>
  <si>
    <t>Prospection en ligne et fichiers (de l'ordre de 80 € par mois et par licence, tarif public à vérifier) : 1 licence en année 1, 2 en année 2, 3 en année 3</t>
  </si>
  <si>
    <t>Ventes : rendez-vous et repas de prospection</t>
  </si>
  <si>
    <t>Restaurants à démarcher (D-18), concierges, entreprises et groupes : 300 € par mois, 600 € puis 1 000 € avec les villes</t>
  </si>
  <si>
    <t>Ventes : supports commerciaux et salons</t>
  </si>
  <si>
    <t>Plaquette et coffret de présentation (1 500 €) en décembre 2026, un salon ou événement de réseau (1 000 €) en avril 2027 ; 5 000 € puis 8 000 €</t>
  </si>
  <si>
    <t>Création et première année : 2 700 € ; 4 000 € puis 6 000 €</t>
  </si>
  <si>
    <t>30 € par mois ; 600 € puis 1 000 €</t>
  </si>
  <si>
    <t>Déplacements (siège)</t>
  </si>
  <si>
    <t>Repérage de lieux et rencontres de chefs à Paris ; 2 000 € puis 4 000 €</t>
  </si>
  <si>
    <t>Ouverture de villes</t>
  </si>
  <si>
    <t>Licence et permis d'exploitation (D-09)</t>
  </si>
  <si>
    <t>D-09 : licence propre de type traiteur. Ordre de grandeur de 1 000 € (formation et démarches), à remplacer par le chiffrage du Juridique</t>
  </si>
  <si>
    <t>Exonérée l'année de création ; 300 € puis 600 € en décembre</t>
  </si>
  <si>
    <t>Frais de création 252 € en novembre 2026 ; 1 000 € en année 3</t>
  </si>
  <si>
    <t>Ventes : places offertes aux prescripteurs</t>
  </si>
  <si>
    <t>Concierges et prescripteurs invités : 2 places par soirée « place à l'unité » au coût des matières et des boissons du Premier soir (Paramètres). Places en plus de la jauge ou invendues (I)</t>
  </si>
  <si>
    <t>Protection juridique et assurance de la société</t>
  </si>
  <si>
    <t>Fixé par le responsable Finance le 28/10/2026 : 2 % du chiffre d'affaires (responsabilité civile professionnelle, multirisque, protection juridique). Remplace la ligne « Assurance RC professionnelle ». L'assurance de chaque soirée reste dans les coûts directs</t>
  </si>
  <si>
    <t>Total fonctionnement, marketing et ventes</t>
  </si>
  <si>
    <t>5. Résultat</t>
  </si>
  <si>
    <t>6. Investissements</t>
  </si>
  <si>
    <t>Site internet (D-19)</t>
  </si>
  <si>
    <t>Décision D-19 : budget du site validé à 15 000 €, payé en novembre 2026 (H)</t>
  </si>
  <si>
    <t>Identité visuelle, coffrets, matériel</t>
  </si>
  <si>
    <t>Enveloppe du 27/10 conservée hors site (3 000 €) ; 5 000 € puis 10 000 € en début d'année (matériel des nouvelles villes)</t>
  </si>
  <si>
    <t>Total des investissements</t>
  </si>
  <si>
    <t>7. TVA (taux et règles : onglet TVA)</t>
  </si>
  <si>
    <t>TVA nette du mois (collectée - déductible)</t>
  </si>
  <si>
    <t>8. Trésorerie avant levée de fonds</t>
  </si>
  <si>
    <t>Effet de la pré-vente des places (D-04)</t>
  </si>
  <si>
    <t>D-04 : places à l'unité payées à la réservation. H : vente au drop, le mois qui précède la soirée ; encaissement TTC. Privatisations payées le mois de la soirée (acompte et solde, H). Mois 36 : pré-vente du mois suivant non comptée (prudence)</t>
  </si>
  <si>
    <t>Apport des associés</t>
  </si>
  <si>
    <t>Modèle Financement : 7 000 € (7 associés × 1 000 €), statut « Envisagé », aucune pièce</t>
  </si>
  <si>
    <t>Flux de trésorerie du mois</t>
  </si>
  <si>
    <t>Résultat - investissements + effet de la TVA + effet de la pré-vente + apport. Sans prêt, subvention ni levée</t>
  </si>
  <si>
    <t>Trésorerie en fin de mois (avant levée)</t>
  </si>
  <si>
    <t>Paramètres</t>
  </si>
  <si>
    <t>Valeur</t>
  </si>
  <si>
    <t>Nature et source</t>
  </si>
  <si>
    <t>Déplacement de production par soirée, en France hors Paris (€)</t>
  </si>
  <si>
    <t>H : train aller-retour et 1 nuit pour le responsable de production</t>
  </si>
  <si>
    <t>Déplacement de production par soirée, à l'étranger (€)</t>
  </si>
  <si>
    <t>H : avion aller-retour et 1 nuit</t>
  </si>
  <si>
    <t>Coût d'ouverture d'une ville en France (€)</t>
  </si>
  <si>
    <t>H : repérage, communication locale, recrutement des extras ; à remplacer par le modèle d'ouverture des Opérations (relevé de décisions, § 3)</t>
  </si>
  <si>
    <t>Coût d'ouverture d'une ville à l'étranger (€)</t>
  </si>
  <si>
    <t>H : idem, plus conseils juridiques et fiscaux locaux (Juridique, D-15)</t>
  </si>
  <si>
    <t>Places offertes aux prescripteurs par soirée « place à l'unité »</t>
  </si>
  <si>
    <t>H : concierges, créateurs, presse</t>
  </si>
  <si>
    <t>Protection juridique et assurance de la société (% du chiffre d'affaires)</t>
  </si>
  <si>
    <t>H : fixé par le responsable Finance le 28/10/2026</t>
  </si>
  <si>
    <t>Ville (D-15)</t>
  </si>
  <si>
    <t>Pays</t>
  </si>
  <si>
    <t>Première soirée</t>
  </si>
  <si>
    <t>Paris</t>
  </si>
  <si>
    <t>France</t>
  </si>
  <si>
    <t>D-15 ; première soirée au pilote de janvier 2027 (P, Produit)</t>
  </si>
  <si>
    <t>Ville 2 (France)</t>
  </si>
  <si>
    <t>Étranger</t>
  </si>
  <si>
    <t>Ville 5 (étranger)</t>
  </si>
  <si>
    <t>Ville 6 (étranger)</t>
  </si>
  <si>
    <t>Ressources humaines sur 36 mois</t>
  </si>
  <si>
    <t>Premier mois payé (1 = novembre 2026)</t>
  </si>
  <si>
    <t>Coût chargé année 1 (€)</t>
  </si>
  <si>
    <t>Mois par mois : onglet « Budget 36 mois », lignes 60 à 69 (36 mois). Les taux ci-dessus y sont repris (colonne AQ).</t>
  </si>
  <si>
    <t>TVA : taux et règles (calcul mois par mois dans « Budget 36 mois »)</t>
  </si>
  <si>
    <t>Protection juridique et assurance de la société (2 % du CA)</t>
  </si>
  <si>
    <t>Budget 36 mois, 42</t>
  </si>
  <si>
    <t>Budget 36 mois, 56 et 57</t>
  </si>
  <si>
    <t>Budget 36 mois, 49</t>
  </si>
  <si>
    <t>Budget 36 mois, 45</t>
  </si>
  <si>
    <t>Budget 36 mois, 44</t>
  </si>
  <si>
    <t>Budget 36 mois, 43</t>
  </si>
  <si>
    <t>Budget 36 mois, 35</t>
  </si>
  <si>
    <t>Budget 36 mois, 34</t>
  </si>
  <si>
    <t>Budget 36 mois, 33</t>
  </si>
  <si>
    <t>Investissements</t>
  </si>
  <si>
    <t>Photographe (supprimé, D-08)</t>
  </si>
  <si>
    <t>Prévu et réel, mois par mois (année 1)</t>
  </si>
  <si>
    <t>Le prévu vient de « Budget 36 mois » (12 premiers mois) ; saisir le réel dès qu'il est connu, avec sa pièce.</t>
  </si>
  <si>
    <t>Plan financier sur 3 ans</t>
  </si>
  <si>
    <t>Pop Tables · totaux annuels de « Budget 36 mois ». Exercice de novembre à octobre. Montants HT ; trésorerie TTC.</t>
  </si>
  <si>
    <t>villes</t>
  </si>
  <si>
    <t>Soirées « place à l'unité »</t>
  </si>
  <si>
    <t>soirées</t>
  </si>
  <si>
    <t>D-15 : 1 par mois et par ville</t>
  </si>
  <si>
    <t xml:space="preserve">   dont Premier soir</t>
  </si>
  <si>
    <t xml:space="preserve">   dont Le Voyage</t>
  </si>
  <si>
    <t xml:space="preserve">   dont La Grande Nuit</t>
  </si>
  <si>
    <t>Privatisations de salle</t>
  </si>
  <si>
    <t>H en attendant les Ventes (D-16)</t>
  </si>
  <si>
    <t>Coûts directs (y compris déplacements de production)</t>
  </si>
  <si>
    <t>Ressources humaines</t>
  </si>
  <si>
    <t>Onglet Ressources humaines</t>
  </si>
  <si>
    <t>Lancement : campagne (10 000 €) et soirée de lancement</t>
  </si>
  <si>
    <t>Campagne fixée par le responsable Finance ; soirée D-14, montant H</t>
  </si>
  <si>
    <t>Ventes et prospection (hors salaire du commercial)</t>
  </si>
  <si>
    <t>Outils, rendez-vous, places offertes, supports et salons</t>
  </si>
  <si>
    <t>Autres frais de fonctionnement</t>
  </si>
  <si>
    <t>Locaux, logiciels, honoraires, banque, déplacements, licence, CFE, autres</t>
  </si>
  <si>
    <t>Investissements et besoin de financement</t>
  </si>
  <si>
    <t>Investissements (site D-19, identité, matériel)</t>
  </si>
  <si>
    <t>Flux de l'année (résultat - investissements)</t>
  </si>
  <si>
    <t>Frais généraux ÷ marge moyenne par soirée</t>
  </si>
  <si>
    <t>Trésorerie et besoin de financement</t>
  </si>
  <si>
    <t>Besoin de financement : point bas du flux cumulé (hors apport, TVA et pré-vente)</t>
  </si>
  <si>
    <t>Trésorerie : point bas sur 36 mois (apport de 7 000 €, TVA et pré-vente compris, avant levée)</t>
  </si>
  <si>
    <t>Mois du point bas</t>
  </si>
  <si>
    <t>Trésorerie en fin d'année (avant levée)</t>
  </si>
  <si>
    <t>Crédit de TVA en fin d'année</t>
  </si>
  <si>
    <t>Le dimensionnement de la levée (contingence, trésorerie de sécurité) se trouve dans 2 FINANCE/FINANCEMENT, note pour décision du 28/10/2026 (soir). Le financement se suit dans le modèle Financement.</t>
  </si>
  <si>
    <t>Décision D-05 de la Direction du 28/10/2026 (« Jauge — validé suivant fichier finance ») : 40 / 35 / 30 / 20 couverts. Relevé de décisions du 28/10 (soir)</t>
  </si>
  <si>
    <t>Direction</t>
  </si>
  <si>
    <t>H du responsable Finance (28/10/2026) : salle pleine. D-05 porte sur la jauge, pas sur le remplissage ; seuil de confirmation à J-14 à revoir par le Produit (relevé de décisions, § 3)</t>
  </si>
  <si>
    <t>Décision D-06 (28/10/2026) : enveloppe de 15 % du CA HT (Premier soir, privatisation) ou 20 % (Le Voyage, La Grande Nuit) ; les Opérations ajustent le staffing. Proposition des Opérations du 28/10 (branche non fusionnée) : 2 516 / 2 516 / 2 201 / 1 935 €, non reprise</t>
  </si>
  <si>
    <t>Décision D-08 (28/10/2026) : suppression du photographe</t>
  </si>
  <si>
    <t>Autres coûts directs (photographe supprimé, D-08)</t>
  </si>
  <si>
    <t>Modèle Pop Tables - budget sur 36 mois, plan financier, prix et marges</t>
  </si>
  <si>
    <t>« Prix et marges » : l'économie d'une soirée par offre. « Staffing » : effectifs des Opérations (sert au surcoût des pilotes). « Budget 36 mois » : activité par ville, chiffre d'affaires, coûts, frais généraux détaillés, investissements, TVA et trésorerie avant levée, mois par mois de novembre 2026 à octobre 2029. « TVA » : taux et règles. « Prévu et réel » : suivi de l'année 1. « Plan financier 3 ans » : totaux annuels et besoin de financement. « Ressources humaines » : postes, salaires et premiers mois payés.</t>
  </si>
  <si>
    <t>Pop Tables : soirées gastronomiques éphémères sur le segment du luxe, un chef rare dans un restaurant d'exception pendant sa fermeture. Places à l'unité en pré-vente (drops) et privatisations de salle. Source : 1 DIRECTION/STRATEGIE/2026 1028 Pop Tables - Cadre de référence (D-02 à D-19).</t>
  </si>
  <si>
    <t>Privatisations par ville active et par an, à partir de l'année 2</t>
  </si>
  <si>
    <t>Décision du 28/10/2026 : 40 privatisations par ville et par an dès l'année 2, réparties uniformément sur les mois d'activité de chaque ville (proratisé l'année d'ouverture)</t>
  </si>
  <si>
    <t>dont soirées « place à l'unité » hors Paris, en France</t>
  </si>
  <si>
    <t>dont soirées « place à l'unité » hors Paris, à l'étranger</t>
  </si>
  <si>
    <t>dont privatisations hors Paris, en France</t>
  </si>
  <si>
    <t>dont privatisations hors Paris, à l'étranger</t>
  </si>
  <si>
    <t>Privatisations (ligne 12) des villes 2 et 4 : 40 par ville et par an (B86). Pas de frais de déplacement de production (décision du 28/10/2026)</t>
  </si>
  <si>
    <t>Privatisations (ligne 12) des villes 3, 5 et 6 : idem. Pas de frais de déplacement de production ; prix, coûts et TVA identiques à Paris (H)</t>
  </si>
  <si>
    <t>D-16 : année 1 = 7 privatisations (budget du 27/10). À partir de l'année 2 : 40 par ville active et par an (paramètre B86), soit villes actives × 40 / 12 par mois</t>
  </si>
  <si>
    <t>D-15 pour l'année ; ville active dès le premier mois de l'année (novembre) ; ville à choisir par la Direction sur proposition du Marketing et des Ventes</t>
  </si>
  <si>
    <t>Décision D-15 : Paris en année 1 ; + 1 ville en France et + 1 à l'étranger en année 2 ; + 1 en France et + 2 à l'étranger en année 3. Les nouvelles villes sont actives dès le début de l'année (novembre) ; villes non nommées</t>
  </si>
  <si>
    <t>D-15 : 1 soirée « place à l'unité » par mois et par ville, pas de soirée en août (H). Les trois offres tournent dans chaque ville (H) : 1/1/1 par mois en année 2, 2/2/2 en année 3. Année 1 : calendrier du budget du 27/10, pilotes compris</t>
  </si>
  <si>
    <t>Repérage, déplacements, communication locale, recrutement des extras, conseils locaux : coût par ville en France (B82) ou à l'étranger (B83), réparti sur les 3 mois qui précèdent la première soirée (dates C90:C94). Calculé automatiquement</t>
  </si>
  <si>
    <t>Villes actives (dès le début d'année)</t>
  </si>
  <si>
    <t>D-15 ; nouvelles villes ouvertes en novembre</t>
  </si>
  <si>
    <t>Événements par semaine gérés par un coordinateur</t>
  </si>
  <si>
    <t>Règle du 28/10/2026 : 1 coordinateur gère 1 événement par semaine (soirées « place à l'unité » et privatisations)</t>
  </si>
  <si>
    <t>Commerciaux par ville active</t>
  </si>
  <si>
    <t>Règle du 28/10/2026 : 1 commercial par ville active</t>
  </si>
  <si>
    <t>Coordinateurs nécessaires (effectif)</t>
  </si>
  <si>
    <t>Commerciaux nécessaires (effectif)</t>
  </si>
  <si>
    <t>Arrondi supérieur de (soirées de l'année, ligne 13) ÷ (52 semaines × événements par coordinateur, Ressources humaines C5), à partir du premier mois payé (Ressources humaines D9)</t>
  </si>
  <si>
    <t>Villes actives (ligne 7) × commerciaux par ville (Ressources humaines C6), à partir du premier mois payé (Ressources humaines D10)</t>
  </si>
  <si>
    <t>Effectif ligne 20 × salaire brut × (1 + charges) (onglet Ressources humaines)</t>
  </si>
  <si>
    <t>Effectif ligne 21 × salaire brut × (1 + charges) (onglet Ressources humaines)</t>
  </si>
  <si>
    <t>Effectif (maximum sur 36 mois)</t>
  </si>
  <si>
    <t>F SMIC brut de 1 867,02 € par mois au 01/06/2026 (Éditions Tissot, 26/05/2026) ; H : à partir de l'année 2. Effectif calculé (1 coordinateur par événement hebdomadaire, C5) : voir « Budget 36 mois », ligne 20</t>
  </si>
  <si>
    <t>H : premier recrutement en année 3 (D10) ; salaire à vérifier (grille de rémunération). Effectif calculé (1 commercial par ville active, C6) : voir « Budget 36 mois », ligne 21</t>
  </si>
  <si>
    <t>Manager</t>
  </si>
  <si>
    <t>H : 1 manager recruté en début d'année 3 (novembre 2028) ; salaire brut de 4 000 € par mois à valider par la Direction (grille de rémunération)</t>
  </si>
  <si>
    <t>Ajouter un poste : insérer une ligne entre 8 et 11 et la reprendre dans « Budget 36 mois ». Montée en charge de la masse salariale non encore fournie par les pôles (fiche des données manquantes). Les frais de fonctionnement des années 2 et 3 sont désormais saisis mois par mois dans « Budget 36 mois ».</t>
  </si>
  <si>
    <t>Effectif total payé (postes)</t>
  </si>
  <si>
    <t>Coordinateurs + commerciaux + fondateurs rémunérés + manager, à partir de leur premier mois payé (onglet Ressources humaines). Sert aux locaux et aux logiciels (lignes 39 et 40)</t>
  </si>
  <si>
    <t>Locaux : coworking par poste payé et par mois (€)</t>
  </si>
  <si>
    <t>H : 900 € par mois pour 3 postes dans le budget précédent, soit 300 € par poste</t>
  </si>
  <si>
    <t>Logiciels : socle mensuel (site, billetterie, fichier clients) (€)</t>
  </si>
  <si>
    <t>H : montant de l'année 1, sans salarié</t>
  </si>
  <si>
    <t>Logiciels : licences par poste payé et par mois (€)</t>
  </si>
  <si>
    <t>H : messagerie, bureautique, outils de gestion ; tarif public à vérifier</t>
  </si>
  <si>
    <t>Effectif total payé (ligne 22) × coût du coworking par poste (B91). Travail à distance tant qu'aucun poste n'est payé</t>
  </si>
  <si>
    <t>Socle mensuel (B92) + effectif total payé (ligne 22) × licences par poste (B93)</t>
  </si>
  <si>
    <t>Soirées « place à l'unité » des villes 2 et 4 ; seules ces soirées portent des frais de déplacement (ligne 29)</t>
  </si>
  <si>
    <t>Pop Tables · poste par poste. Le coût mensuel est repris dans « Budget 36 mois », lignes 33 à 36, à partir du premier mois payé ; effectifs mois par mois aux lignes 20 à 22.</t>
  </si>
  <si>
    <t>Pour changer une ouverture de ville : modifier la date en C97:C101 (la ligne 52 se recalcule) et les lignes 7 à 10, 14 et 15 (valeurs saisies). Les totaux et le plan à 3 ans se recalculent.</t>
  </si>
  <si>
    <t>Pop Tables · Pôle Finance · Version du 28/10/2026 (soir), selon les décisions D-02 à D-20, revue par le responsable Finance. Remplace le modèle du 27/10 (rangé dans 2 FINANCE/OLD).</t>
  </si>
  <si>
    <t>Revu le 28/10/2026 (soir) par le responsable Finance : nouvelles villes actives dès novembre ; 40 privatisations par ville et par an dès l'année 2 ; coordinateurs (1 par événement hebdomadaire) et commerciaux (1 par ville active, dès l'année 3) calculés à partir de l'activité ; un manager en année 3 ; locaux et logiciels par poste payé ; prix et coûts revus dans « Prix et marges ». Décisions D-05, D-06, D-08, D-14, D-15, D-19 intégrées ; campagne de lancement (10 000 €), protection juridique et assurance (2 % du CA) et budget des ventes. Toutes les autres valeurs restent des hypothèses (H) : voir la fiche des données manquantes du 28/10/2026.</t>
  </si>
  <si>
    <t>france</t>
  </si>
  <si>
    <t>etranger</t>
  </si>
  <si>
    <t>Ville 3 (france)</t>
  </si>
  <si>
    <t>Ville 4 (Etranger)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</si>
</sst>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&quot;-&quot;"/>
    <numFmt numFmtId="165" formatCode="0.0%;\-0.0%;&quot;-&quot;"/>
    <numFmt numFmtId="166" formatCode="#,##0.00\ &quot;€&quot;;\-#,##0.00\ &quot;€&quot;;&quot;-&quot;"/>
    <numFmt numFmtId="167" formatCode="#,##0\ &quot;€&quot;;\-#,##0\ &quot;€&quot;;&quot;-&quot;"/>
    <numFmt numFmtId="168" formatCode="mmm\ yyyy"/>
    <numFmt numFmtId="169" formatCode="#,##0.0;\-#,##0.0;&quot;-&quot;"/>
    <numFmt numFmtId="170" formatCode="mmm\ yy"/>
    <numFmt numFmtId="171" formatCode="mmmm\ yyyy"/>
  </numFmts>
  <fonts count="19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i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8000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rgb="FF808080"/>
      <name val="Arial"/>
      <family val="2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8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3" borderId="0" xfId="0" applyFont="1" applyFill="1"/>
    <xf numFmtId="164" fontId="6" fillId="4" borderId="1" xfId="0" applyNumberFormat="1" applyFont="1" applyFill="1" applyBorder="1"/>
    <xf numFmtId="164" fontId="7" fillId="5" borderId="1" xfId="0" applyNumberFormat="1" applyFont="1" applyFill="1" applyBorder="1"/>
    <xf numFmtId="164" fontId="8" fillId="5" borderId="1" xfId="0" applyNumberFormat="1" applyFont="1" applyFill="1" applyBorder="1"/>
    <xf numFmtId="167" fontId="6" fillId="4" borderId="1" xfId="0" applyNumberFormat="1" applyFont="1" applyFill="1" applyBorder="1"/>
    <xf numFmtId="167" fontId="7" fillId="5" borderId="1" xfId="0" applyNumberFormat="1" applyFont="1" applyFill="1" applyBorder="1"/>
    <xf numFmtId="167" fontId="8" fillId="5" borderId="1" xfId="0" applyNumberFormat="1" applyFont="1" applyFill="1" applyBorder="1"/>
    <xf numFmtId="0" fontId="6" fillId="4" borderId="1" xfId="0" applyFont="1" applyFill="1" applyBorder="1" applyAlignment="1">
      <alignment wrapText="1"/>
    </xf>
    <xf numFmtId="0" fontId="1" fillId="0" borderId="0" xfId="0" applyFont="1" applyAlignment="1">
      <alignment vertical="top"/>
    </xf>
    <xf numFmtId="164" fontId="6" fillId="4" borderId="1" xfId="0" applyNumberFormat="1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4" borderId="1" xfId="0" applyFont="1" applyFill="1" applyBorder="1" applyAlignment="1">
      <alignment vertical="top" wrapText="1"/>
    </xf>
    <xf numFmtId="165" fontId="6" fillId="4" borderId="1" xfId="0" applyNumberFormat="1" applyFont="1" applyFill="1" applyBorder="1" applyAlignment="1">
      <alignment vertical="top"/>
    </xf>
    <xf numFmtId="164" fontId="8" fillId="5" borderId="1" xfId="0" applyNumberFormat="1" applyFont="1" applyFill="1" applyBorder="1" applyAlignment="1">
      <alignment vertical="top"/>
    </xf>
    <xf numFmtId="166" fontId="6" fillId="4" borderId="1" xfId="0" applyNumberFormat="1" applyFont="1" applyFill="1" applyBorder="1" applyAlignment="1">
      <alignment vertical="top"/>
    </xf>
    <xf numFmtId="167" fontId="6" fillId="4" borderId="1" xfId="0" applyNumberFormat="1" applyFont="1" applyFill="1" applyBorder="1" applyAlignment="1">
      <alignment vertical="top"/>
    </xf>
    <xf numFmtId="166" fontId="8" fillId="5" borderId="1" xfId="0" applyNumberFormat="1" applyFont="1" applyFill="1" applyBorder="1" applyAlignment="1">
      <alignment vertical="top"/>
    </xf>
    <xf numFmtId="167" fontId="8" fillId="5" borderId="1" xfId="0" applyNumberFormat="1" applyFont="1" applyFill="1" applyBorder="1" applyAlignment="1">
      <alignment vertical="top"/>
    </xf>
    <xf numFmtId="0" fontId="2" fillId="3" borderId="0" xfId="0" applyFont="1" applyFill="1" applyAlignment="1">
      <alignment vertical="top"/>
    </xf>
    <xf numFmtId="0" fontId="2" fillId="3" borderId="0" xfId="0" applyFont="1" applyFill="1" applyAlignment="1">
      <alignment vertical="top" wrapText="1"/>
    </xf>
    <xf numFmtId="165" fontId="8" fillId="5" borderId="1" xfId="0" applyNumberFormat="1" applyFont="1" applyFill="1" applyBorder="1" applyAlignment="1">
      <alignment vertical="top"/>
    </xf>
    <xf numFmtId="168" fontId="5" fillId="2" borderId="0" xfId="0" applyNumberFormat="1" applyFont="1" applyFill="1" applyAlignment="1">
      <alignment horizontal="right"/>
    </xf>
    <xf numFmtId="164" fontId="9" fillId="5" borderId="1" xfId="0" applyNumberFormat="1" applyFont="1" applyFill="1" applyBorder="1"/>
    <xf numFmtId="167" fontId="9" fillId="5" borderId="1" xfId="0" applyNumberFormat="1" applyFont="1" applyFill="1" applyBorder="1"/>
    <xf numFmtId="0" fontId="11" fillId="4" borderId="1" xfId="0" applyFont="1" applyFill="1" applyBorder="1"/>
    <xf numFmtId="167" fontId="11" fillId="4" borderId="1" xfId="0" applyNumberFormat="1" applyFont="1" applyFill="1" applyBorder="1"/>
    <xf numFmtId="167" fontId="12" fillId="5" borderId="1" xfId="0" applyNumberFormat="1" applyFont="1" applyFill="1" applyBorder="1"/>
    <xf numFmtId="0" fontId="10" fillId="3" borderId="0" xfId="0" applyFont="1" applyFill="1"/>
    <xf numFmtId="0" fontId="10" fillId="0" borderId="0" xfId="0" applyFont="1"/>
    <xf numFmtId="0" fontId="2" fillId="6" borderId="0" xfId="0" applyFont="1" applyFill="1"/>
    <xf numFmtId="167" fontId="8" fillId="6" borderId="1" xfId="0" applyNumberFormat="1" applyFont="1" applyFill="1" applyBorder="1"/>
    <xf numFmtId="165" fontId="6" fillId="4" borderId="1" xfId="0" applyNumberFormat="1" applyFont="1" applyFill="1" applyBorder="1"/>
    <xf numFmtId="169" fontId="6" fillId="4" borderId="1" xfId="0" applyNumberFormat="1" applyFont="1" applyFill="1" applyBorder="1" applyAlignment="1">
      <alignment vertical="top"/>
    </xf>
    <xf numFmtId="1" fontId="6" fillId="4" borderId="1" xfId="0" applyNumberFormat="1" applyFont="1" applyFill="1" applyBorder="1" applyAlignment="1">
      <alignment vertical="top"/>
    </xf>
    <xf numFmtId="167" fontId="9" fillId="5" borderId="1" xfId="0" applyNumberFormat="1" applyFont="1" applyFill="1" applyBorder="1" applyAlignment="1">
      <alignment vertical="top"/>
    </xf>
    <xf numFmtId="0" fontId="6" fillId="0" borderId="0" xfId="0" applyFont="1"/>
    <xf numFmtId="0" fontId="7" fillId="5" borderId="1" xfId="0" applyFont="1" applyFill="1" applyBorder="1" applyAlignment="1">
      <alignment vertical="top"/>
    </xf>
    <xf numFmtId="169" fontId="7" fillId="5" borderId="1" xfId="0" applyNumberFormat="1" applyFont="1" applyFill="1" applyBorder="1" applyAlignment="1">
      <alignment vertical="top"/>
    </xf>
    <xf numFmtId="166" fontId="7" fillId="5" borderId="1" xfId="0" applyNumberFormat="1" applyFont="1" applyFill="1" applyBorder="1" applyAlignment="1">
      <alignment vertical="top"/>
    </xf>
    <xf numFmtId="1" fontId="7" fillId="5" borderId="1" xfId="0" applyNumberFormat="1" applyFont="1" applyFill="1" applyBorder="1" applyAlignment="1">
      <alignment vertical="top"/>
    </xf>
    <xf numFmtId="165" fontId="7" fillId="5" borderId="1" xfId="0" applyNumberFormat="1" applyFont="1" applyFill="1" applyBorder="1"/>
    <xf numFmtId="170" fontId="5" fillId="2" borderId="0" xfId="0" applyNumberFormat="1" applyFont="1" applyFill="1"/>
    <xf numFmtId="171" fontId="1" fillId="0" borderId="0" xfId="0" applyNumberFormat="1" applyFont="1"/>
    <xf numFmtId="171" fontId="6" fillId="4" borderId="1" xfId="0" applyNumberFormat="1" applyFont="1" applyFill="1" applyBorder="1"/>
    <xf numFmtId="0" fontId="13" fillId="0" borderId="0" xfId="0" applyFont="1"/>
    <xf numFmtId="165" fontId="1" fillId="0" borderId="0" xfId="0" applyNumberFormat="1" applyFont="1"/>
    <xf numFmtId="165" fontId="2" fillId="3" borderId="0" xfId="0" applyNumberFormat="1" applyFont="1" applyFill="1"/>
    <xf numFmtId="165" fontId="6" fillId="4" borderId="0" xfId="0" applyNumberFormat="1" applyFont="1" applyFill="1"/>
    <xf numFmtId="0" fontId="5" fillId="7" borderId="0" xfId="0" applyFont="1" applyFill="1" applyAlignment="1">
      <alignment vertical="center" wrapText="1"/>
    </xf>
    <xf numFmtId="0" fontId="14" fillId="0" borderId="0" xfId="0" applyFont="1"/>
    <xf numFmtId="0" fontId="15" fillId="0" borderId="0" xfId="0" applyFont="1"/>
    <xf numFmtId="165" fontId="11" fillId="4" borderId="1" xfId="0" applyNumberFormat="1" applyFont="1" applyFill="1" applyBorder="1"/>
    <xf numFmtId="0" fontId="16" fillId="2" borderId="0" xfId="0" applyFont="1" applyFill="1" applyAlignment="1">
      <alignment vertical="center" wrapText="1"/>
    </xf>
    <xf numFmtId="0" fontId="17" fillId="5" borderId="1" xfId="0" applyFont="1" applyFill="1" applyBorder="1"/>
    <xf numFmtId="167" fontId="17" fillId="5" borderId="1" xfId="0" applyNumberFormat="1" applyFont="1" applyFill="1" applyBorder="1"/>
    <xf numFmtId="167" fontId="10" fillId="0" borderId="0" xfId="0" applyNumberFormat="1" applyFont="1"/>
    <xf numFmtId="164" fontId="17" fillId="5" borderId="1" xfId="0" applyNumberFormat="1" applyFont="1" applyFill="1" applyBorder="1"/>
    <xf numFmtId="165" fontId="17" fillId="5" borderId="1" xfId="0" applyNumberFormat="1" applyFont="1" applyFill="1" applyBorder="1"/>
    <xf numFmtId="169" fontId="17" fillId="5" borderId="1" xfId="0" applyNumberFormat="1" applyFont="1" applyFill="1" applyBorder="1"/>
    <xf numFmtId="164" fontId="12" fillId="5" borderId="1" xfId="0" applyNumberFormat="1" applyFont="1" applyFill="1" applyBorder="1"/>
    <xf numFmtId="171" fontId="17" fillId="5" borderId="1" xfId="0" applyNumberFormat="1" applyFont="1" applyFill="1" applyBorder="1"/>
    <xf numFmtId="3" fontId="6" fillId="4" borderId="1" xfId="0" applyNumberFormat="1" applyFont="1" applyFill="1" applyBorder="1"/>
    <xf numFmtId="169" fontId="6" fillId="4" borderId="1" xfId="0" applyNumberFormat="1" applyFont="1" applyFill="1" applyBorder="1"/>
    <xf numFmtId="169" fontId="8" fillId="5" borderId="1" xfId="0" applyNumberFormat="1" applyFont="1" applyFill="1" applyBorder="1"/>
    <xf numFmtId="0" fontId="11" fillId="0" borderId="0" xfId="0" applyFont="1"/>
    <xf numFmtId="164" fontId="7" fillId="4" borderId="1" xfId="0" applyNumberFormat="1" applyFont="1" applyFill="1" applyBorder="1"/>
    <xf numFmtId="0" fontId="18" fillId="4" borderId="1" xfId="0" applyFont="1" applyFill="1" applyBorder="1"/>
    <xf numFmtId="167" fontId="11" fillId="8" borderId="1" xfId="0" applyNumberFormat="1" applyFont="1" applyFill="1" applyBorder="1"/>
    <xf numFmtId="167" fontId="7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  <wetp:taskpane dockstate="right" visibility="0" width="525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AB4583E-256F-48BD-B5E2-8405A480D7C9}">
  <we:reference id="wa200009404" version="1.0.0.8" store="fr-FR" storeType="OMEX"/>
  <we:alternateReferences>
    <we:reference id="WA200009404" version="1.0.0.8" store="" storeType="OMEX"/>
  </we:alternateReferences>
  <we:properties>
    <we:property name="claude.fileId" value="&quot;cbc078e7-9869-4f74-939c-bb972277436d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FC942CF0-EAEF-473A-BE9B-2F06ECDD36EC}">
  <we:reference id="wa200010725" version="1.0.0.1" store="fr-FR" storeType="OMEX"/>
  <we:alternateReferences>
    <we:reference id="WA200010725" version="1.0.0.1" store="" storeType="OMEX"/>
  </we:alternateReferences>
  <we:properties>
    <we:property name="claude.fileId" value="&quot;5269c441-cb3d-4b86-9209-ba65c821e5e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44DB-8C71-4A8A-A457-0A27A3813ADD}">
  <dimension ref="A1:B20"/>
  <sheetViews>
    <sheetView zoomScaleNormal="100" workbookViewId="0">
      <selection activeCell="B5" sqref="B5"/>
    </sheetView>
  </sheetViews>
  <sheetFormatPr baseColWidth="10" defaultRowHeight="12.5" x14ac:dyDescent="0.25"/>
  <cols>
    <col min="1" max="1" width="26.6328125" style="1" customWidth="1"/>
    <col min="2" max="2" width="110.6328125" style="1" customWidth="1"/>
    <col min="3" max="16384" width="10.90625" style="1"/>
  </cols>
  <sheetData>
    <row r="1" spans="1:2" ht="18" x14ac:dyDescent="0.4">
      <c r="A1" s="3" t="s">
        <v>422</v>
      </c>
    </row>
    <row r="2" spans="1:2" ht="13" x14ac:dyDescent="0.3">
      <c r="A2" s="4" t="s">
        <v>469</v>
      </c>
    </row>
    <row r="4" spans="1:2" ht="13" x14ac:dyDescent="0.25">
      <c r="A4" s="6" t="s">
        <v>0</v>
      </c>
      <c r="B4" s="6" t="s">
        <v>1</v>
      </c>
    </row>
    <row r="5" spans="1:2" ht="13" x14ac:dyDescent="0.25">
      <c r="A5" s="8" t="s">
        <v>2</v>
      </c>
      <c r="B5" s="9" t="s">
        <v>3</v>
      </c>
    </row>
    <row r="6" spans="1:2" ht="62.5" x14ac:dyDescent="0.25">
      <c r="A6" s="8" t="s">
        <v>4</v>
      </c>
      <c r="B6" s="9" t="s">
        <v>470</v>
      </c>
    </row>
    <row r="7" spans="1:2" ht="50" x14ac:dyDescent="0.25">
      <c r="A7" s="8" t="s">
        <v>5</v>
      </c>
      <c r="B7" s="9" t="s">
        <v>423</v>
      </c>
    </row>
    <row r="8" spans="1:2" ht="25" x14ac:dyDescent="0.25">
      <c r="A8" s="8" t="s">
        <v>6</v>
      </c>
      <c r="B8" s="9" t="s">
        <v>7</v>
      </c>
    </row>
    <row r="9" spans="1:2" ht="25" x14ac:dyDescent="0.25">
      <c r="A9" s="8" t="s">
        <v>8</v>
      </c>
      <c r="B9" s="9" t="s">
        <v>9</v>
      </c>
    </row>
    <row r="10" spans="1:2" ht="25" x14ac:dyDescent="0.25">
      <c r="A10" s="8" t="s">
        <v>10</v>
      </c>
      <c r="B10" s="9" t="s">
        <v>11</v>
      </c>
    </row>
    <row r="11" spans="1:2" ht="25" x14ac:dyDescent="0.25">
      <c r="A11" s="8" t="s">
        <v>12</v>
      </c>
      <c r="B11" s="9" t="s">
        <v>13</v>
      </c>
    </row>
    <row r="12" spans="1:2" ht="25" x14ac:dyDescent="0.25">
      <c r="A12" s="8" t="s">
        <v>14</v>
      </c>
      <c r="B12" s="9" t="s">
        <v>15</v>
      </c>
    </row>
    <row r="13" spans="1:2" ht="25" x14ac:dyDescent="0.25">
      <c r="A13" s="8" t="s">
        <v>16</v>
      </c>
      <c r="B13" s="9" t="s">
        <v>17</v>
      </c>
    </row>
    <row r="14" spans="1:2" ht="13" x14ac:dyDescent="0.25">
      <c r="A14" s="8" t="s">
        <v>18</v>
      </c>
      <c r="B14" s="9" t="s">
        <v>19</v>
      </c>
    </row>
    <row r="15" spans="1:2" ht="37.5" x14ac:dyDescent="0.25">
      <c r="A15" s="8" t="s">
        <v>20</v>
      </c>
      <c r="B15" s="9" t="s">
        <v>424</v>
      </c>
    </row>
    <row r="16" spans="1:2" ht="25" x14ac:dyDescent="0.25">
      <c r="A16" s="8" t="s">
        <v>21</v>
      </c>
      <c r="B16" s="9" t="s">
        <v>22</v>
      </c>
    </row>
    <row r="17" spans="1:2" ht="37.5" x14ac:dyDescent="0.25">
      <c r="A17" s="8" t="s">
        <v>147</v>
      </c>
      <c r="B17" s="9" t="s">
        <v>148</v>
      </c>
    </row>
    <row r="18" spans="1:2" ht="50" x14ac:dyDescent="0.25">
      <c r="A18" s="8" t="s">
        <v>177</v>
      </c>
      <c r="B18" s="9" t="s">
        <v>178</v>
      </c>
    </row>
    <row r="19" spans="1:2" ht="50" x14ac:dyDescent="0.25">
      <c r="A19" s="8" t="s">
        <v>200</v>
      </c>
      <c r="B19" s="9" t="s">
        <v>201</v>
      </c>
    </row>
    <row r="20" spans="1:2" ht="37.5" x14ac:dyDescent="0.25">
      <c r="A20" s="8" t="s">
        <v>264</v>
      </c>
      <c r="B20" s="9" t="s">
        <v>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1D319-BD4D-4D17-92CD-E81490C46EAF}">
  <dimension ref="A1:I43"/>
  <sheetViews>
    <sheetView tabSelected="1" zoomScaleNormal="100" workbookViewId="0">
      <pane ySplit="5" topLeftCell="A6" activePane="bottomLeft" state="frozenSplit"/>
      <selection pane="bottomLeft" activeCell="G12" sqref="G12"/>
    </sheetView>
  </sheetViews>
  <sheetFormatPr baseColWidth="10" defaultRowHeight="12.5" x14ac:dyDescent="0.25"/>
  <cols>
    <col min="1" max="1" width="50.6328125" style="1" customWidth="1"/>
    <col min="2" max="2" width="18.6328125" style="1" customWidth="1"/>
    <col min="3" max="5" width="15.6328125" style="1" customWidth="1"/>
    <col min="6" max="6" width="17.6328125" style="1" customWidth="1"/>
    <col min="7" max="7" width="8.6328125" style="1" customWidth="1"/>
    <col min="8" max="8" width="60.6328125" style="1" customWidth="1"/>
    <col min="9" max="9" width="12.6328125" style="1" customWidth="1"/>
    <col min="10" max="16384" width="10.90625" style="1"/>
  </cols>
  <sheetData>
    <row r="1" spans="1:9" ht="18" x14ac:dyDescent="0.4">
      <c r="A1" s="3" t="s">
        <v>23</v>
      </c>
    </row>
    <row r="2" spans="1:9" ht="13" x14ac:dyDescent="0.3">
      <c r="A2" s="4" t="s">
        <v>24</v>
      </c>
    </row>
    <row r="3" spans="1:9" ht="13" x14ac:dyDescent="0.3">
      <c r="A3" s="4" t="s">
        <v>25</v>
      </c>
    </row>
    <row r="5" spans="1:9" ht="42" customHeight="1" x14ac:dyDescent="0.25">
      <c r="A5" s="6" t="s">
        <v>26</v>
      </c>
      <c r="B5" s="6" t="s">
        <v>27</v>
      </c>
      <c r="C5" s="6" t="s">
        <v>28</v>
      </c>
      <c r="D5" s="6" t="s">
        <v>29</v>
      </c>
      <c r="E5" s="6" t="s">
        <v>30</v>
      </c>
      <c r="F5" s="6" t="s">
        <v>31</v>
      </c>
      <c r="G5" s="6" t="s">
        <v>32</v>
      </c>
      <c r="H5" s="6" t="s">
        <v>33</v>
      </c>
      <c r="I5" s="6" t="s">
        <v>34</v>
      </c>
    </row>
    <row r="6" spans="1:9" ht="13" x14ac:dyDescent="0.3">
      <c r="A6" s="10" t="s">
        <v>35</v>
      </c>
      <c r="B6" s="10"/>
      <c r="C6" s="10"/>
      <c r="D6" s="10"/>
      <c r="E6" s="10"/>
      <c r="F6" s="10"/>
      <c r="G6" s="10"/>
      <c r="H6" s="10"/>
      <c r="I6" s="10"/>
    </row>
    <row r="7" spans="1:9" ht="37.5" x14ac:dyDescent="0.25">
      <c r="A7" s="18" t="s">
        <v>36</v>
      </c>
      <c r="B7" s="18" t="s">
        <v>37</v>
      </c>
      <c r="C7" s="19">
        <v>40</v>
      </c>
      <c r="D7" s="19">
        <v>35</v>
      </c>
      <c r="E7" s="19">
        <v>30</v>
      </c>
      <c r="F7" s="19">
        <v>30</v>
      </c>
      <c r="G7" s="20" t="s">
        <v>117</v>
      </c>
      <c r="H7" s="21" t="s">
        <v>416</v>
      </c>
      <c r="I7" s="20" t="s">
        <v>417</v>
      </c>
    </row>
    <row r="8" spans="1:9" ht="37.5" x14ac:dyDescent="0.25">
      <c r="A8" s="18" t="s">
        <v>38</v>
      </c>
      <c r="B8" s="18" t="s">
        <v>39</v>
      </c>
      <c r="C8" s="22">
        <v>1</v>
      </c>
      <c r="D8" s="22">
        <v>1</v>
      </c>
      <c r="E8" s="22">
        <v>1</v>
      </c>
      <c r="F8" s="22">
        <v>1</v>
      </c>
      <c r="G8" s="20" t="s">
        <v>82</v>
      </c>
      <c r="H8" s="21" t="s">
        <v>418</v>
      </c>
      <c r="I8" s="20" t="s">
        <v>83</v>
      </c>
    </row>
    <row r="9" spans="1:9" ht="13" x14ac:dyDescent="0.25">
      <c r="A9" s="8" t="s">
        <v>40</v>
      </c>
      <c r="B9" s="8" t="s">
        <v>41</v>
      </c>
      <c r="C9" s="23">
        <f t="shared" ref="C9:F9" si="0">ROUND(C7*C8,0)</f>
        <v>40</v>
      </c>
      <c r="D9" s="23">
        <f t="shared" si="0"/>
        <v>35</v>
      </c>
      <c r="E9" s="23">
        <f t="shared" si="0"/>
        <v>30</v>
      </c>
      <c r="F9" s="23">
        <f t="shared" si="0"/>
        <v>30</v>
      </c>
      <c r="G9" s="20"/>
      <c r="H9" s="21"/>
      <c r="I9" s="20"/>
    </row>
    <row r="10" spans="1:9" ht="25" x14ac:dyDescent="0.25">
      <c r="A10" s="18" t="s">
        <v>42</v>
      </c>
      <c r="B10" s="18" t="s">
        <v>43</v>
      </c>
      <c r="C10" s="24">
        <v>290</v>
      </c>
      <c r="D10" s="24">
        <v>420</v>
      </c>
      <c r="E10" s="24">
        <v>690</v>
      </c>
      <c r="F10" s="24">
        <v>500</v>
      </c>
      <c r="G10" s="20" t="s">
        <v>80</v>
      </c>
      <c r="H10" s="21" t="s">
        <v>84</v>
      </c>
      <c r="I10" s="20" t="s">
        <v>81</v>
      </c>
    </row>
    <row r="11" spans="1:9" ht="37.5" x14ac:dyDescent="0.25">
      <c r="A11" s="18" t="s">
        <v>44</v>
      </c>
      <c r="B11" s="18" t="s">
        <v>45</v>
      </c>
      <c r="C11" s="25">
        <v>0</v>
      </c>
      <c r="D11" s="25">
        <v>0</v>
      </c>
      <c r="E11" s="25">
        <v>0</v>
      </c>
      <c r="F11" s="25"/>
      <c r="G11" s="20" t="s">
        <v>80</v>
      </c>
      <c r="H11" s="21" t="s">
        <v>85</v>
      </c>
      <c r="I11" s="20" t="s">
        <v>81</v>
      </c>
    </row>
    <row r="12" spans="1:9" ht="50" x14ac:dyDescent="0.25">
      <c r="A12" s="18" t="s">
        <v>46</v>
      </c>
      <c r="B12" s="18" t="s">
        <v>47</v>
      </c>
      <c r="C12" s="22">
        <v>0.12</v>
      </c>
      <c r="D12" s="22">
        <v>0.12</v>
      </c>
      <c r="E12" s="22">
        <v>0.12</v>
      </c>
      <c r="F12" s="22">
        <v>0.12</v>
      </c>
      <c r="G12" s="20" t="s">
        <v>82</v>
      </c>
      <c r="H12" s="21" t="s">
        <v>86</v>
      </c>
      <c r="I12" s="20" t="s">
        <v>83</v>
      </c>
    </row>
    <row r="13" spans="1:9" ht="13" x14ac:dyDescent="0.25">
      <c r="A13" s="8" t="s">
        <v>48</v>
      </c>
      <c r="B13" s="8" t="s">
        <v>49</v>
      </c>
      <c r="C13" s="26">
        <f t="shared" ref="C13:F13" si="1">C10/(1+C12)</f>
        <v>258.92857142857139</v>
      </c>
      <c r="D13" s="26">
        <f t="shared" si="1"/>
        <v>374.99999999999994</v>
      </c>
      <c r="E13" s="26">
        <f t="shared" si="1"/>
        <v>616.07142857142856</v>
      </c>
      <c r="F13" s="26">
        <f t="shared" si="1"/>
        <v>446.42857142857139</v>
      </c>
      <c r="G13" s="20"/>
      <c r="H13" s="21"/>
      <c r="I13" s="20"/>
    </row>
    <row r="14" spans="1:9" ht="13" x14ac:dyDescent="0.25">
      <c r="A14" s="8" t="s">
        <v>50</v>
      </c>
      <c r="B14" s="8" t="s">
        <v>51</v>
      </c>
      <c r="C14" s="27">
        <f t="shared" ref="C14:F14" si="2">C11/(1+C12)</f>
        <v>0</v>
      </c>
      <c r="D14" s="27">
        <f t="shared" si="2"/>
        <v>0</v>
      </c>
      <c r="E14" s="27">
        <f t="shared" si="2"/>
        <v>0</v>
      </c>
      <c r="F14" s="27">
        <f t="shared" si="2"/>
        <v>0</v>
      </c>
      <c r="G14" s="20"/>
      <c r="H14" s="21"/>
      <c r="I14" s="20"/>
    </row>
    <row r="15" spans="1:9" x14ac:dyDescent="0.25">
      <c r="A15" s="18" t="s">
        <v>52</v>
      </c>
      <c r="B15" s="18" t="s">
        <v>51</v>
      </c>
      <c r="C15" s="25">
        <v>0</v>
      </c>
      <c r="D15" s="25">
        <v>0</v>
      </c>
      <c r="E15" s="25">
        <v>0</v>
      </c>
      <c r="F15" s="25">
        <v>0</v>
      </c>
      <c r="G15" s="20" t="s">
        <v>82</v>
      </c>
      <c r="H15" s="21" t="s">
        <v>87</v>
      </c>
      <c r="I15" s="20" t="s">
        <v>81</v>
      </c>
    </row>
    <row r="16" spans="1:9" ht="25" x14ac:dyDescent="0.25">
      <c r="A16" s="18" t="s">
        <v>53</v>
      </c>
      <c r="B16" s="18" t="s">
        <v>51</v>
      </c>
      <c r="C16" s="25">
        <v>0</v>
      </c>
      <c r="D16" s="25">
        <v>0</v>
      </c>
      <c r="E16" s="25">
        <v>0</v>
      </c>
      <c r="F16" s="25">
        <v>0</v>
      </c>
      <c r="G16" s="20" t="s">
        <v>82</v>
      </c>
      <c r="H16" s="21" t="s">
        <v>88</v>
      </c>
      <c r="I16" s="20" t="s">
        <v>89</v>
      </c>
    </row>
    <row r="17" spans="1:9" ht="13" x14ac:dyDescent="0.25">
      <c r="A17" s="8" t="s">
        <v>54</v>
      </c>
      <c r="B17" s="8" t="s">
        <v>51</v>
      </c>
      <c r="C17" s="27">
        <f t="shared" ref="C17:E17" si="3">MAX(C9*C13+C14,C15)+C16</f>
        <v>10357.142857142855</v>
      </c>
      <c r="D17" s="27">
        <f t="shared" si="3"/>
        <v>13124.999999999998</v>
      </c>
      <c r="E17" s="27">
        <f t="shared" si="3"/>
        <v>18482.142857142855</v>
      </c>
      <c r="F17" s="27">
        <f>MAX(F9*F13+F14,F15)+F16</f>
        <v>13392.857142857141</v>
      </c>
      <c r="G17" s="20"/>
      <c r="H17" s="21"/>
      <c r="I17" s="20"/>
    </row>
    <row r="18" spans="1:9" ht="13" x14ac:dyDescent="0.25">
      <c r="A18" s="28" t="s">
        <v>55</v>
      </c>
      <c r="B18" s="28"/>
      <c r="C18" s="28"/>
      <c r="D18" s="28"/>
      <c r="E18" s="28"/>
      <c r="F18" s="28"/>
      <c r="G18" s="28"/>
      <c r="H18" s="29"/>
      <c r="I18" s="28"/>
    </row>
    <row r="19" spans="1:9" ht="50" x14ac:dyDescent="0.25">
      <c r="A19" s="18" t="s">
        <v>56</v>
      </c>
      <c r="B19" s="18" t="s">
        <v>51</v>
      </c>
      <c r="C19" s="25">
        <v>1000</v>
      </c>
      <c r="D19" s="25">
        <v>1000</v>
      </c>
      <c r="E19" s="25">
        <v>1000</v>
      </c>
      <c r="F19" s="25">
        <v>1000</v>
      </c>
      <c r="G19" s="20" t="s">
        <v>82</v>
      </c>
      <c r="H19" s="21" t="s">
        <v>90</v>
      </c>
      <c r="I19" s="20" t="s">
        <v>89</v>
      </c>
    </row>
    <row r="20" spans="1:9" ht="50" x14ac:dyDescent="0.25">
      <c r="A20" s="18" t="s">
        <v>57</v>
      </c>
      <c r="B20" s="18" t="s">
        <v>51</v>
      </c>
      <c r="C20" s="25">
        <v>950</v>
      </c>
      <c r="D20" s="25">
        <v>2000</v>
      </c>
      <c r="E20" s="25">
        <v>3500</v>
      </c>
      <c r="F20" s="25">
        <v>1800</v>
      </c>
      <c r="G20" s="20" t="s">
        <v>82</v>
      </c>
      <c r="H20" s="21" t="s">
        <v>91</v>
      </c>
      <c r="I20" s="20" t="s">
        <v>89</v>
      </c>
    </row>
    <row r="21" spans="1:9" ht="25" x14ac:dyDescent="0.25">
      <c r="A21" s="18" t="s">
        <v>58</v>
      </c>
      <c r="B21" s="18" t="s">
        <v>59</v>
      </c>
      <c r="C21" s="22">
        <v>0</v>
      </c>
      <c r="D21" s="22">
        <v>0</v>
      </c>
      <c r="E21" s="22">
        <v>0</v>
      </c>
      <c r="F21" s="22">
        <v>0</v>
      </c>
      <c r="G21" s="20" t="s">
        <v>82</v>
      </c>
      <c r="H21" s="21" t="s">
        <v>92</v>
      </c>
      <c r="I21" s="20" t="s">
        <v>89</v>
      </c>
    </row>
    <row r="22" spans="1:9" ht="13" x14ac:dyDescent="0.25">
      <c r="A22" s="8" t="s">
        <v>60</v>
      </c>
      <c r="B22" s="8" t="s">
        <v>51</v>
      </c>
      <c r="C22" s="27">
        <f t="shared" ref="C22:F22" si="4">C20+C21*C17</f>
        <v>950</v>
      </c>
      <c r="D22" s="27">
        <f t="shared" si="4"/>
        <v>2000</v>
      </c>
      <c r="E22" s="27">
        <f t="shared" si="4"/>
        <v>3500</v>
      </c>
      <c r="F22" s="27">
        <f t="shared" si="4"/>
        <v>1800</v>
      </c>
      <c r="G22" s="20"/>
      <c r="H22" s="21"/>
      <c r="I22" s="20"/>
    </row>
    <row r="23" spans="1:9" ht="37.5" x14ac:dyDescent="0.25">
      <c r="A23" s="18" t="s">
        <v>61</v>
      </c>
      <c r="B23" s="18" t="s">
        <v>49</v>
      </c>
      <c r="C23" s="24">
        <v>55</v>
      </c>
      <c r="D23" s="24">
        <v>70</v>
      </c>
      <c r="E23" s="24">
        <v>90</v>
      </c>
      <c r="F23" s="24">
        <v>70</v>
      </c>
      <c r="G23" s="20" t="s">
        <v>82</v>
      </c>
      <c r="H23" s="21" t="s">
        <v>93</v>
      </c>
      <c r="I23" s="20" t="s">
        <v>94</v>
      </c>
    </row>
    <row r="24" spans="1:9" ht="25" x14ac:dyDescent="0.25">
      <c r="A24" s="18" t="s">
        <v>62</v>
      </c>
      <c r="B24" s="18" t="s">
        <v>49</v>
      </c>
      <c r="C24" s="24">
        <v>30</v>
      </c>
      <c r="D24" s="24">
        <v>42</v>
      </c>
      <c r="E24" s="24">
        <v>60</v>
      </c>
      <c r="F24" s="24">
        <v>30</v>
      </c>
      <c r="G24" s="20" t="s">
        <v>82</v>
      </c>
      <c r="H24" s="21" t="s">
        <v>95</v>
      </c>
      <c r="I24" s="20" t="s">
        <v>94</v>
      </c>
    </row>
    <row r="25" spans="1:9" ht="13" x14ac:dyDescent="0.25">
      <c r="A25" s="8" t="s">
        <v>63</v>
      </c>
      <c r="B25" s="8" t="s">
        <v>51</v>
      </c>
      <c r="C25" s="27">
        <f>C9*(C23+C24)</f>
        <v>3400</v>
      </c>
      <c r="D25" s="27">
        <f t="shared" ref="D25:F25" si="5">D9*(D23+D24)</f>
        <v>3920</v>
      </c>
      <c r="E25" s="27">
        <f t="shared" si="5"/>
        <v>4500</v>
      </c>
      <c r="F25" s="27">
        <f t="shared" si="5"/>
        <v>3000</v>
      </c>
      <c r="G25" s="20"/>
      <c r="H25" s="21"/>
      <c r="I25" s="20"/>
    </row>
    <row r="26" spans="1:9" ht="50" x14ac:dyDescent="0.25">
      <c r="A26" s="18" t="s">
        <v>176</v>
      </c>
      <c r="B26" s="18" t="s">
        <v>51</v>
      </c>
      <c r="C26" s="44">
        <f>0.15*C17</f>
        <v>1553.5714285714282</v>
      </c>
      <c r="D26" s="44">
        <f>0.2*D17</f>
        <v>2625</v>
      </c>
      <c r="E26" s="44">
        <f>0.2*E17</f>
        <v>3696.4285714285711</v>
      </c>
      <c r="F26" s="44">
        <f t="shared" ref="F26" si="6">0.15*F17</f>
        <v>2008.9285714285711</v>
      </c>
      <c r="G26" s="20" t="s">
        <v>117</v>
      </c>
      <c r="H26" s="21" t="s">
        <v>419</v>
      </c>
      <c r="I26" s="20" t="s">
        <v>417</v>
      </c>
    </row>
    <row r="27" spans="1:9" x14ac:dyDescent="0.25">
      <c r="A27" s="18" t="s">
        <v>64</v>
      </c>
      <c r="B27" s="18" t="s">
        <v>51</v>
      </c>
      <c r="C27" s="25">
        <v>150</v>
      </c>
      <c r="D27" s="25">
        <v>150</v>
      </c>
      <c r="E27" s="25">
        <v>150</v>
      </c>
      <c r="F27" s="25">
        <v>150</v>
      </c>
      <c r="G27" s="20" t="s">
        <v>82</v>
      </c>
      <c r="H27" s="21" t="s">
        <v>96</v>
      </c>
      <c r="I27" s="20" t="s">
        <v>94</v>
      </c>
    </row>
    <row r="28" spans="1:9" x14ac:dyDescent="0.25">
      <c r="A28" s="18" t="s">
        <v>65</v>
      </c>
      <c r="B28" s="18" t="s">
        <v>51</v>
      </c>
      <c r="C28" s="25">
        <v>150</v>
      </c>
      <c r="D28" s="25">
        <v>150</v>
      </c>
      <c r="E28" s="25">
        <v>150</v>
      </c>
      <c r="F28" s="25">
        <v>150</v>
      </c>
      <c r="G28" s="20" t="s">
        <v>82</v>
      </c>
      <c r="H28" s="21" t="s">
        <v>97</v>
      </c>
      <c r="I28" s="20" t="s">
        <v>98</v>
      </c>
    </row>
    <row r="29" spans="1:9" x14ac:dyDescent="0.25">
      <c r="A29" s="18" t="s">
        <v>66</v>
      </c>
      <c r="B29" s="18" t="s">
        <v>51</v>
      </c>
      <c r="C29" s="25">
        <v>200</v>
      </c>
      <c r="D29" s="25">
        <v>200</v>
      </c>
      <c r="E29" s="25">
        <v>200</v>
      </c>
      <c r="F29" s="25">
        <v>150</v>
      </c>
      <c r="G29" s="20" t="s">
        <v>82</v>
      </c>
      <c r="H29" s="21" t="s">
        <v>99</v>
      </c>
      <c r="I29" s="20" t="s">
        <v>94</v>
      </c>
    </row>
    <row r="30" spans="1:9" ht="37.5" x14ac:dyDescent="0.25">
      <c r="A30" s="18" t="s">
        <v>67</v>
      </c>
      <c r="B30" s="18" t="s">
        <v>59</v>
      </c>
      <c r="C30" s="22">
        <v>1.6E-2</v>
      </c>
      <c r="D30" s="22">
        <v>1.6E-2</v>
      </c>
      <c r="E30" s="22">
        <v>1.6E-2</v>
      </c>
      <c r="F30" s="22">
        <v>0</v>
      </c>
      <c r="G30" s="20" t="s">
        <v>82</v>
      </c>
      <c r="H30" s="21" t="s">
        <v>100</v>
      </c>
      <c r="I30" s="20" t="s">
        <v>83</v>
      </c>
    </row>
    <row r="31" spans="1:9" ht="37.5" x14ac:dyDescent="0.25">
      <c r="A31" s="18" t="s">
        <v>68</v>
      </c>
      <c r="B31" s="18" t="s">
        <v>59</v>
      </c>
      <c r="C31" s="22">
        <v>0</v>
      </c>
      <c r="D31" s="22">
        <v>0.05</v>
      </c>
      <c r="E31" s="22">
        <v>0.05</v>
      </c>
      <c r="F31" s="22">
        <v>0.05</v>
      </c>
      <c r="G31" s="20" t="s">
        <v>82</v>
      </c>
      <c r="H31" s="21" t="s">
        <v>101</v>
      </c>
      <c r="I31" s="20" t="s">
        <v>102</v>
      </c>
    </row>
    <row r="32" spans="1:9" ht="13" x14ac:dyDescent="0.25">
      <c r="A32" s="8" t="s">
        <v>69</v>
      </c>
      <c r="B32" s="8" t="s">
        <v>51</v>
      </c>
      <c r="C32" s="27">
        <f t="shared" ref="C32:F32" si="7">(C30+C31)*C17</f>
        <v>165.71428571428569</v>
      </c>
      <c r="D32" s="27">
        <f t="shared" si="7"/>
        <v>866.24999999999989</v>
      </c>
      <c r="E32" s="27">
        <f t="shared" si="7"/>
        <v>1219.8214285714284</v>
      </c>
      <c r="F32" s="27">
        <f t="shared" si="7"/>
        <v>669.64285714285711</v>
      </c>
      <c r="G32" s="20"/>
      <c r="H32" s="21"/>
      <c r="I32" s="20"/>
    </row>
    <row r="33" spans="1:9" x14ac:dyDescent="0.25">
      <c r="A33" s="18" t="s">
        <v>421</v>
      </c>
      <c r="B33" s="18" t="s">
        <v>51</v>
      </c>
      <c r="C33" s="25">
        <v>0</v>
      </c>
      <c r="D33" s="25">
        <v>0</v>
      </c>
      <c r="E33" s="25">
        <v>0</v>
      </c>
      <c r="F33" s="25">
        <v>0</v>
      </c>
      <c r="G33" s="20" t="s">
        <v>117</v>
      </c>
      <c r="H33" s="21" t="s">
        <v>420</v>
      </c>
      <c r="I33" s="20" t="s">
        <v>417</v>
      </c>
    </row>
    <row r="34" spans="1:9" ht="13" x14ac:dyDescent="0.25">
      <c r="A34" s="8" t="s">
        <v>70</v>
      </c>
      <c r="B34" s="8" t="s">
        <v>51</v>
      </c>
      <c r="C34" s="27">
        <f t="shared" ref="C34:F34" si="8">C19+C22+C25+C26+C27+C28+C29+C32+C33</f>
        <v>7569.2857142857138</v>
      </c>
      <c r="D34" s="27">
        <f t="shared" si="8"/>
        <v>10911.25</v>
      </c>
      <c r="E34" s="27">
        <f t="shared" si="8"/>
        <v>14416.25</v>
      </c>
      <c r="F34" s="27">
        <f t="shared" si="8"/>
        <v>8928.5714285714275</v>
      </c>
      <c r="G34" s="20"/>
      <c r="H34" s="21"/>
      <c r="I34" s="20"/>
    </row>
    <row r="35" spans="1:9" ht="13" x14ac:dyDescent="0.25">
      <c r="A35" s="28" t="s">
        <v>71</v>
      </c>
      <c r="B35" s="28"/>
      <c r="C35" s="28"/>
      <c r="D35" s="28"/>
      <c r="E35" s="28"/>
      <c r="F35" s="28"/>
      <c r="G35" s="28"/>
      <c r="H35" s="29"/>
      <c r="I35" s="28"/>
    </row>
    <row r="36" spans="1:9" ht="13" x14ac:dyDescent="0.25">
      <c r="A36" s="8" t="s">
        <v>72</v>
      </c>
      <c r="B36" s="8" t="s">
        <v>51</v>
      </c>
      <c r="C36" s="27">
        <f t="shared" ref="C36:F36" si="9">C17-C34</f>
        <v>2787.8571428571413</v>
      </c>
      <c r="D36" s="27">
        <f t="shared" si="9"/>
        <v>2213.7499999999982</v>
      </c>
      <c r="E36" s="27">
        <f t="shared" si="9"/>
        <v>4065.8928571428551</v>
      </c>
      <c r="F36" s="27">
        <f t="shared" si="9"/>
        <v>4464.2857142857138</v>
      </c>
      <c r="G36" s="20"/>
      <c r="H36" s="21"/>
      <c r="I36" s="20"/>
    </row>
    <row r="37" spans="1:9" ht="13" x14ac:dyDescent="0.25">
      <c r="A37" s="8" t="s">
        <v>73</v>
      </c>
      <c r="B37" s="8" t="s">
        <v>59</v>
      </c>
      <c r="C37" s="30">
        <f t="shared" ref="C37:F37" si="10">IF(C17&gt;0,C36/C17,0)</f>
        <v>0.26917241379310336</v>
      </c>
      <c r="D37" s="30">
        <f t="shared" si="10"/>
        <v>0.16866666666666655</v>
      </c>
      <c r="E37" s="30">
        <f t="shared" si="10"/>
        <v>0.21999033816425112</v>
      </c>
      <c r="F37" s="30">
        <f t="shared" si="10"/>
        <v>0.33333333333333331</v>
      </c>
      <c r="G37" s="20"/>
      <c r="H37" s="21"/>
      <c r="I37" s="20"/>
    </row>
    <row r="38" spans="1:9" ht="13" x14ac:dyDescent="0.25">
      <c r="A38" s="8" t="s">
        <v>74</v>
      </c>
      <c r="B38" s="8" t="s">
        <v>49</v>
      </c>
      <c r="C38" s="26">
        <f t="shared" ref="C38:F38" si="11">IF(C9&gt;0,C36/C9,0)</f>
        <v>69.696428571428527</v>
      </c>
      <c r="D38" s="26">
        <f t="shared" si="11"/>
        <v>63.24999999999995</v>
      </c>
      <c r="E38" s="26">
        <f t="shared" si="11"/>
        <v>135.52976190476184</v>
      </c>
      <c r="F38" s="26">
        <f t="shared" si="11"/>
        <v>148.8095238095238</v>
      </c>
      <c r="G38" s="20"/>
      <c r="H38" s="21"/>
      <c r="I38" s="20"/>
    </row>
    <row r="39" spans="1:9" ht="13" x14ac:dyDescent="0.25">
      <c r="A39" s="8" t="s">
        <v>75</v>
      </c>
      <c r="B39" s="8" t="s">
        <v>59</v>
      </c>
      <c r="C39" s="30">
        <f t="shared" ref="C39:F39" si="12">IF(C17&gt;0,C19/C17,0)</f>
        <v>9.6551724137931047E-2</v>
      </c>
      <c r="D39" s="30">
        <f t="shared" si="12"/>
        <v>7.6190476190476197E-2</v>
      </c>
      <c r="E39" s="30">
        <f t="shared" si="12"/>
        <v>5.4106280193236718E-2</v>
      </c>
      <c r="F39" s="30">
        <f t="shared" si="12"/>
        <v>7.4666666666666673E-2</v>
      </c>
      <c r="G39" s="20"/>
      <c r="H39" s="21"/>
      <c r="I39" s="20"/>
    </row>
    <row r="40" spans="1:9" ht="13" x14ac:dyDescent="0.25">
      <c r="A40" s="8" t="s">
        <v>76</v>
      </c>
      <c r="B40" s="8" t="s">
        <v>59</v>
      </c>
      <c r="C40" s="30">
        <f t="shared" ref="C40:F40" si="13">IF(C17&gt;0,C22/C17,0)</f>
        <v>9.1724137931034497E-2</v>
      </c>
      <c r="D40" s="30">
        <f t="shared" si="13"/>
        <v>0.15238095238095239</v>
      </c>
      <c r="E40" s="30">
        <f t="shared" si="13"/>
        <v>0.18937198067632852</v>
      </c>
      <c r="F40" s="30">
        <f t="shared" si="13"/>
        <v>0.13440000000000002</v>
      </c>
      <c r="G40" s="20"/>
      <c r="H40" s="21"/>
      <c r="I40" s="20"/>
    </row>
    <row r="41" spans="1:9" ht="13" x14ac:dyDescent="0.25">
      <c r="A41" s="8" t="s">
        <v>77</v>
      </c>
      <c r="B41" s="8" t="s">
        <v>59</v>
      </c>
      <c r="C41" s="30">
        <f t="shared" ref="C41:F41" si="14">C37</f>
        <v>0.26917241379310336</v>
      </c>
      <c r="D41" s="30">
        <f t="shared" si="14"/>
        <v>0.16866666666666655</v>
      </c>
      <c r="E41" s="30">
        <f t="shared" si="14"/>
        <v>0.21999033816425112</v>
      </c>
      <c r="F41" s="30">
        <f t="shared" si="14"/>
        <v>0.33333333333333331</v>
      </c>
      <c r="G41" s="20"/>
      <c r="H41" s="21"/>
      <c r="I41" s="20"/>
    </row>
    <row r="42" spans="1:9" ht="13" x14ac:dyDescent="0.25">
      <c r="A42" s="8" t="s">
        <v>78</v>
      </c>
      <c r="B42" s="8" t="s">
        <v>43</v>
      </c>
      <c r="C42" s="26">
        <f t="shared" ref="C42:F42" si="15">IF(AND(C9&gt;0,1-C21-C30-C31&gt;0),((C19+C20+C26+C27+C28+C29+C33+C9*(C23+C24))/(1-C21-C30-C31)-C14-C16)/C9*(1+C12),0)</f>
        <v>210.67073170731712</v>
      </c>
      <c r="D42" s="26">
        <f t="shared" si="15"/>
        <v>344.1541755888652</v>
      </c>
      <c r="E42" s="26">
        <f t="shared" si="15"/>
        <v>527.48037116345472</v>
      </c>
      <c r="F42" s="26">
        <f t="shared" si="15"/>
        <v>324.561403508772</v>
      </c>
      <c r="G42" s="20"/>
      <c r="H42" s="21"/>
      <c r="I42" s="20"/>
    </row>
    <row r="43" spans="1:9" ht="13" x14ac:dyDescent="0.25">
      <c r="A43" s="8" t="s">
        <v>79</v>
      </c>
      <c r="B43" s="8" t="s">
        <v>39</v>
      </c>
      <c r="C43" s="30">
        <f t="shared" ref="C43:F43" si="16">IF(AND(C7&gt;0,C13*(1-C21-C30-C31)-(C23+C24)&gt;0),MAX(0,(C19+C20+C26+C27+C28+C29+C33-(C14+C16)*(1-C21-C30-C31))/(C13*(1-C21-C30-C31)-(C23+C24)))/C7,0)</f>
        <v>0.58950357593605396</v>
      </c>
      <c r="D43" s="30">
        <f t="shared" si="16"/>
        <v>0.73452256033578189</v>
      </c>
      <c r="E43" s="30">
        <f t="shared" si="16"/>
        <v>0.68141431949516584</v>
      </c>
      <c r="F43" s="30">
        <f t="shared" si="16"/>
        <v>0.54086317722681365</v>
      </c>
      <c r="G43" s="20"/>
      <c r="H43" s="21"/>
      <c r="I43" s="20"/>
    </row>
  </sheetData>
  <dataValidations count="2">
    <dataValidation type="list" allowBlank="1" showInputMessage="1" showErrorMessage="1" sqref="G7:G43" xr:uid="{367BEC60-7B5C-4261-9AAC-AAFB02185C2C}">
      <formula1>"F,I,P,H"</formula1>
    </dataValidation>
    <dataValidation type="list" allowBlank="1" showInputMessage="1" showErrorMessage="1" sqref="I7:I43" xr:uid="{8805CBC0-3FD3-42C2-8700-8117D67FA7D0}">
      <formula1>"Finance,Opérations,Ventes,Produit,Marketing,Juridique,Direction"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2CEE-3AA8-4CB7-9962-F225A7B6E75A}">
  <dimension ref="A1:I43"/>
  <sheetViews>
    <sheetView workbookViewId="0">
      <selection activeCell="E9" sqref="E9"/>
    </sheetView>
  </sheetViews>
  <sheetFormatPr baseColWidth="10" defaultRowHeight="12.5" x14ac:dyDescent="0.25"/>
  <cols>
    <col min="1" max="1" width="36.6328125" style="1" customWidth="1"/>
    <col min="2" max="2" width="11.6328125" style="1" customWidth="1"/>
    <col min="3" max="3" width="13.6328125" style="1" customWidth="1"/>
    <col min="4" max="6" width="12.6328125" style="1" customWidth="1"/>
    <col min="7" max="7" width="14.6328125" style="1" customWidth="1"/>
    <col min="8" max="8" width="10.6328125" style="1" customWidth="1"/>
    <col min="9" max="9" width="80.6328125" style="1" customWidth="1"/>
    <col min="10" max="16384" width="10.90625" style="1"/>
  </cols>
  <sheetData>
    <row r="1" spans="1:9" ht="18" x14ac:dyDescent="0.4">
      <c r="A1" s="3" t="s">
        <v>179</v>
      </c>
    </row>
    <row r="2" spans="1:9" ht="13" x14ac:dyDescent="0.3">
      <c r="A2" s="4" t="s">
        <v>180</v>
      </c>
    </row>
    <row r="4" spans="1:9" ht="38" x14ac:dyDescent="0.3">
      <c r="A4" s="2" t="s">
        <v>181</v>
      </c>
      <c r="D4" s="45"/>
      <c r="E4" s="45"/>
      <c r="F4" s="45"/>
      <c r="G4" s="45"/>
      <c r="H4" s="1" t="s">
        <v>80</v>
      </c>
      <c r="I4" s="7" t="s">
        <v>182</v>
      </c>
    </row>
    <row r="6" spans="1:9" ht="42" customHeight="1" x14ac:dyDescent="0.25">
      <c r="A6" s="6" t="s">
        <v>183</v>
      </c>
      <c r="B6" s="6" t="s">
        <v>149</v>
      </c>
      <c r="C6" s="6" t="s">
        <v>150</v>
      </c>
      <c r="D6" s="6" t="s">
        <v>104</v>
      </c>
      <c r="E6" s="6" t="s">
        <v>105</v>
      </c>
      <c r="F6" s="6" t="s">
        <v>106</v>
      </c>
      <c r="G6" s="6" t="s">
        <v>151</v>
      </c>
      <c r="H6" s="6" t="s">
        <v>152</v>
      </c>
      <c r="I6" s="6" t="s">
        <v>153</v>
      </c>
    </row>
    <row r="7" spans="1:9" ht="25" x14ac:dyDescent="0.25">
      <c r="A7" s="18" t="s">
        <v>154</v>
      </c>
      <c r="B7" s="42">
        <v>9</v>
      </c>
      <c r="C7" s="24">
        <v>35</v>
      </c>
      <c r="D7" s="19">
        <v>3</v>
      </c>
      <c r="E7" s="19">
        <v>3</v>
      </c>
      <c r="F7" s="19">
        <v>2</v>
      </c>
      <c r="G7" s="19">
        <v>1</v>
      </c>
      <c r="H7" s="43">
        <v>0</v>
      </c>
      <c r="I7" s="21" t="s">
        <v>155</v>
      </c>
    </row>
    <row r="8" spans="1:9" x14ac:dyDescent="0.25">
      <c r="A8" s="18" t="s">
        <v>156</v>
      </c>
      <c r="B8" s="42">
        <v>8</v>
      </c>
      <c r="C8" s="24">
        <v>45</v>
      </c>
      <c r="D8" s="19">
        <v>1</v>
      </c>
      <c r="E8" s="19">
        <v>1</v>
      </c>
      <c r="F8" s="19">
        <v>1</v>
      </c>
      <c r="G8" s="19">
        <v>1</v>
      </c>
      <c r="H8" s="43">
        <v>1</v>
      </c>
      <c r="I8" s="21" t="s">
        <v>157</v>
      </c>
    </row>
    <row r="9" spans="1:9" x14ac:dyDescent="0.25">
      <c r="A9" s="18" t="s">
        <v>158</v>
      </c>
      <c r="B9" s="42">
        <v>7</v>
      </c>
      <c r="C9" s="24">
        <v>35</v>
      </c>
      <c r="D9" s="19">
        <v>4</v>
      </c>
      <c r="E9" s="19">
        <v>4</v>
      </c>
      <c r="F9" s="19">
        <v>3</v>
      </c>
      <c r="G9" s="19">
        <v>2</v>
      </c>
      <c r="H9" s="43">
        <v>1</v>
      </c>
      <c r="I9" s="21" t="s">
        <v>159</v>
      </c>
    </row>
    <row r="10" spans="1:9" x14ac:dyDescent="0.25">
      <c r="A10" s="18" t="s">
        <v>160</v>
      </c>
      <c r="B10" s="42">
        <v>7</v>
      </c>
      <c r="C10" s="24">
        <v>35</v>
      </c>
      <c r="D10" s="19">
        <v>1</v>
      </c>
      <c r="E10" s="19">
        <v>1</v>
      </c>
      <c r="F10" s="19">
        <v>1</v>
      </c>
      <c r="G10" s="19">
        <v>1</v>
      </c>
      <c r="H10" s="43">
        <v>1</v>
      </c>
      <c r="I10" s="21" t="s">
        <v>161</v>
      </c>
    </row>
    <row r="11" spans="1:9" x14ac:dyDescent="0.25">
      <c r="A11" s="18" t="s">
        <v>162</v>
      </c>
      <c r="B11" s="42">
        <v>7</v>
      </c>
      <c r="C11" s="24">
        <v>60</v>
      </c>
      <c r="D11" s="19">
        <v>1</v>
      </c>
      <c r="E11" s="19">
        <v>1</v>
      </c>
      <c r="F11" s="19">
        <v>1</v>
      </c>
      <c r="G11" s="19">
        <v>1</v>
      </c>
      <c r="H11" s="43">
        <v>0</v>
      </c>
      <c r="I11" s="21" t="s">
        <v>163</v>
      </c>
    </row>
    <row r="12" spans="1:9" x14ac:dyDescent="0.25">
      <c r="A12" s="18" t="s">
        <v>164</v>
      </c>
      <c r="B12" s="42">
        <v>7</v>
      </c>
      <c r="C12" s="24">
        <v>38</v>
      </c>
      <c r="D12" s="19">
        <v>1</v>
      </c>
      <c r="E12" s="19">
        <v>1</v>
      </c>
      <c r="F12" s="19">
        <v>1</v>
      </c>
      <c r="G12" s="19">
        <v>0</v>
      </c>
      <c r="H12" s="43">
        <v>0</v>
      </c>
      <c r="I12" s="21" t="s">
        <v>165</v>
      </c>
    </row>
    <row r="13" spans="1:9" x14ac:dyDescent="0.25">
      <c r="A13" s="18" t="s">
        <v>166</v>
      </c>
      <c r="B13" s="42">
        <v>7</v>
      </c>
      <c r="C13" s="24">
        <v>30</v>
      </c>
      <c r="D13" s="19">
        <v>2</v>
      </c>
      <c r="E13" s="19">
        <v>2</v>
      </c>
      <c r="F13" s="19">
        <v>2</v>
      </c>
      <c r="G13" s="19">
        <v>1</v>
      </c>
      <c r="H13" s="43">
        <v>0</v>
      </c>
      <c r="I13" s="21" t="s">
        <v>167</v>
      </c>
    </row>
    <row r="14" spans="1:9" ht="25" x14ac:dyDescent="0.25">
      <c r="A14" s="18" t="s">
        <v>168</v>
      </c>
      <c r="B14" s="42">
        <v>10</v>
      </c>
      <c r="C14" s="24">
        <v>0</v>
      </c>
      <c r="D14" s="19">
        <v>1</v>
      </c>
      <c r="E14" s="19">
        <v>1</v>
      </c>
      <c r="F14" s="19">
        <v>1</v>
      </c>
      <c r="G14" s="19">
        <v>1</v>
      </c>
      <c r="H14" s="43">
        <v>0</v>
      </c>
      <c r="I14" s="21" t="s">
        <v>169</v>
      </c>
    </row>
    <row r="15" spans="1:9" ht="25" x14ac:dyDescent="0.25">
      <c r="A15" s="18" t="s">
        <v>170</v>
      </c>
      <c r="B15" s="42">
        <v>5</v>
      </c>
      <c r="C15" s="24">
        <v>0</v>
      </c>
      <c r="D15" s="19">
        <v>1</v>
      </c>
      <c r="E15" s="19">
        <v>1</v>
      </c>
      <c r="F15" s="19">
        <v>1</v>
      </c>
      <c r="G15" s="19">
        <v>1</v>
      </c>
      <c r="H15" s="43">
        <v>0</v>
      </c>
      <c r="I15" s="21" t="s">
        <v>171</v>
      </c>
    </row>
    <row r="16" spans="1:9" ht="13" x14ac:dyDescent="0.3">
      <c r="A16" s="4" t="s">
        <v>172</v>
      </c>
    </row>
    <row r="18" spans="1:9" ht="13" x14ac:dyDescent="0.3">
      <c r="A18" s="2" t="s">
        <v>173</v>
      </c>
      <c r="B18" s="2"/>
      <c r="C18" s="2"/>
      <c r="D18" s="13">
        <f>SUM(D7:D15)</f>
        <v>15</v>
      </c>
      <c r="E18" s="13">
        <f>SUM(E7:E15)</f>
        <v>15</v>
      </c>
      <c r="F18" s="13">
        <f>SUM(F7:F15)</f>
        <v>13</v>
      </c>
      <c r="G18" s="13">
        <f>SUM(G7:G15)</f>
        <v>9</v>
      </c>
    </row>
    <row r="19" spans="1:9" ht="13" x14ac:dyDescent="0.3">
      <c r="A19" s="2" t="s">
        <v>174</v>
      </c>
      <c r="B19" s="2"/>
      <c r="C19" s="2"/>
      <c r="D19" s="13">
        <f>SUMPRODUCT(D7:D15,$H$7:$H$15)</f>
        <v>6</v>
      </c>
      <c r="E19" s="13">
        <f>SUMPRODUCT(E7:E15,$H$7:$H$15)</f>
        <v>6</v>
      </c>
      <c r="F19" s="13">
        <f>SUMPRODUCT(F7:F15,$H$7:$H$15)</f>
        <v>5</v>
      </c>
      <c r="G19" s="13">
        <f>SUMPRODUCT(G7:G15,$H$7:$H$15)</f>
        <v>4</v>
      </c>
    </row>
    <row r="20" spans="1:9" ht="13" x14ac:dyDescent="0.3">
      <c r="A20" s="2" t="s">
        <v>175</v>
      </c>
      <c r="B20" s="2"/>
      <c r="C20" s="2"/>
      <c r="D20" s="13">
        <f>SUMPRODUCT(D7:D15,$B$7:$B$15,--($C$7:$C$15&gt;0))</f>
        <v>98</v>
      </c>
      <c r="E20" s="13">
        <f>SUMPRODUCT(E7:E15,$B$7:$B$15,--($C$7:$C$15&gt;0))</f>
        <v>98</v>
      </c>
      <c r="F20" s="13">
        <f>SUMPRODUCT(F7:F15,$B$7:$B$15,--($C$7:$C$15&gt;0))</f>
        <v>82</v>
      </c>
      <c r="G20" s="13">
        <f>SUMPRODUCT(G7:G15,$B$7:$B$15,--($C$7:$C$15&gt;0))</f>
        <v>52</v>
      </c>
    </row>
    <row r="21" spans="1:9" ht="13" x14ac:dyDescent="0.3">
      <c r="A21" s="39" t="s">
        <v>184</v>
      </c>
      <c r="B21" s="39"/>
      <c r="C21" s="39"/>
      <c r="D21" s="40">
        <f>SUMPRODUCT(D7:D15,$B$7:$B$15,$C$7:$C$15)</f>
        <v>3636</v>
      </c>
      <c r="E21" s="40">
        <f>SUMPRODUCT(E7:E15,$B$7:$B$15,$C$7:$C$15)</f>
        <v>3636</v>
      </c>
      <c r="F21" s="40">
        <f>SUMPRODUCT(F7:F15,$B$7:$B$15,$C$7:$C$15)</f>
        <v>3076</v>
      </c>
      <c r="G21" s="40">
        <f>SUMPRODUCT(G7:G15,$B$7:$B$15,$C$7:$C$15)</f>
        <v>2040</v>
      </c>
    </row>
    <row r="23" spans="1:9" ht="13" x14ac:dyDescent="0.3">
      <c r="A23" s="4" t="s">
        <v>185</v>
      </c>
    </row>
    <row r="25" spans="1:9" ht="42" customHeight="1" x14ac:dyDescent="0.25">
      <c r="A25" s="6" t="s">
        <v>186</v>
      </c>
      <c r="B25" s="6" t="s">
        <v>149</v>
      </c>
      <c r="C25" s="6" t="s">
        <v>150</v>
      </c>
      <c r="D25" s="6" t="s">
        <v>104</v>
      </c>
      <c r="E25" s="6" t="s">
        <v>105</v>
      </c>
      <c r="F25" s="6" t="s">
        <v>106</v>
      </c>
      <c r="G25" s="6" t="s">
        <v>151</v>
      </c>
      <c r="H25" s="6" t="s">
        <v>152</v>
      </c>
      <c r="I25" s="6" t="s">
        <v>153</v>
      </c>
    </row>
    <row r="26" spans="1:9" x14ac:dyDescent="0.25">
      <c r="A26" s="46" t="str">
        <f t="shared" ref="A26:C34" si="0">A7</f>
        <v>Brigade (second, commis)</v>
      </c>
      <c r="B26" s="47">
        <f t="shared" si="0"/>
        <v>9</v>
      </c>
      <c r="C26" s="48">
        <f t="shared" si="0"/>
        <v>35</v>
      </c>
      <c r="D26" s="19">
        <v>3</v>
      </c>
      <c r="E26" s="19">
        <v>3</v>
      </c>
      <c r="F26" s="19">
        <v>2</v>
      </c>
      <c r="G26" s="19">
        <v>1</v>
      </c>
      <c r="H26" s="49">
        <f t="shared" ref="H26:H34" si="1">H7</f>
        <v>0</v>
      </c>
      <c r="I26" s="21" t="s">
        <v>187</v>
      </c>
    </row>
    <row r="27" spans="1:9" x14ac:dyDescent="0.25">
      <c r="A27" s="46" t="str">
        <f t="shared" si="0"/>
        <v>Maître d'hôtel</v>
      </c>
      <c r="B27" s="47">
        <f t="shared" si="0"/>
        <v>8</v>
      </c>
      <c r="C27" s="48">
        <f t="shared" si="0"/>
        <v>45</v>
      </c>
      <c r="D27" s="19">
        <v>1</v>
      </c>
      <c r="E27" s="19">
        <v>1</v>
      </c>
      <c r="F27" s="19">
        <v>1</v>
      </c>
      <c r="G27" s="19">
        <v>1</v>
      </c>
      <c r="H27" s="49">
        <f t="shared" si="1"/>
        <v>1</v>
      </c>
      <c r="I27" s="21" t="s">
        <v>187</v>
      </c>
    </row>
    <row r="28" spans="1:9" ht="25" x14ac:dyDescent="0.25">
      <c r="A28" s="46" t="str">
        <f t="shared" si="0"/>
        <v>Serveurs (base)</v>
      </c>
      <c r="B28" s="47">
        <f t="shared" si="0"/>
        <v>7</v>
      </c>
      <c r="C28" s="48">
        <f t="shared" si="0"/>
        <v>35</v>
      </c>
      <c r="D28" s="19">
        <v>3</v>
      </c>
      <c r="E28" s="19">
        <v>3</v>
      </c>
      <c r="F28" s="19">
        <v>3</v>
      </c>
      <c r="G28" s="19">
        <v>2</v>
      </c>
      <c r="H28" s="49">
        <f t="shared" si="1"/>
        <v>1</v>
      </c>
      <c r="I28" s="21" t="s">
        <v>188</v>
      </c>
    </row>
    <row r="29" spans="1:9" ht="25" x14ac:dyDescent="0.25">
      <c r="A29" s="46" t="str">
        <f t="shared" si="0"/>
        <v>Serveur de réserve</v>
      </c>
      <c r="B29" s="47">
        <f t="shared" si="0"/>
        <v>7</v>
      </c>
      <c r="C29" s="48">
        <f t="shared" si="0"/>
        <v>35</v>
      </c>
      <c r="D29" s="19">
        <v>0</v>
      </c>
      <c r="E29" s="19">
        <v>0</v>
      </c>
      <c r="F29" s="19">
        <v>0</v>
      </c>
      <c r="G29" s="19">
        <v>1</v>
      </c>
      <c r="H29" s="49">
        <f t="shared" si="1"/>
        <v>1</v>
      </c>
      <c r="I29" s="21" t="s">
        <v>189</v>
      </c>
    </row>
    <row r="30" spans="1:9" x14ac:dyDescent="0.25">
      <c r="A30" s="46" t="str">
        <f t="shared" si="0"/>
        <v>Sommelier invité</v>
      </c>
      <c r="B30" s="47">
        <f t="shared" si="0"/>
        <v>7</v>
      </c>
      <c r="C30" s="48">
        <f t="shared" si="0"/>
        <v>60</v>
      </c>
      <c r="D30" s="19">
        <v>1</v>
      </c>
      <c r="E30" s="19">
        <v>1</v>
      </c>
      <c r="F30" s="19">
        <v>1</v>
      </c>
      <c r="G30" s="19">
        <v>1</v>
      </c>
      <c r="H30" s="49">
        <f t="shared" si="1"/>
        <v>0</v>
      </c>
      <c r="I30" s="21" t="s">
        <v>187</v>
      </c>
    </row>
    <row r="31" spans="1:9" x14ac:dyDescent="0.25">
      <c r="A31" s="46" t="str">
        <f t="shared" si="0"/>
        <v>Aide sommelier</v>
      </c>
      <c r="B31" s="47">
        <f t="shared" si="0"/>
        <v>7</v>
      </c>
      <c r="C31" s="48">
        <f t="shared" si="0"/>
        <v>38</v>
      </c>
      <c r="D31" s="19">
        <v>1</v>
      </c>
      <c r="E31" s="19">
        <v>1</v>
      </c>
      <c r="F31" s="19">
        <v>1</v>
      </c>
      <c r="G31" s="19">
        <v>0</v>
      </c>
      <c r="H31" s="49">
        <f t="shared" si="1"/>
        <v>0</v>
      </c>
      <c r="I31" s="21" t="s">
        <v>190</v>
      </c>
    </row>
    <row r="32" spans="1:9" ht="25" x14ac:dyDescent="0.25">
      <c r="A32" s="46" t="str">
        <f t="shared" si="0"/>
        <v>Plongeurs</v>
      </c>
      <c r="B32" s="47">
        <f t="shared" si="0"/>
        <v>7</v>
      </c>
      <c r="C32" s="48">
        <f t="shared" si="0"/>
        <v>30</v>
      </c>
      <c r="D32" s="19">
        <v>1</v>
      </c>
      <c r="E32" s="19">
        <v>1</v>
      </c>
      <c r="F32" s="19">
        <v>1</v>
      </c>
      <c r="G32" s="19">
        <v>1</v>
      </c>
      <c r="H32" s="49">
        <f t="shared" si="1"/>
        <v>0</v>
      </c>
      <c r="I32" s="21" t="s">
        <v>191</v>
      </c>
    </row>
    <row r="33" spans="1:9" x14ac:dyDescent="0.25">
      <c r="A33" s="46" t="str">
        <f t="shared" si="0"/>
        <v>Responsable de production (nous)</v>
      </c>
      <c r="B33" s="47">
        <f t="shared" si="0"/>
        <v>10</v>
      </c>
      <c r="C33" s="48">
        <f t="shared" si="0"/>
        <v>0</v>
      </c>
      <c r="D33" s="19">
        <v>1</v>
      </c>
      <c r="E33" s="19">
        <v>1</v>
      </c>
      <c r="F33" s="19">
        <v>1</v>
      </c>
      <c r="G33" s="19">
        <v>1</v>
      </c>
      <c r="H33" s="49">
        <f t="shared" si="1"/>
        <v>0</v>
      </c>
      <c r="I33" s="21" t="s">
        <v>192</v>
      </c>
    </row>
    <row r="34" spans="1:9" x14ac:dyDescent="0.25">
      <c r="A34" s="46" t="str">
        <f t="shared" si="0"/>
        <v>Interlocuteur client (Ventes)</v>
      </c>
      <c r="B34" s="47">
        <f t="shared" si="0"/>
        <v>5</v>
      </c>
      <c r="C34" s="48">
        <f t="shared" si="0"/>
        <v>0</v>
      </c>
      <c r="D34" s="19">
        <v>0</v>
      </c>
      <c r="E34" s="19">
        <v>0</v>
      </c>
      <c r="F34" s="19">
        <v>0</v>
      </c>
      <c r="G34" s="19">
        <v>1</v>
      </c>
      <c r="H34" s="49">
        <f t="shared" si="1"/>
        <v>0</v>
      </c>
      <c r="I34" s="21" t="s">
        <v>193</v>
      </c>
    </row>
    <row r="36" spans="1:9" ht="13" x14ac:dyDescent="0.3">
      <c r="A36" s="2" t="s">
        <v>194</v>
      </c>
      <c r="B36" s="2"/>
      <c r="C36" s="2"/>
      <c r="D36" s="13">
        <f>SUM(D26:D34)</f>
        <v>11</v>
      </c>
      <c r="E36" s="13">
        <f>SUM(E26:E34)</f>
        <v>11</v>
      </c>
      <c r="F36" s="13">
        <f>SUM(F26:F34)</f>
        <v>10</v>
      </c>
      <c r="G36" s="13">
        <f>SUM(G26:G34)</f>
        <v>9</v>
      </c>
    </row>
    <row r="37" spans="1:9" ht="13" x14ac:dyDescent="0.3">
      <c r="A37" s="2" t="s">
        <v>174</v>
      </c>
      <c r="B37" s="2"/>
      <c r="C37" s="2"/>
      <c r="D37" s="13">
        <f>SUMPRODUCT(D26:D34,$H$26:$H$34)</f>
        <v>4</v>
      </c>
      <c r="E37" s="13">
        <f>SUMPRODUCT(E26:E34,$H$26:$H$34)</f>
        <v>4</v>
      </c>
      <c r="F37" s="13">
        <f>SUMPRODUCT(F26:F34,$H$26:$H$34)</f>
        <v>4</v>
      </c>
      <c r="G37" s="13">
        <f>SUMPRODUCT(G26:G34,$H$26:$H$34)</f>
        <v>4</v>
      </c>
    </row>
    <row r="38" spans="1:9" ht="13" x14ac:dyDescent="0.3">
      <c r="A38" s="2" t="s">
        <v>175</v>
      </c>
      <c r="B38" s="2"/>
      <c r="C38" s="2"/>
      <c r="D38" s="13">
        <f>SUMPRODUCT(D26:D34,$B$26:$B$34,--($C$26:$C$34&gt;0))</f>
        <v>77</v>
      </c>
      <c r="E38" s="13">
        <f>SUMPRODUCT(E26:E34,$B$26:$B$34,--($C$26:$C$34&gt;0))</f>
        <v>77</v>
      </c>
      <c r="F38" s="13">
        <f>SUMPRODUCT(F26:F34,$B$26:$B$34,--($C$26:$C$34&gt;0))</f>
        <v>68</v>
      </c>
      <c r="G38" s="13">
        <f>SUMPRODUCT(G26:G34,$B$26:$B$34,--($C$26:$C$34&gt;0))</f>
        <v>52</v>
      </c>
    </row>
    <row r="39" spans="1:9" ht="13" x14ac:dyDescent="0.3">
      <c r="A39" s="39" t="s">
        <v>195</v>
      </c>
      <c r="B39" s="39"/>
      <c r="C39" s="39"/>
      <c r="D39" s="40">
        <f>SUMPRODUCT(D26:D34,$B$26:$B$34,$C$26:$C$34)</f>
        <v>2936</v>
      </c>
      <c r="E39" s="40">
        <f>SUMPRODUCT(E26:E34,$B$26:$B$34,$C$26:$C$34)</f>
        <v>2936</v>
      </c>
      <c r="F39" s="40">
        <f>SUMPRODUCT(F26:F34,$B$26:$B$34,$C$26:$C$34)</f>
        <v>2621</v>
      </c>
      <c r="G39" s="40">
        <f>SUMPRODUCT(G26:G34,$B$26:$B$34,$C$26:$C$34)</f>
        <v>2040</v>
      </c>
    </row>
    <row r="40" spans="1:9" ht="13" x14ac:dyDescent="0.3">
      <c r="A40" s="2" t="s">
        <v>196</v>
      </c>
      <c r="B40" s="2"/>
      <c r="C40" s="2"/>
      <c r="D40" s="16">
        <f>D21-D39</f>
        <v>700</v>
      </c>
      <c r="E40" s="16">
        <f>E21-E39</f>
        <v>700</v>
      </c>
      <c r="F40" s="16">
        <f>F21-F39</f>
        <v>455</v>
      </c>
      <c r="G40" s="16">
        <f>G21-G39</f>
        <v>0</v>
      </c>
    </row>
    <row r="42" spans="1:9" ht="13" x14ac:dyDescent="0.3">
      <c r="A42" s="4" t="s">
        <v>197</v>
      </c>
    </row>
    <row r="43" spans="1:9" ht="13" x14ac:dyDescent="0.3">
      <c r="A43" s="4" t="s">
        <v>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EF72-150E-4186-8C65-FE9ED04AB6F8}">
  <dimension ref="A1:AQ103"/>
  <sheetViews>
    <sheetView workbookViewId="0">
      <pane xSplit="4" ySplit="5" topLeftCell="E46" activePane="bottomRight" state="frozen"/>
      <selection pane="topRight" activeCell="E1" sqref="E1"/>
      <selection pane="bottomLeft" activeCell="A6" sqref="A6"/>
      <selection pane="bottomRight" activeCell="B78" sqref="B78"/>
    </sheetView>
  </sheetViews>
  <sheetFormatPr baseColWidth="10" defaultRowHeight="12.5" x14ac:dyDescent="0.25"/>
  <cols>
    <col min="1" max="1" width="52.6328125" style="1" customWidth="1"/>
    <col min="2" max="4" width="14.6328125" style="1" customWidth="1"/>
    <col min="5" max="40" width="10.6328125" style="1" customWidth="1"/>
    <col min="41" max="41" width="8.6328125" style="1" customWidth="1"/>
    <col min="42" max="42" width="87.453125" style="1" customWidth="1"/>
    <col min="43" max="43" width="12.6328125" style="1" customWidth="1"/>
    <col min="44" max="16384" width="10.90625" style="1"/>
  </cols>
  <sheetData>
    <row r="1" spans="1:43" ht="18" x14ac:dyDescent="0.4">
      <c r="A1" s="3" t="s">
        <v>266</v>
      </c>
    </row>
    <row r="2" spans="1:43" ht="13" x14ac:dyDescent="0.3">
      <c r="A2" s="4" t="s">
        <v>267</v>
      </c>
    </row>
    <row r="3" spans="1:43" x14ac:dyDescent="0.25">
      <c r="A3" s="1" t="s">
        <v>268</v>
      </c>
      <c r="B3" s="53">
        <v>46327</v>
      </c>
    </row>
    <row r="4" spans="1:43" x14ac:dyDescent="0.25">
      <c r="D4" s="1" t="s">
        <v>269</v>
      </c>
      <c r="E4" s="54">
        <v>1</v>
      </c>
      <c r="F4" s="54">
        <v>2</v>
      </c>
      <c r="G4" s="54">
        <v>3</v>
      </c>
      <c r="H4" s="54">
        <v>4</v>
      </c>
      <c r="I4" s="54">
        <v>5</v>
      </c>
      <c r="J4" s="54">
        <v>6</v>
      </c>
      <c r="K4" s="54">
        <v>7</v>
      </c>
      <c r="L4" s="54">
        <v>8</v>
      </c>
      <c r="M4" s="54">
        <v>9</v>
      </c>
      <c r="N4" s="54">
        <v>10</v>
      </c>
      <c r="O4" s="54">
        <v>11</v>
      </c>
      <c r="P4" s="54">
        <v>12</v>
      </c>
      <c r="Q4" s="54">
        <v>13</v>
      </c>
      <c r="R4" s="54">
        <v>14</v>
      </c>
      <c r="S4" s="54">
        <v>15</v>
      </c>
      <c r="T4" s="54">
        <v>16</v>
      </c>
      <c r="U4" s="54">
        <v>17</v>
      </c>
      <c r="V4" s="54">
        <v>18</v>
      </c>
      <c r="W4" s="54">
        <v>19</v>
      </c>
      <c r="X4" s="54">
        <v>20</v>
      </c>
      <c r="Y4" s="54">
        <v>21</v>
      </c>
      <c r="Z4" s="54">
        <v>22</v>
      </c>
      <c r="AA4" s="54">
        <v>23</v>
      </c>
      <c r="AB4" s="54">
        <v>24</v>
      </c>
      <c r="AC4" s="54">
        <v>25</v>
      </c>
      <c r="AD4" s="54">
        <v>26</v>
      </c>
      <c r="AE4" s="54">
        <v>27</v>
      </c>
      <c r="AF4" s="54">
        <v>28</v>
      </c>
      <c r="AG4" s="54">
        <v>29</v>
      </c>
      <c r="AH4" s="54">
        <v>30</v>
      </c>
      <c r="AI4" s="54">
        <v>31</v>
      </c>
      <c r="AJ4" s="54">
        <v>32</v>
      </c>
      <c r="AK4" s="54">
        <v>33</v>
      </c>
      <c r="AL4" s="54">
        <v>34</v>
      </c>
      <c r="AM4" s="54">
        <v>35</v>
      </c>
      <c r="AN4" s="54">
        <v>36</v>
      </c>
    </row>
    <row r="5" spans="1:43" ht="39" x14ac:dyDescent="0.3">
      <c r="A5" s="6" t="s">
        <v>26</v>
      </c>
      <c r="B5" s="58" t="s">
        <v>270</v>
      </c>
      <c r="C5" s="58" t="s">
        <v>271</v>
      </c>
      <c r="D5" s="58" t="s">
        <v>272</v>
      </c>
      <c r="E5" s="51">
        <f t="shared" ref="E5:AN5" si="0">EDATE($B$3,E$4-1)</f>
        <v>46327</v>
      </c>
      <c r="F5" s="51">
        <f t="shared" si="0"/>
        <v>46357</v>
      </c>
      <c r="G5" s="51">
        <f t="shared" si="0"/>
        <v>46388</v>
      </c>
      <c r="H5" s="51">
        <f t="shared" si="0"/>
        <v>46419</v>
      </c>
      <c r="I5" s="51">
        <f t="shared" si="0"/>
        <v>46447</v>
      </c>
      <c r="J5" s="51">
        <f t="shared" si="0"/>
        <v>46478</v>
      </c>
      <c r="K5" s="51">
        <f t="shared" si="0"/>
        <v>46508</v>
      </c>
      <c r="L5" s="51">
        <f t="shared" si="0"/>
        <v>46539</v>
      </c>
      <c r="M5" s="51">
        <f t="shared" si="0"/>
        <v>46569</v>
      </c>
      <c r="N5" s="51">
        <f t="shared" si="0"/>
        <v>46600</v>
      </c>
      <c r="O5" s="51">
        <f t="shared" si="0"/>
        <v>46631</v>
      </c>
      <c r="P5" s="51">
        <f t="shared" si="0"/>
        <v>46661</v>
      </c>
      <c r="Q5" s="51">
        <f t="shared" si="0"/>
        <v>46692</v>
      </c>
      <c r="R5" s="51">
        <f t="shared" si="0"/>
        <v>46722</v>
      </c>
      <c r="S5" s="51">
        <f t="shared" si="0"/>
        <v>46753</v>
      </c>
      <c r="T5" s="51">
        <f t="shared" si="0"/>
        <v>46784</v>
      </c>
      <c r="U5" s="51">
        <f t="shared" si="0"/>
        <v>46813</v>
      </c>
      <c r="V5" s="51">
        <f t="shared" si="0"/>
        <v>46844</v>
      </c>
      <c r="W5" s="51">
        <f t="shared" si="0"/>
        <v>46874</v>
      </c>
      <c r="X5" s="51">
        <f t="shared" si="0"/>
        <v>46905</v>
      </c>
      <c r="Y5" s="51">
        <f t="shared" si="0"/>
        <v>46935</v>
      </c>
      <c r="Z5" s="51">
        <f t="shared" si="0"/>
        <v>46966</v>
      </c>
      <c r="AA5" s="51">
        <f t="shared" si="0"/>
        <v>46997</v>
      </c>
      <c r="AB5" s="51">
        <f t="shared" si="0"/>
        <v>47027</v>
      </c>
      <c r="AC5" s="51">
        <f t="shared" si="0"/>
        <v>47058</v>
      </c>
      <c r="AD5" s="51">
        <f t="shared" si="0"/>
        <v>47088</v>
      </c>
      <c r="AE5" s="51">
        <f t="shared" si="0"/>
        <v>47119</v>
      </c>
      <c r="AF5" s="51">
        <f t="shared" si="0"/>
        <v>47150</v>
      </c>
      <c r="AG5" s="51">
        <f t="shared" si="0"/>
        <v>47178</v>
      </c>
      <c r="AH5" s="51">
        <f t="shared" si="0"/>
        <v>47209</v>
      </c>
      <c r="AI5" s="51">
        <f t="shared" si="0"/>
        <v>47239</v>
      </c>
      <c r="AJ5" s="51">
        <f t="shared" si="0"/>
        <v>47270</v>
      </c>
      <c r="AK5" s="51">
        <f t="shared" si="0"/>
        <v>47300</v>
      </c>
      <c r="AL5" s="51">
        <f t="shared" si="0"/>
        <v>47331</v>
      </c>
      <c r="AM5" s="51">
        <f t="shared" si="0"/>
        <v>47362</v>
      </c>
      <c r="AN5" s="51">
        <f t="shared" si="0"/>
        <v>47392</v>
      </c>
      <c r="AO5" s="6" t="s">
        <v>32</v>
      </c>
      <c r="AP5" s="6" t="s">
        <v>206</v>
      </c>
      <c r="AQ5" s="6" t="s">
        <v>218</v>
      </c>
    </row>
    <row r="6" spans="1:43" ht="13" x14ac:dyDescent="0.3">
      <c r="A6" s="10" t="s">
        <v>273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</row>
    <row r="7" spans="1:43" ht="13" x14ac:dyDescent="0.3">
      <c r="A7" s="1" t="s">
        <v>274</v>
      </c>
      <c r="B7" s="13">
        <f>P7</f>
        <v>1</v>
      </c>
      <c r="C7" s="13">
        <f>AB7</f>
        <v>3</v>
      </c>
      <c r="D7" s="13">
        <f>AN7</f>
        <v>6</v>
      </c>
      <c r="E7" s="11">
        <v>1</v>
      </c>
      <c r="F7" s="11">
        <v>1</v>
      </c>
      <c r="G7" s="11">
        <v>1</v>
      </c>
      <c r="H7" s="11">
        <v>1</v>
      </c>
      <c r="I7" s="11">
        <v>1</v>
      </c>
      <c r="J7" s="11">
        <v>1</v>
      </c>
      <c r="K7" s="11">
        <v>1</v>
      </c>
      <c r="L7" s="11">
        <v>1</v>
      </c>
      <c r="M7" s="11">
        <v>1</v>
      </c>
      <c r="N7" s="11">
        <v>1</v>
      </c>
      <c r="O7" s="11">
        <v>1</v>
      </c>
      <c r="P7" s="11">
        <v>1</v>
      </c>
      <c r="Q7" s="11">
        <v>3</v>
      </c>
      <c r="R7" s="11">
        <v>3</v>
      </c>
      <c r="S7" s="11">
        <v>3</v>
      </c>
      <c r="T7" s="11">
        <v>3</v>
      </c>
      <c r="U7" s="11">
        <v>3</v>
      </c>
      <c r="V7" s="11">
        <v>3</v>
      </c>
      <c r="W7" s="11">
        <v>3</v>
      </c>
      <c r="X7" s="11">
        <v>3</v>
      </c>
      <c r="Y7" s="11">
        <v>3</v>
      </c>
      <c r="Z7" s="11">
        <v>3</v>
      </c>
      <c r="AA7" s="11">
        <v>3</v>
      </c>
      <c r="AB7" s="11">
        <v>3</v>
      </c>
      <c r="AC7" s="11">
        <v>6</v>
      </c>
      <c r="AD7" s="11">
        <v>6</v>
      </c>
      <c r="AE7" s="11">
        <v>6</v>
      </c>
      <c r="AF7" s="11">
        <v>6</v>
      </c>
      <c r="AG7" s="11">
        <v>6</v>
      </c>
      <c r="AH7" s="11">
        <v>6</v>
      </c>
      <c r="AI7" s="11">
        <v>6</v>
      </c>
      <c r="AJ7" s="11">
        <v>6</v>
      </c>
      <c r="AK7" s="11">
        <v>6</v>
      </c>
      <c r="AL7" s="11">
        <v>6</v>
      </c>
      <c r="AM7" s="11">
        <v>6</v>
      </c>
      <c r="AN7" s="11">
        <v>6</v>
      </c>
      <c r="AO7" s="1" t="s">
        <v>275</v>
      </c>
      <c r="AP7" s="1" t="s">
        <v>435</v>
      </c>
    </row>
    <row r="8" spans="1:43" ht="13" x14ac:dyDescent="0.3">
      <c r="A8" s="1" t="s">
        <v>276</v>
      </c>
      <c r="B8" s="13">
        <f t="shared" ref="B8:B19" si="1">SUM(E8:P8)</f>
        <v>3</v>
      </c>
      <c r="C8" s="13">
        <f t="shared" ref="C8:C19" si="2">SUM(Q8:AB8)</f>
        <v>11</v>
      </c>
      <c r="D8" s="13">
        <f t="shared" ref="D8:D19" si="3">SUM(AC8:AN8)</f>
        <v>22</v>
      </c>
      <c r="E8" s="11">
        <v>0</v>
      </c>
      <c r="F8" s="11">
        <v>0</v>
      </c>
      <c r="G8" s="11">
        <v>1</v>
      </c>
      <c r="H8" s="11">
        <v>0</v>
      </c>
      <c r="I8" s="11">
        <v>0</v>
      </c>
      <c r="J8" s="11">
        <v>1</v>
      </c>
      <c r="K8" s="11">
        <v>0</v>
      </c>
      <c r="L8" s="11">
        <v>0</v>
      </c>
      <c r="M8" s="11">
        <v>1</v>
      </c>
      <c r="N8" s="11">
        <v>0</v>
      </c>
      <c r="O8" s="11">
        <v>0</v>
      </c>
      <c r="P8" s="11">
        <v>0</v>
      </c>
      <c r="Q8" s="11">
        <v>1</v>
      </c>
      <c r="R8" s="11">
        <v>1</v>
      </c>
      <c r="S8" s="11">
        <v>1</v>
      </c>
      <c r="T8" s="11">
        <v>1</v>
      </c>
      <c r="U8" s="11">
        <v>1</v>
      </c>
      <c r="V8" s="11">
        <v>1</v>
      </c>
      <c r="W8" s="11">
        <v>1</v>
      </c>
      <c r="X8" s="11">
        <v>1</v>
      </c>
      <c r="Y8" s="11">
        <v>1</v>
      </c>
      <c r="Z8" s="11">
        <v>0</v>
      </c>
      <c r="AA8" s="11">
        <v>1</v>
      </c>
      <c r="AB8" s="11">
        <v>1</v>
      </c>
      <c r="AC8" s="11">
        <v>2</v>
      </c>
      <c r="AD8" s="11">
        <v>2</v>
      </c>
      <c r="AE8" s="11">
        <v>2</v>
      </c>
      <c r="AF8" s="11">
        <v>2</v>
      </c>
      <c r="AG8" s="11">
        <v>2</v>
      </c>
      <c r="AH8" s="11">
        <v>2</v>
      </c>
      <c r="AI8" s="11">
        <v>2</v>
      </c>
      <c r="AJ8" s="11">
        <v>2</v>
      </c>
      <c r="AK8" s="11">
        <v>2</v>
      </c>
      <c r="AL8" s="11">
        <v>0</v>
      </c>
      <c r="AM8" s="11">
        <v>2</v>
      </c>
      <c r="AN8" s="11">
        <v>2</v>
      </c>
      <c r="AO8" s="1" t="s">
        <v>82</v>
      </c>
      <c r="AP8" s="1" t="s">
        <v>436</v>
      </c>
    </row>
    <row r="9" spans="1:43" ht="13" x14ac:dyDescent="0.3">
      <c r="A9" s="1" t="s">
        <v>277</v>
      </c>
      <c r="B9" s="13">
        <f t="shared" si="1"/>
        <v>3</v>
      </c>
      <c r="C9" s="13">
        <f t="shared" si="2"/>
        <v>11</v>
      </c>
      <c r="D9" s="13">
        <f t="shared" si="3"/>
        <v>22</v>
      </c>
      <c r="E9" s="11">
        <v>0</v>
      </c>
      <c r="F9" s="11">
        <v>0</v>
      </c>
      <c r="G9" s="11">
        <v>0</v>
      </c>
      <c r="H9" s="11">
        <v>0</v>
      </c>
      <c r="I9" s="11">
        <v>1</v>
      </c>
      <c r="J9" s="11">
        <v>0</v>
      </c>
      <c r="K9" s="11">
        <v>0</v>
      </c>
      <c r="L9" s="11">
        <v>1</v>
      </c>
      <c r="M9" s="11">
        <v>0</v>
      </c>
      <c r="N9" s="11">
        <v>0</v>
      </c>
      <c r="O9" s="11">
        <v>0</v>
      </c>
      <c r="P9" s="11">
        <v>1</v>
      </c>
      <c r="Q9" s="11">
        <v>1</v>
      </c>
      <c r="R9" s="11">
        <v>1</v>
      </c>
      <c r="S9" s="11">
        <v>1</v>
      </c>
      <c r="T9" s="11">
        <v>1</v>
      </c>
      <c r="U9" s="11">
        <v>1</v>
      </c>
      <c r="V9" s="11">
        <v>1</v>
      </c>
      <c r="W9" s="11">
        <v>1</v>
      </c>
      <c r="X9" s="11">
        <v>1</v>
      </c>
      <c r="Y9" s="11">
        <v>1</v>
      </c>
      <c r="Z9" s="11">
        <v>0</v>
      </c>
      <c r="AA9" s="11">
        <v>1</v>
      </c>
      <c r="AB9" s="11">
        <v>1</v>
      </c>
      <c r="AC9" s="11">
        <v>2</v>
      </c>
      <c r="AD9" s="11">
        <v>2</v>
      </c>
      <c r="AE9" s="11">
        <v>2</v>
      </c>
      <c r="AF9" s="11">
        <v>2</v>
      </c>
      <c r="AG9" s="11">
        <v>2</v>
      </c>
      <c r="AH9" s="11">
        <v>2</v>
      </c>
      <c r="AI9" s="11">
        <v>2</v>
      </c>
      <c r="AJ9" s="11">
        <v>2</v>
      </c>
      <c r="AK9" s="11">
        <v>2</v>
      </c>
      <c r="AL9" s="11">
        <v>0</v>
      </c>
      <c r="AM9" s="11">
        <v>2</v>
      </c>
      <c r="AN9" s="11">
        <v>2</v>
      </c>
      <c r="AO9" s="1" t="s">
        <v>82</v>
      </c>
      <c r="AP9" s="1" t="s">
        <v>199</v>
      </c>
    </row>
    <row r="10" spans="1:43" ht="13" x14ac:dyDescent="0.3">
      <c r="A10" s="1" t="s">
        <v>278</v>
      </c>
      <c r="B10" s="13">
        <f t="shared" si="1"/>
        <v>3</v>
      </c>
      <c r="C10" s="13">
        <f t="shared" si="2"/>
        <v>11</v>
      </c>
      <c r="D10" s="13">
        <f t="shared" si="3"/>
        <v>22</v>
      </c>
      <c r="E10" s="11">
        <v>0</v>
      </c>
      <c r="F10" s="11">
        <v>0</v>
      </c>
      <c r="G10" s="11">
        <v>0</v>
      </c>
      <c r="H10" s="11">
        <v>1</v>
      </c>
      <c r="I10" s="11">
        <v>0</v>
      </c>
      <c r="J10" s="11">
        <v>0</v>
      </c>
      <c r="K10" s="11">
        <v>1</v>
      </c>
      <c r="L10" s="11">
        <v>0</v>
      </c>
      <c r="M10" s="11">
        <v>0</v>
      </c>
      <c r="N10" s="11">
        <v>0</v>
      </c>
      <c r="O10" s="11">
        <v>1</v>
      </c>
      <c r="P10" s="11">
        <v>0</v>
      </c>
      <c r="Q10" s="11">
        <v>1</v>
      </c>
      <c r="R10" s="11">
        <v>1</v>
      </c>
      <c r="S10" s="11">
        <v>1</v>
      </c>
      <c r="T10" s="11">
        <v>1</v>
      </c>
      <c r="U10" s="11">
        <v>1</v>
      </c>
      <c r="V10" s="11">
        <v>1</v>
      </c>
      <c r="W10" s="11">
        <v>1</v>
      </c>
      <c r="X10" s="11">
        <v>1</v>
      </c>
      <c r="Y10" s="11">
        <v>1</v>
      </c>
      <c r="Z10" s="11">
        <v>0</v>
      </c>
      <c r="AA10" s="11">
        <v>1</v>
      </c>
      <c r="AB10" s="11">
        <v>1</v>
      </c>
      <c r="AC10" s="11">
        <v>2</v>
      </c>
      <c r="AD10" s="11">
        <v>2</v>
      </c>
      <c r="AE10" s="11">
        <v>2</v>
      </c>
      <c r="AF10" s="11">
        <v>2</v>
      </c>
      <c r="AG10" s="11">
        <v>2</v>
      </c>
      <c r="AH10" s="11">
        <v>2</v>
      </c>
      <c r="AI10" s="11">
        <v>2</v>
      </c>
      <c r="AJ10" s="11">
        <v>2</v>
      </c>
      <c r="AK10" s="11">
        <v>2</v>
      </c>
      <c r="AL10" s="11">
        <v>0</v>
      </c>
      <c r="AM10" s="11">
        <v>2</v>
      </c>
      <c r="AN10" s="11">
        <v>2</v>
      </c>
      <c r="AO10" s="1" t="s">
        <v>82</v>
      </c>
      <c r="AP10" s="1" t="s">
        <v>199</v>
      </c>
    </row>
    <row r="11" spans="1:43" ht="13" x14ac:dyDescent="0.3">
      <c r="A11" s="1" t="s">
        <v>279</v>
      </c>
      <c r="B11" s="13">
        <f t="shared" si="1"/>
        <v>9</v>
      </c>
      <c r="C11" s="13">
        <f t="shared" si="2"/>
        <v>33</v>
      </c>
      <c r="D11" s="13">
        <f t="shared" si="3"/>
        <v>66</v>
      </c>
      <c r="E11" s="12">
        <f t="shared" ref="E11:AN11" si="4">SUM(E8:E10)</f>
        <v>0</v>
      </c>
      <c r="F11" s="12">
        <f t="shared" si="4"/>
        <v>0</v>
      </c>
      <c r="G11" s="12">
        <f t="shared" si="4"/>
        <v>1</v>
      </c>
      <c r="H11" s="12">
        <f t="shared" si="4"/>
        <v>1</v>
      </c>
      <c r="I11" s="12">
        <f t="shared" si="4"/>
        <v>1</v>
      </c>
      <c r="J11" s="12">
        <f t="shared" si="4"/>
        <v>1</v>
      </c>
      <c r="K11" s="12">
        <f t="shared" si="4"/>
        <v>1</v>
      </c>
      <c r="L11" s="12">
        <f t="shared" si="4"/>
        <v>1</v>
      </c>
      <c r="M11" s="12">
        <f t="shared" si="4"/>
        <v>1</v>
      </c>
      <c r="N11" s="12">
        <f t="shared" si="4"/>
        <v>0</v>
      </c>
      <c r="O11" s="12">
        <f t="shared" si="4"/>
        <v>1</v>
      </c>
      <c r="P11" s="12">
        <f t="shared" si="4"/>
        <v>1</v>
      </c>
      <c r="Q11" s="12">
        <f t="shared" si="4"/>
        <v>3</v>
      </c>
      <c r="R11" s="12">
        <f t="shared" si="4"/>
        <v>3</v>
      </c>
      <c r="S11" s="12">
        <f t="shared" si="4"/>
        <v>3</v>
      </c>
      <c r="T11" s="12">
        <f t="shared" si="4"/>
        <v>3</v>
      </c>
      <c r="U11" s="12">
        <f t="shared" si="4"/>
        <v>3</v>
      </c>
      <c r="V11" s="12">
        <f t="shared" si="4"/>
        <v>3</v>
      </c>
      <c r="W11" s="12">
        <f t="shared" si="4"/>
        <v>3</v>
      </c>
      <c r="X11" s="12">
        <f t="shared" si="4"/>
        <v>3</v>
      </c>
      <c r="Y11" s="12">
        <f t="shared" si="4"/>
        <v>3</v>
      </c>
      <c r="Z11" s="12">
        <f t="shared" si="4"/>
        <v>0</v>
      </c>
      <c r="AA11" s="12">
        <f t="shared" si="4"/>
        <v>3</v>
      </c>
      <c r="AB11" s="12">
        <f t="shared" si="4"/>
        <v>3</v>
      </c>
      <c r="AC11" s="12">
        <f t="shared" si="4"/>
        <v>6</v>
      </c>
      <c r="AD11" s="12">
        <f t="shared" si="4"/>
        <v>6</v>
      </c>
      <c r="AE11" s="12">
        <f t="shared" si="4"/>
        <v>6</v>
      </c>
      <c r="AF11" s="12">
        <f t="shared" si="4"/>
        <v>6</v>
      </c>
      <c r="AG11" s="12">
        <f t="shared" si="4"/>
        <v>6</v>
      </c>
      <c r="AH11" s="12">
        <f t="shared" si="4"/>
        <v>6</v>
      </c>
      <c r="AI11" s="12">
        <f t="shared" si="4"/>
        <v>6</v>
      </c>
      <c r="AJ11" s="12">
        <f t="shared" si="4"/>
        <v>6</v>
      </c>
      <c r="AK11" s="12">
        <f t="shared" si="4"/>
        <v>6</v>
      </c>
      <c r="AL11" s="12">
        <f t="shared" si="4"/>
        <v>0</v>
      </c>
      <c r="AM11" s="12">
        <f t="shared" si="4"/>
        <v>6</v>
      </c>
      <c r="AN11" s="12">
        <f t="shared" si="4"/>
        <v>6</v>
      </c>
    </row>
    <row r="12" spans="1:43" ht="13" x14ac:dyDescent="0.3">
      <c r="A12" s="1" t="s">
        <v>280</v>
      </c>
      <c r="B12" s="13">
        <f t="shared" si="1"/>
        <v>7</v>
      </c>
      <c r="C12" s="13">
        <f t="shared" si="2"/>
        <v>120</v>
      </c>
      <c r="D12" s="13">
        <f t="shared" si="3"/>
        <v>240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1</v>
      </c>
      <c r="K12" s="11">
        <v>1</v>
      </c>
      <c r="L12" s="11">
        <v>1</v>
      </c>
      <c r="M12" s="11">
        <v>0</v>
      </c>
      <c r="N12" s="11">
        <v>0</v>
      </c>
      <c r="O12" s="11">
        <v>2</v>
      </c>
      <c r="P12" s="11">
        <v>2</v>
      </c>
      <c r="Q12" s="72">
        <f>Q$7*$B$90/12</f>
        <v>10</v>
      </c>
      <c r="R12" s="72">
        <f t="shared" ref="R12:AN12" si="5">R$7*$B$90/12</f>
        <v>10</v>
      </c>
      <c r="S12" s="72">
        <f t="shared" si="5"/>
        <v>10</v>
      </c>
      <c r="T12" s="72">
        <f t="shared" si="5"/>
        <v>10</v>
      </c>
      <c r="U12" s="72">
        <f t="shared" si="5"/>
        <v>10</v>
      </c>
      <c r="V12" s="72">
        <f t="shared" si="5"/>
        <v>10</v>
      </c>
      <c r="W12" s="72">
        <f t="shared" si="5"/>
        <v>10</v>
      </c>
      <c r="X12" s="72">
        <f t="shared" si="5"/>
        <v>10</v>
      </c>
      <c r="Y12" s="72">
        <f t="shared" si="5"/>
        <v>10</v>
      </c>
      <c r="Z12" s="72">
        <f t="shared" si="5"/>
        <v>10</v>
      </c>
      <c r="AA12" s="72">
        <f t="shared" si="5"/>
        <v>10</v>
      </c>
      <c r="AB12" s="72">
        <f t="shared" si="5"/>
        <v>10</v>
      </c>
      <c r="AC12" s="72">
        <f t="shared" si="5"/>
        <v>20</v>
      </c>
      <c r="AD12" s="72">
        <f t="shared" si="5"/>
        <v>20</v>
      </c>
      <c r="AE12" s="72">
        <f t="shared" si="5"/>
        <v>20</v>
      </c>
      <c r="AF12" s="72">
        <f t="shared" si="5"/>
        <v>20</v>
      </c>
      <c r="AG12" s="72">
        <f t="shared" si="5"/>
        <v>20</v>
      </c>
      <c r="AH12" s="72">
        <f t="shared" si="5"/>
        <v>20</v>
      </c>
      <c r="AI12" s="72">
        <f t="shared" si="5"/>
        <v>20</v>
      </c>
      <c r="AJ12" s="72">
        <f t="shared" si="5"/>
        <v>20</v>
      </c>
      <c r="AK12" s="72">
        <f t="shared" si="5"/>
        <v>20</v>
      </c>
      <c r="AL12" s="72">
        <f t="shared" si="5"/>
        <v>20</v>
      </c>
      <c r="AM12" s="72">
        <f t="shared" si="5"/>
        <v>20</v>
      </c>
      <c r="AN12" s="72">
        <f t="shared" si="5"/>
        <v>20</v>
      </c>
      <c r="AO12" s="1" t="s">
        <v>82</v>
      </c>
      <c r="AP12" s="1" t="s">
        <v>433</v>
      </c>
    </row>
    <row r="13" spans="1:43" ht="13" x14ac:dyDescent="0.3">
      <c r="A13" s="2" t="s">
        <v>107</v>
      </c>
      <c r="B13" s="13">
        <f t="shared" si="1"/>
        <v>16</v>
      </c>
      <c r="C13" s="13">
        <f t="shared" si="2"/>
        <v>153</v>
      </c>
      <c r="D13" s="13">
        <f t="shared" si="3"/>
        <v>306</v>
      </c>
      <c r="E13" s="13">
        <f t="shared" ref="E13:AN13" si="6">E11+E12</f>
        <v>0</v>
      </c>
      <c r="F13" s="13">
        <f t="shared" si="6"/>
        <v>0</v>
      </c>
      <c r="G13" s="13">
        <f t="shared" si="6"/>
        <v>1</v>
      </c>
      <c r="H13" s="13">
        <f t="shared" si="6"/>
        <v>1</v>
      </c>
      <c r="I13" s="13">
        <f t="shared" si="6"/>
        <v>1</v>
      </c>
      <c r="J13" s="13">
        <f t="shared" si="6"/>
        <v>2</v>
      </c>
      <c r="K13" s="13">
        <f t="shared" si="6"/>
        <v>2</v>
      </c>
      <c r="L13" s="13">
        <f t="shared" si="6"/>
        <v>2</v>
      </c>
      <c r="M13" s="13">
        <f t="shared" si="6"/>
        <v>1</v>
      </c>
      <c r="N13" s="13">
        <f t="shared" si="6"/>
        <v>0</v>
      </c>
      <c r="O13" s="13">
        <f t="shared" si="6"/>
        <v>3</v>
      </c>
      <c r="P13" s="13">
        <f t="shared" si="6"/>
        <v>3</v>
      </c>
      <c r="Q13" s="73">
        <f t="shared" si="6"/>
        <v>13</v>
      </c>
      <c r="R13" s="73">
        <f t="shared" si="6"/>
        <v>13</v>
      </c>
      <c r="S13" s="73">
        <f t="shared" si="6"/>
        <v>13</v>
      </c>
      <c r="T13" s="73">
        <f t="shared" si="6"/>
        <v>13</v>
      </c>
      <c r="U13" s="73">
        <f t="shared" si="6"/>
        <v>13</v>
      </c>
      <c r="V13" s="73">
        <f t="shared" si="6"/>
        <v>13</v>
      </c>
      <c r="W13" s="73">
        <f t="shared" si="6"/>
        <v>13</v>
      </c>
      <c r="X13" s="73">
        <f t="shared" si="6"/>
        <v>13</v>
      </c>
      <c r="Y13" s="73">
        <f t="shared" si="6"/>
        <v>13</v>
      </c>
      <c r="Z13" s="73">
        <f t="shared" si="6"/>
        <v>10</v>
      </c>
      <c r="AA13" s="73">
        <f t="shared" si="6"/>
        <v>13</v>
      </c>
      <c r="AB13" s="73">
        <f t="shared" si="6"/>
        <v>13</v>
      </c>
      <c r="AC13" s="73">
        <f t="shared" si="6"/>
        <v>26</v>
      </c>
      <c r="AD13" s="73">
        <f t="shared" si="6"/>
        <v>26</v>
      </c>
      <c r="AE13" s="73">
        <f t="shared" si="6"/>
        <v>26</v>
      </c>
      <c r="AF13" s="73">
        <f t="shared" si="6"/>
        <v>26</v>
      </c>
      <c r="AG13" s="73">
        <f t="shared" si="6"/>
        <v>26</v>
      </c>
      <c r="AH13" s="73">
        <f t="shared" si="6"/>
        <v>26</v>
      </c>
      <c r="AI13" s="73">
        <f t="shared" si="6"/>
        <v>26</v>
      </c>
      <c r="AJ13" s="73">
        <f t="shared" si="6"/>
        <v>26</v>
      </c>
      <c r="AK13" s="73">
        <f t="shared" si="6"/>
        <v>26</v>
      </c>
      <c r="AL13" s="73">
        <f t="shared" si="6"/>
        <v>20</v>
      </c>
      <c r="AM13" s="73">
        <f t="shared" si="6"/>
        <v>26</v>
      </c>
      <c r="AN13" s="73">
        <f t="shared" si="6"/>
        <v>26</v>
      </c>
    </row>
    <row r="14" spans="1:43" ht="13" x14ac:dyDescent="0.3">
      <c r="A14" s="1" t="s">
        <v>427</v>
      </c>
      <c r="B14" s="13">
        <f t="shared" si="1"/>
        <v>0</v>
      </c>
      <c r="C14" s="13">
        <f t="shared" si="2"/>
        <v>11</v>
      </c>
      <c r="D14" s="13">
        <f t="shared" si="3"/>
        <v>22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1</v>
      </c>
      <c r="R14" s="11">
        <v>1</v>
      </c>
      <c r="S14" s="11">
        <v>1</v>
      </c>
      <c r="T14" s="11">
        <v>1</v>
      </c>
      <c r="U14" s="11">
        <v>1</v>
      </c>
      <c r="V14" s="11">
        <v>1</v>
      </c>
      <c r="W14" s="11">
        <v>1</v>
      </c>
      <c r="X14" s="11">
        <v>1</v>
      </c>
      <c r="Y14" s="11">
        <v>1</v>
      </c>
      <c r="Z14" s="11">
        <v>0</v>
      </c>
      <c r="AA14" s="11">
        <v>1</v>
      </c>
      <c r="AB14" s="11">
        <v>1</v>
      </c>
      <c r="AC14" s="11">
        <v>2</v>
      </c>
      <c r="AD14" s="11">
        <v>2</v>
      </c>
      <c r="AE14" s="11">
        <v>2</v>
      </c>
      <c r="AF14" s="11">
        <v>2</v>
      </c>
      <c r="AG14" s="11">
        <v>2</v>
      </c>
      <c r="AH14" s="11">
        <v>2</v>
      </c>
      <c r="AI14" s="11">
        <v>2</v>
      </c>
      <c r="AJ14" s="11">
        <v>2</v>
      </c>
      <c r="AK14" s="11">
        <v>2</v>
      </c>
      <c r="AL14" s="11">
        <v>0</v>
      </c>
      <c r="AM14" s="11">
        <v>2</v>
      </c>
      <c r="AN14" s="11">
        <v>2</v>
      </c>
      <c r="AO14" s="1" t="s">
        <v>82</v>
      </c>
      <c r="AP14" s="1" t="s">
        <v>466</v>
      </c>
    </row>
    <row r="15" spans="1:43" ht="13" x14ac:dyDescent="0.3">
      <c r="A15" s="1" t="s">
        <v>428</v>
      </c>
      <c r="B15" s="13">
        <f t="shared" si="1"/>
        <v>0</v>
      </c>
      <c r="C15" s="13">
        <f t="shared" si="2"/>
        <v>11</v>
      </c>
      <c r="D15" s="13">
        <f t="shared" si="3"/>
        <v>33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1</v>
      </c>
      <c r="R15" s="11">
        <v>1</v>
      </c>
      <c r="S15" s="11">
        <v>1</v>
      </c>
      <c r="T15" s="11">
        <v>1</v>
      </c>
      <c r="U15" s="11">
        <v>1</v>
      </c>
      <c r="V15" s="11">
        <v>1</v>
      </c>
      <c r="W15" s="11">
        <v>1</v>
      </c>
      <c r="X15" s="11">
        <v>1</v>
      </c>
      <c r="Y15" s="11">
        <v>1</v>
      </c>
      <c r="Z15" s="11">
        <v>0</v>
      </c>
      <c r="AA15" s="11">
        <v>1</v>
      </c>
      <c r="AB15" s="11">
        <v>1</v>
      </c>
      <c r="AC15" s="11">
        <v>3</v>
      </c>
      <c r="AD15" s="11">
        <v>3</v>
      </c>
      <c r="AE15" s="11">
        <v>3</v>
      </c>
      <c r="AF15" s="11">
        <v>3</v>
      </c>
      <c r="AG15" s="11">
        <v>3</v>
      </c>
      <c r="AH15" s="11">
        <v>3</v>
      </c>
      <c r="AI15" s="11">
        <v>3</v>
      </c>
      <c r="AJ15" s="11">
        <v>3</v>
      </c>
      <c r="AK15" s="11">
        <v>3</v>
      </c>
      <c r="AL15" s="11">
        <v>0</v>
      </c>
      <c r="AM15" s="11">
        <v>3</v>
      </c>
      <c r="AN15" s="11">
        <v>3</v>
      </c>
      <c r="AO15" s="1" t="s">
        <v>82</v>
      </c>
      <c r="AP15" s="1" t="s">
        <v>281</v>
      </c>
    </row>
    <row r="16" spans="1:43" ht="13" x14ac:dyDescent="0.3">
      <c r="A16" s="1" t="s">
        <v>429</v>
      </c>
      <c r="B16" s="13">
        <f>SUM(E16:P16)</f>
        <v>0</v>
      </c>
      <c r="C16" s="13">
        <f>SUM(Q16:AB16)</f>
        <v>40</v>
      </c>
      <c r="D16" s="13">
        <f>SUM(AC16:AN16)</f>
        <v>80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72">
        <f>((Q$7&gt;=2)+(Q$7&gt;=4))*$B$90/12</f>
        <v>3.3333333333333335</v>
      </c>
      <c r="R16" s="72">
        <f t="shared" ref="R16:AN16" si="7">((R$7&gt;=2)+(R$7&gt;=4))*$B$90/12</f>
        <v>3.3333333333333335</v>
      </c>
      <c r="S16" s="72">
        <f t="shared" si="7"/>
        <v>3.3333333333333335</v>
      </c>
      <c r="T16" s="72">
        <f t="shared" si="7"/>
        <v>3.3333333333333335</v>
      </c>
      <c r="U16" s="72">
        <f t="shared" si="7"/>
        <v>3.3333333333333335</v>
      </c>
      <c r="V16" s="72">
        <f t="shared" si="7"/>
        <v>3.3333333333333335</v>
      </c>
      <c r="W16" s="72">
        <f t="shared" si="7"/>
        <v>3.3333333333333335</v>
      </c>
      <c r="X16" s="72">
        <f t="shared" si="7"/>
        <v>3.3333333333333335</v>
      </c>
      <c r="Y16" s="72">
        <f t="shared" si="7"/>
        <v>3.3333333333333335</v>
      </c>
      <c r="Z16" s="72">
        <f t="shared" si="7"/>
        <v>3.3333333333333335</v>
      </c>
      <c r="AA16" s="72">
        <f t="shared" si="7"/>
        <v>3.3333333333333335</v>
      </c>
      <c r="AB16" s="72">
        <f t="shared" si="7"/>
        <v>3.3333333333333335</v>
      </c>
      <c r="AC16" s="72">
        <f t="shared" si="7"/>
        <v>6.666666666666667</v>
      </c>
      <c r="AD16" s="72">
        <f t="shared" si="7"/>
        <v>6.666666666666667</v>
      </c>
      <c r="AE16" s="72">
        <f t="shared" si="7"/>
        <v>6.666666666666667</v>
      </c>
      <c r="AF16" s="72">
        <f t="shared" si="7"/>
        <v>6.666666666666667</v>
      </c>
      <c r="AG16" s="72">
        <f t="shared" si="7"/>
        <v>6.666666666666667</v>
      </c>
      <c r="AH16" s="72">
        <f t="shared" si="7"/>
        <v>6.666666666666667</v>
      </c>
      <c r="AI16" s="72">
        <f t="shared" si="7"/>
        <v>6.666666666666667</v>
      </c>
      <c r="AJ16" s="72">
        <f t="shared" si="7"/>
        <v>6.666666666666667</v>
      </c>
      <c r="AK16" s="72">
        <f t="shared" si="7"/>
        <v>6.666666666666667</v>
      </c>
      <c r="AL16" s="72">
        <f t="shared" si="7"/>
        <v>6.666666666666667</v>
      </c>
      <c r="AM16" s="72">
        <f t="shared" si="7"/>
        <v>6.666666666666667</v>
      </c>
      <c r="AN16" s="72">
        <f t="shared" si="7"/>
        <v>6.666666666666667</v>
      </c>
      <c r="AO16" s="1" t="s">
        <v>117</v>
      </c>
      <c r="AP16" s="1" t="s">
        <v>431</v>
      </c>
    </row>
    <row r="17" spans="1:43" ht="13" x14ac:dyDescent="0.3">
      <c r="A17" s="1" t="s">
        <v>430</v>
      </c>
      <c r="B17" s="13">
        <f>SUM(E17:P17)</f>
        <v>0</v>
      </c>
      <c r="C17" s="13">
        <f>SUM(Q17:AB17)</f>
        <v>40</v>
      </c>
      <c r="D17" s="13">
        <f>SUM(AC17:AN17)</f>
        <v>120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72">
        <f>((Q$7&gt;=3)+(Q$7&gt;=5)+(Q$7&gt;=6))*$B$90/12</f>
        <v>3.3333333333333335</v>
      </c>
      <c r="R17" s="72">
        <f t="shared" ref="R17:AN17" si="8">((R$7&gt;=3)+(R$7&gt;=5)+(R$7&gt;=6))*$B$90/12</f>
        <v>3.3333333333333335</v>
      </c>
      <c r="S17" s="72">
        <f t="shared" si="8"/>
        <v>3.3333333333333335</v>
      </c>
      <c r="T17" s="72">
        <f t="shared" si="8"/>
        <v>3.3333333333333335</v>
      </c>
      <c r="U17" s="72">
        <f t="shared" si="8"/>
        <v>3.3333333333333335</v>
      </c>
      <c r="V17" s="72">
        <f t="shared" si="8"/>
        <v>3.3333333333333335</v>
      </c>
      <c r="W17" s="72">
        <f t="shared" si="8"/>
        <v>3.3333333333333335</v>
      </c>
      <c r="X17" s="72">
        <f t="shared" si="8"/>
        <v>3.3333333333333335</v>
      </c>
      <c r="Y17" s="72">
        <f t="shared" si="8"/>
        <v>3.3333333333333335</v>
      </c>
      <c r="Z17" s="72">
        <f t="shared" si="8"/>
        <v>3.3333333333333335</v>
      </c>
      <c r="AA17" s="72">
        <f t="shared" si="8"/>
        <v>3.3333333333333335</v>
      </c>
      <c r="AB17" s="72">
        <f t="shared" si="8"/>
        <v>3.3333333333333335</v>
      </c>
      <c r="AC17" s="72">
        <f t="shared" si="8"/>
        <v>10</v>
      </c>
      <c r="AD17" s="72">
        <f t="shared" si="8"/>
        <v>10</v>
      </c>
      <c r="AE17" s="72">
        <f t="shared" si="8"/>
        <v>10</v>
      </c>
      <c r="AF17" s="72">
        <f t="shared" si="8"/>
        <v>10</v>
      </c>
      <c r="AG17" s="72">
        <f t="shared" si="8"/>
        <v>10</v>
      </c>
      <c r="AH17" s="72">
        <f t="shared" si="8"/>
        <v>10</v>
      </c>
      <c r="AI17" s="72">
        <f t="shared" si="8"/>
        <v>10</v>
      </c>
      <c r="AJ17" s="72">
        <f t="shared" si="8"/>
        <v>10</v>
      </c>
      <c r="AK17" s="72">
        <f t="shared" si="8"/>
        <v>10</v>
      </c>
      <c r="AL17" s="72">
        <f t="shared" si="8"/>
        <v>10</v>
      </c>
      <c r="AM17" s="72">
        <f t="shared" si="8"/>
        <v>10</v>
      </c>
      <c r="AN17" s="72">
        <f t="shared" si="8"/>
        <v>10</v>
      </c>
      <c r="AO17" s="1" t="s">
        <v>117</v>
      </c>
      <c r="AP17" s="1" t="s">
        <v>432</v>
      </c>
    </row>
    <row r="18" spans="1:43" ht="13" x14ac:dyDescent="0.3">
      <c r="A18" s="1" t="s">
        <v>282</v>
      </c>
      <c r="B18" s="13">
        <f t="shared" si="1"/>
        <v>1</v>
      </c>
      <c r="C18" s="13">
        <f t="shared" si="2"/>
        <v>0</v>
      </c>
      <c r="D18" s="13">
        <f t="shared" si="3"/>
        <v>0</v>
      </c>
      <c r="E18" s="11">
        <v>0</v>
      </c>
      <c r="F18" s="11">
        <v>0</v>
      </c>
      <c r="G18" s="11">
        <v>1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" t="s">
        <v>80</v>
      </c>
      <c r="AP18" s="1" t="s">
        <v>283</v>
      </c>
    </row>
    <row r="19" spans="1:43" ht="13" x14ac:dyDescent="0.3">
      <c r="A19" s="1" t="s">
        <v>284</v>
      </c>
      <c r="B19" s="13">
        <f t="shared" si="1"/>
        <v>1</v>
      </c>
      <c r="C19" s="13">
        <f t="shared" si="2"/>
        <v>0</v>
      </c>
      <c r="D19" s="13">
        <f t="shared" si="3"/>
        <v>0</v>
      </c>
      <c r="E19" s="11">
        <v>0</v>
      </c>
      <c r="F19" s="11">
        <v>0</v>
      </c>
      <c r="G19" s="11">
        <v>0</v>
      </c>
      <c r="H19" s="11">
        <v>1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" t="s">
        <v>80</v>
      </c>
      <c r="AP19" s="1" t="s">
        <v>199</v>
      </c>
    </row>
    <row r="20" spans="1:43" ht="13" x14ac:dyDescent="0.3">
      <c r="A20" s="1" t="s">
        <v>444</v>
      </c>
      <c r="B20" s="13">
        <f>MAX(E20:P20)</f>
        <v>0</v>
      </c>
      <c r="C20" s="13">
        <f>MAX(Q20:AB20)</f>
        <v>3</v>
      </c>
      <c r="D20" s="13">
        <f>MAX(AC20:AN20)</f>
        <v>6</v>
      </c>
      <c r="E20" s="75" cm="1">
        <f t="array" ref="E20">ROUNDUP(INDEX($B$13:$D$13,INT((E$4-1)/12)+1)/(52*'Ressources humaines'!$C$5),0)*(E$4&gt;='Ressources humaines'!$D$9)</f>
        <v>0</v>
      </c>
      <c r="F20" s="75" cm="1">
        <f t="array" ref="F20">ROUNDUP(INDEX($B$13:$D$13,INT((F$4-1)/12)+1)/(52*'Ressources humaines'!$C$5),0)*(F$4&gt;='Ressources humaines'!$D$9)</f>
        <v>0</v>
      </c>
      <c r="G20" s="75" cm="1">
        <f t="array" ref="G20">ROUNDUP(INDEX($B$13:$D$13,INT((G$4-1)/12)+1)/(52*'Ressources humaines'!$C$5),0)*(G$4&gt;='Ressources humaines'!$D$9)</f>
        <v>0</v>
      </c>
      <c r="H20" s="75" cm="1">
        <f t="array" ref="H20">ROUNDUP(INDEX($B$13:$D$13,INT((H$4-1)/12)+1)/(52*'Ressources humaines'!$C$5),0)*(H$4&gt;='Ressources humaines'!$D$9)</f>
        <v>0</v>
      </c>
      <c r="I20" s="75" cm="1">
        <f t="array" ref="I20">ROUNDUP(INDEX($B$13:$D$13,INT((I$4-1)/12)+1)/(52*'Ressources humaines'!$C$5),0)*(I$4&gt;='Ressources humaines'!$D$9)</f>
        <v>0</v>
      </c>
      <c r="J20" s="75" cm="1">
        <f t="array" ref="J20">ROUNDUP(INDEX($B$13:$D$13,INT((J$4-1)/12)+1)/(52*'Ressources humaines'!$C$5),0)*(J$4&gt;='Ressources humaines'!$D$9)</f>
        <v>0</v>
      </c>
      <c r="K20" s="75" cm="1">
        <f t="array" ref="K20">ROUNDUP(INDEX($B$13:$D$13,INT((K$4-1)/12)+1)/(52*'Ressources humaines'!$C$5),0)*(K$4&gt;='Ressources humaines'!$D$9)</f>
        <v>0</v>
      </c>
      <c r="L20" s="75" cm="1">
        <f t="array" ref="L20">ROUNDUP(INDEX($B$13:$D$13,INT((L$4-1)/12)+1)/(52*'Ressources humaines'!$C$5),0)*(L$4&gt;='Ressources humaines'!$D$9)</f>
        <v>0</v>
      </c>
      <c r="M20" s="75" cm="1">
        <f t="array" ref="M20">ROUNDUP(INDEX($B$13:$D$13,INT((M$4-1)/12)+1)/(52*'Ressources humaines'!$C$5),0)*(M$4&gt;='Ressources humaines'!$D$9)</f>
        <v>0</v>
      </c>
      <c r="N20" s="75" cm="1">
        <f t="array" ref="N20">ROUNDUP(INDEX($B$13:$D$13,INT((N$4-1)/12)+1)/(52*'Ressources humaines'!$C$5),0)*(N$4&gt;='Ressources humaines'!$D$9)</f>
        <v>0</v>
      </c>
      <c r="O20" s="75" cm="1">
        <f t="array" ref="O20">ROUNDUP(INDEX($B$13:$D$13,INT((O$4-1)/12)+1)/(52*'Ressources humaines'!$C$5),0)*(O$4&gt;='Ressources humaines'!$D$9)</f>
        <v>0</v>
      </c>
      <c r="P20" s="75" cm="1">
        <f t="array" ref="P20">ROUNDUP(INDEX($B$13:$D$13,INT((P$4-1)/12)+1)/(52*'Ressources humaines'!$C$5),0)*(P$4&gt;='Ressources humaines'!$D$9)</f>
        <v>0</v>
      </c>
      <c r="Q20" s="75" cm="1">
        <f t="array" ref="Q20">ROUNDUP(INDEX($B$13:$D$13,INT((Q$4-1)/12)+1)/(52*'Ressources humaines'!$C$5),0)*(Q$4&gt;='Ressources humaines'!$D$9)</f>
        <v>3</v>
      </c>
      <c r="R20" s="75" cm="1">
        <f t="array" ref="R20">ROUNDUP(INDEX($B$13:$D$13,INT((R$4-1)/12)+1)/(52*'Ressources humaines'!$C$5),0)*(R$4&gt;='Ressources humaines'!$D$9)</f>
        <v>3</v>
      </c>
      <c r="S20" s="75" cm="1">
        <f t="array" ref="S20">ROUNDUP(INDEX($B$13:$D$13,INT((S$4-1)/12)+1)/(52*'Ressources humaines'!$C$5),0)*(S$4&gt;='Ressources humaines'!$D$9)</f>
        <v>3</v>
      </c>
      <c r="T20" s="75" cm="1">
        <f t="array" ref="T20">ROUNDUP(INDEX($B$13:$D$13,INT((T$4-1)/12)+1)/(52*'Ressources humaines'!$C$5),0)*(T$4&gt;='Ressources humaines'!$D$9)</f>
        <v>3</v>
      </c>
      <c r="U20" s="75" cm="1">
        <f t="array" ref="U20">ROUNDUP(INDEX($B$13:$D$13,INT((U$4-1)/12)+1)/(52*'Ressources humaines'!$C$5),0)*(U$4&gt;='Ressources humaines'!$D$9)</f>
        <v>3</v>
      </c>
      <c r="V20" s="75" cm="1">
        <f t="array" ref="V20">ROUNDUP(INDEX($B$13:$D$13,INT((V$4-1)/12)+1)/(52*'Ressources humaines'!$C$5),0)*(V$4&gt;='Ressources humaines'!$D$9)</f>
        <v>3</v>
      </c>
      <c r="W20" s="75" cm="1">
        <f t="array" ref="W20">ROUNDUP(INDEX($B$13:$D$13,INT((W$4-1)/12)+1)/(52*'Ressources humaines'!$C$5),0)*(W$4&gt;='Ressources humaines'!$D$9)</f>
        <v>3</v>
      </c>
      <c r="X20" s="75" cm="1">
        <f t="array" ref="X20">ROUNDUP(INDEX($B$13:$D$13,INT((X$4-1)/12)+1)/(52*'Ressources humaines'!$C$5),0)*(X$4&gt;='Ressources humaines'!$D$9)</f>
        <v>3</v>
      </c>
      <c r="Y20" s="75" cm="1">
        <f t="array" ref="Y20">ROUNDUP(INDEX($B$13:$D$13,INT((Y$4-1)/12)+1)/(52*'Ressources humaines'!$C$5),0)*(Y$4&gt;='Ressources humaines'!$D$9)</f>
        <v>3</v>
      </c>
      <c r="Z20" s="75" cm="1">
        <f t="array" ref="Z20">ROUNDUP(INDEX($B$13:$D$13,INT((Z$4-1)/12)+1)/(52*'Ressources humaines'!$C$5),0)*(Z$4&gt;='Ressources humaines'!$D$9)</f>
        <v>3</v>
      </c>
      <c r="AA20" s="75" cm="1">
        <f t="array" ref="AA20">ROUNDUP(INDEX($B$13:$D$13,INT((AA$4-1)/12)+1)/(52*'Ressources humaines'!$C$5),0)*(AA$4&gt;='Ressources humaines'!$D$9)</f>
        <v>3</v>
      </c>
      <c r="AB20" s="75" cm="1">
        <f t="array" ref="AB20">ROUNDUP(INDEX($B$13:$D$13,INT((AB$4-1)/12)+1)/(52*'Ressources humaines'!$C$5),0)*(AB$4&gt;='Ressources humaines'!$D$9)</f>
        <v>3</v>
      </c>
      <c r="AC20" s="75" cm="1">
        <f t="array" ref="AC20">ROUNDUP(INDEX($B$13:$D$13,INT((AC$4-1)/12)+1)/(52*'Ressources humaines'!$C$5),0)*(AC$4&gt;='Ressources humaines'!$D$9)</f>
        <v>6</v>
      </c>
      <c r="AD20" s="75" cm="1">
        <f t="array" ref="AD20">ROUNDUP(INDEX($B$13:$D$13,INT((AD$4-1)/12)+1)/(52*'Ressources humaines'!$C$5),0)*(AD$4&gt;='Ressources humaines'!$D$9)</f>
        <v>6</v>
      </c>
      <c r="AE20" s="75" cm="1">
        <f t="array" ref="AE20">ROUNDUP(INDEX($B$13:$D$13,INT((AE$4-1)/12)+1)/(52*'Ressources humaines'!$C$5),0)*(AE$4&gt;='Ressources humaines'!$D$9)</f>
        <v>6</v>
      </c>
      <c r="AF20" s="75" cm="1">
        <f t="array" ref="AF20">ROUNDUP(INDEX($B$13:$D$13,INT((AF$4-1)/12)+1)/(52*'Ressources humaines'!$C$5),0)*(AF$4&gt;='Ressources humaines'!$D$9)</f>
        <v>6</v>
      </c>
      <c r="AG20" s="75" cm="1">
        <f t="array" ref="AG20">ROUNDUP(INDEX($B$13:$D$13,INT((AG$4-1)/12)+1)/(52*'Ressources humaines'!$C$5),0)*(AG$4&gt;='Ressources humaines'!$D$9)</f>
        <v>6</v>
      </c>
      <c r="AH20" s="75" cm="1">
        <f t="array" ref="AH20">ROUNDUP(INDEX($B$13:$D$13,INT((AH$4-1)/12)+1)/(52*'Ressources humaines'!$C$5),0)*(AH$4&gt;='Ressources humaines'!$D$9)</f>
        <v>6</v>
      </c>
      <c r="AI20" s="75" cm="1">
        <f t="array" ref="AI20">ROUNDUP(INDEX($B$13:$D$13,INT((AI$4-1)/12)+1)/(52*'Ressources humaines'!$C$5),0)*(AI$4&gt;='Ressources humaines'!$D$9)</f>
        <v>6</v>
      </c>
      <c r="AJ20" s="75" cm="1">
        <f t="array" ref="AJ20">ROUNDUP(INDEX($B$13:$D$13,INT((AJ$4-1)/12)+1)/(52*'Ressources humaines'!$C$5),0)*(AJ$4&gt;='Ressources humaines'!$D$9)</f>
        <v>6</v>
      </c>
      <c r="AK20" s="75" cm="1">
        <f t="array" ref="AK20">ROUNDUP(INDEX($B$13:$D$13,INT((AK$4-1)/12)+1)/(52*'Ressources humaines'!$C$5),0)*(AK$4&gt;='Ressources humaines'!$D$9)</f>
        <v>6</v>
      </c>
      <c r="AL20" s="75" cm="1">
        <f t="array" ref="AL20">ROUNDUP(INDEX($B$13:$D$13,INT((AL$4-1)/12)+1)/(52*'Ressources humaines'!$C$5),0)*(AL$4&gt;='Ressources humaines'!$D$9)</f>
        <v>6</v>
      </c>
      <c r="AM20" s="75" cm="1">
        <f t="array" ref="AM20">ROUNDUP(INDEX($B$13:$D$13,INT((AM$4-1)/12)+1)/(52*'Ressources humaines'!$C$5),0)*(AM$4&gt;='Ressources humaines'!$D$9)</f>
        <v>6</v>
      </c>
      <c r="AN20" s="75" cm="1">
        <f t="array" ref="AN20">ROUNDUP(INDEX($B$13:$D$13,INT((AN$4-1)/12)+1)/(52*'Ressources humaines'!$C$5),0)*(AN$4&gt;='Ressources humaines'!$D$9)</f>
        <v>6</v>
      </c>
      <c r="AO20" s="1" t="s">
        <v>117</v>
      </c>
      <c r="AP20" s="1" t="s">
        <v>446</v>
      </c>
    </row>
    <row r="21" spans="1:43" ht="13" x14ac:dyDescent="0.3">
      <c r="A21" s="1" t="s">
        <v>445</v>
      </c>
      <c r="B21" s="13">
        <f>MAX(E21:P21)</f>
        <v>0</v>
      </c>
      <c r="C21" s="13">
        <f>MAX(Q21:AB21)</f>
        <v>0</v>
      </c>
      <c r="D21" s="13">
        <f>MAX(AC21:AN21)</f>
        <v>6</v>
      </c>
      <c r="E21" s="75">
        <f>E$7*'Ressources humaines'!$C$6*(E$4&gt;='Ressources humaines'!$D$10)</f>
        <v>0</v>
      </c>
      <c r="F21" s="75">
        <f>F$7*'Ressources humaines'!$C$6*(F$4&gt;='Ressources humaines'!$D$10)</f>
        <v>0</v>
      </c>
      <c r="G21" s="75">
        <f>G$7*'Ressources humaines'!$C$6*(G$4&gt;='Ressources humaines'!$D$10)</f>
        <v>0</v>
      </c>
      <c r="H21" s="75">
        <f>H$7*'Ressources humaines'!$C$6*(H$4&gt;='Ressources humaines'!$D$10)</f>
        <v>0</v>
      </c>
      <c r="I21" s="75">
        <f>I$7*'Ressources humaines'!$C$6*(I$4&gt;='Ressources humaines'!$D$10)</f>
        <v>0</v>
      </c>
      <c r="J21" s="75">
        <f>J$7*'Ressources humaines'!$C$6*(J$4&gt;='Ressources humaines'!$D$10)</f>
        <v>0</v>
      </c>
      <c r="K21" s="75">
        <f>K$7*'Ressources humaines'!$C$6*(K$4&gt;='Ressources humaines'!$D$10)</f>
        <v>0</v>
      </c>
      <c r="L21" s="75">
        <f>L$7*'Ressources humaines'!$C$6*(L$4&gt;='Ressources humaines'!$D$10)</f>
        <v>0</v>
      </c>
      <c r="M21" s="75">
        <f>M$7*'Ressources humaines'!$C$6*(M$4&gt;='Ressources humaines'!$D$10)</f>
        <v>0</v>
      </c>
      <c r="N21" s="75">
        <f>N$7*'Ressources humaines'!$C$6*(N$4&gt;='Ressources humaines'!$D$10)</f>
        <v>0</v>
      </c>
      <c r="O21" s="75">
        <f>O$7*'Ressources humaines'!$C$6*(O$4&gt;='Ressources humaines'!$D$10)</f>
        <v>0</v>
      </c>
      <c r="P21" s="75">
        <f>P$7*'Ressources humaines'!$C$6*(P$4&gt;='Ressources humaines'!$D$10)</f>
        <v>0</v>
      </c>
      <c r="Q21" s="75">
        <f>Q$7*'Ressources humaines'!$C$6*(Q$4&gt;='Ressources humaines'!$D$10)</f>
        <v>0</v>
      </c>
      <c r="R21" s="75">
        <f>R$7*'Ressources humaines'!$C$6*(R$4&gt;='Ressources humaines'!$D$10)</f>
        <v>0</v>
      </c>
      <c r="S21" s="75">
        <f>S$7*'Ressources humaines'!$C$6*(S$4&gt;='Ressources humaines'!$D$10)</f>
        <v>0</v>
      </c>
      <c r="T21" s="75">
        <f>T$7*'Ressources humaines'!$C$6*(T$4&gt;='Ressources humaines'!$D$10)</f>
        <v>0</v>
      </c>
      <c r="U21" s="75">
        <f>U$7*'Ressources humaines'!$C$6*(U$4&gt;='Ressources humaines'!$D$10)</f>
        <v>0</v>
      </c>
      <c r="V21" s="75">
        <f>V$7*'Ressources humaines'!$C$6*(V$4&gt;='Ressources humaines'!$D$10)</f>
        <v>0</v>
      </c>
      <c r="W21" s="75">
        <f>W$7*'Ressources humaines'!$C$6*(W$4&gt;='Ressources humaines'!$D$10)</f>
        <v>0</v>
      </c>
      <c r="X21" s="75">
        <f>X$7*'Ressources humaines'!$C$6*(X$4&gt;='Ressources humaines'!$D$10)</f>
        <v>0</v>
      </c>
      <c r="Y21" s="75">
        <f>Y$7*'Ressources humaines'!$C$6*(Y$4&gt;='Ressources humaines'!$D$10)</f>
        <v>0</v>
      </c>
      <c r="Z21" s="75">
        <f>Z$7*'Ressources humaines'!$C$6*(Z$4&gt;='Ressources humaines'!$D$10)</f>
        <v>0</v>
      </c>
      <c r="AA21" s="75">
        <f>AA$7*'Ressources humaines'!$C$6*(AA$4&gt;='Ressources humaines'!$D$10)</f>
        <v>0</v>
      </c>
      <c r="AB21" s="75">
        <f>AB$7*'Ressources humaines'!$C$6*(AB$4&gt;='Ressources humaines'!$D$10)</f>
        <v>0</v>
      </c>
      <c r="AC21" s="75">
        <f>AC$7*'Ressources humaines'!$C$6*(AC$4&gt;='Ressources humaines'!$D$10)</f>
        <v>6</v>
      </c>
      <c r="AD21" s="75">
        <f>AD$7*'Ressources humaines'!$C$6*(AD$4&gt;='Ressources humaines'!$D$10)</f>
        <v>6</v>
      </c>
      <c r="AE21" s="75">
        <f>AE$7*'Ressources humaines'!$C$6*(AE$4&gt;='Ressources humaines'!$D$10)</f>
        <v>6</v>
      </c>
      <c r="AF21" s="75">
        <f>AF$7*'Ressources humaines'!$C$6*(AF$4&gt;='Ressources humaines'!$D$10)</f>
        <v>6</v>
      </c>
      <c r="AG21" s="75">
        <f>AG$7*'Ressources humaines'!$C$6*(AG$4&gt;='Ressources humaines'!$D$10)</f>
        <v>6</v>
      </c>
      <c r="AH21" s="75">
        <f>AH$7*'Ressources humaines'!$C$6*(AH$4&gt;='Ressources humaines'!$D$10)</f>
        <v>6</v>
      </c>
      <c r="AI21" s="75">
        <f>AI$7*'Ressources humaines'!$C$6*(AI$4&gt;='Ressources humaines'!$D$10)</f>
        <v>6</v>
      </c>
      <c r="AJ21" s="75">
        <f>AJ$7*'Ressources humaines'!$C$6*(AJ$4&gt;='Ressources humaines'!$D$10)</f>
        <v>6</v>
      </c>
      <c r="AK21" s="75">
        <f>AK$7*'Ressources humaines'!$C$6*(AK$4&gt;='Ressources humaines'!$D$10)</f>
        <v>6</v>
      </c>
      <c r="AL21" s="75">
        <f>AL$7*'Ressources humaines'!$C$6*(AL$4&gt;='Ressources humaines'!$D$10)</f>
        <v>6</v>
      </c>
      <c r="AM21" s="75">
        <f>AM$7*'Ressources humaines'!$C$6*(AM$4&gt;='Ressources humaines'!$D$10)</f>
        <v>6</v>
      </c>
      <c r="AN21" s="75">
        <f>AN$7*'Ressources humaines'!$C$6*(AN$4&gt;='Ressources humaines'!$D$10)</f>
        <v>6</v>
      </c>
      <c r="AO21" s="1" t="s">
        <v>117</v>
      </c>
      <c r="AP21" s="1" t="s">
        <v>447</v>
      </c>
    </row>
    <row r="22" spans="1:43" ht="13" x14ac:dyDescent="0.3">
      <c r="A22" s="1" t="s">
        <v>456</v>
      </c>
      <c r="B22" s="13">
        <f>MAX(E22:P22)</f>
        <v>0</v>
      </c>
      <c r="C22" s="13">
        <f>MAX(Q22:AB22)</f>
        <v>3</v>
      </c>
      <c r="D22" s="13">
        <f>MAX(AC22:AN22)</f>
        <v>15</v>
      </c>
      <c r="E22" s="75">
        <f>E$20+E$21+'Ressources humaines'!$B$8*(E$4&gt;='Ressources humaines'!$D$8)+'Ressources humaines'!$B$11*(E$4&gt;='Ressources humaines'!$D$11)</f>
        <v>0</v>
      </c>
      <c r="F22" s="75">
        <f>F$20+F$21+'Ressources humaines'!$B$8*(F$4&gt;='Ressources humaines'!$D$8)+'Ressources humaines'!$B$11*(F$4&gt;='Ressources humaines'!$D$11)</f>
        <v>0</v>
      </c>
      <c r="G22" s="75">
        <f>G$20+G$21+'Ressources humaines'!$B$8*(G$4&gt;='Ressources humaines'!$D$8)+'Ressources humaines'!$B$11*(G$4&gt;='Ressources humaines'!$D$11)</f>
        <v>0</v>
      </c>
      <c r="H22" s="75">
        <f>H$20+H$21+'Ressources humaines'!$B$8*(H$4&gt;='Ressources humaines'!$D$8)+'Ressources humaines'!$B$11*(H$4&gt;='Ressources humaines'!$D$11)</f>
        <v>0</v>
      </c>
      <c r="I22" s="75">
        <f>I$20+I$21+'Ressources humaines'!$B$8*(I$4&gt;='Ressources humaines'!$D$8)+'Ressources humaines'!$B$11*(I$4&gt;='Ressources humaines'!$D$11)</f>
        <v>0</v>
      </c>
      <c r="J22" s="75">
        <f>J$20+J$21+'Ressources humaines'!$B$8*(J$4&gt;='Ressources humaines'!$D$8)+'Ressources humaines'!$B$11*(J$4&gt;='Ressources humaines'!$D$11)</f>
        <v>0</v>
      </c>
      <c r="K22" s="75">
        <f>K$20+K$21+'Ressources humaines'!$B$8*(K$4&gt;='Ressources humaines'!$D$8)+'Ressources humaines'!$B$11*(K$4&gt;='Ressources humaines'!$D$11)</f>
        <v>0</v>
      </c>
      <c r="L22" s="75">
        <f>L$20+L$21+'Ressources humaines'!$B$8*(L$4&gt;='Ressources humaines'!$D$8)+'Ressources humaines'!$B$11*(L$4&gt;='Ressources humaines'!$D$11)</f>
        <v>0</v>
      </c>
      <c r="M22" s="75">
        <f>M$20+M$21+'Ressources humaines'!$B$8*(M$4&gt;='Ressources humaines'!$D$8)+'Ressources humaines'!$B$11*(M$4&gt;='Ressources humaines'!$D$11)</f>
        <v>0</v>
      </c>
      <c r="N22" s="75">
        <f>N$20+N$21+'Ressources humaines'!$B$8*(N$4&gt;='Ressources humaines'!$D$8)+'Ressources humaines'!$B$11*(N$4&gt;='Ressources humaines'!$D$11)</f>
        <v>0</v>
      </c>
      <c r="O22" s="75">
        <f>O$20+O$21+'Ressources humaines'!$B$8*(O$4&gt;='Ressources humaines'!$D$8)+'Ressources humaines'!$B$11*(O$4&gt;='Ressources humaines'!$D$11)</f>
        <v>0</v>
      </c>
      <c r="P22" s="75">
        <f>P$20+P$21+'Ressources humaines'!$B$8*(P$4&gt;='Ressources humaines'!$D$8)+'Ressources humaines'!$B$11*(P$4&gt;='Ressources humaines'!$D$11)</f>
        <v>0</v>
      </c>
      <c r="Q22" s="75">
        <f>Q$20+Q$21+'Ressources humaines'!$B$8*(Q$4&gt;='Ressources humaines'!$D$8)+'Ressources humaines'!$B$11*(Q$4&gt;='Ressources humaines'!$D$11)</f>
        <v>3</v>
      </c>
      <c r="R22" s="75">
        <f>R$20+R$21+'Ressources humaines'!$B$8*(R$4&gt;='Ressources humaines'!$D$8)+'Ressources humaines'!$B$11*(R$4&gt;='Ressources humaines'!$D$11)</f>
        <v>3</v>
      </c>
      <c r="S22" s="75">
        <f>S$20+S$21+'Ressources humaines'!$B$8*(S$4&gt;='Ressources humaines'!$D$8)+'Ressources humaines'!$B$11*(S$4&gt;='Ressources humaines'!$D$11)</f>
        <v>3</v>
      </c>
      <c r="T22" s="75">
        <f>T$20+T$21+'Ressources humaines'!$B$8*(T$4&gt;='Ressources humaines'!$D$8)+'Ressources humaines'!$B$11*(T$4&gt;='Ressources humaines'!$D$11)</f>
        <v>3</v>
      </c>
      <c r="U22" s="75">
        <f>U$20+U$21+'Ressources humaines'!$B$8*(U$4&gt;='Ressources humaines'!$D$8)+'Ressources humaines'!$B$11*(U$4&gt;='Ressources humaines'!$D$11)</f>
        <v>3</v>
      </c>
      <c r="V22" s="75">
        <f>V$20+V$21+'Ressources humaines'!$B$8*(V$4&gt;='Ressources humaines'!$D$8)+'Ressources humaines'!$B$11*(V$4&gt;='Ressources humaines'!$D$11)</f>
        <v>3</v>
      </c>
      <c r="W22" s="75">
        <f>W$20+W$21+'Ressources humaines'!$B$8*(W$4&gt;='Ressources humaines'!$D$8)+'Ressources humaines'!$B$11*(W$4&gt;='Ressources humaines'!$D$11)</f>
        <v>3</v>
      </c>
      <c r="X22" s="75">
        <f>X$20+X$21+'Ressources humaines'!$B$8*(X$4&gt;='Ressources humaines'!$D$8)+'Ressources humaines'!$B$11*(X$4&gt;='Ressources humaines'!$D$11)</f>
        <v>3</v>
      </c>
      <c r="Y22" s="75">
        <f>Y$20+Y$21+'Ressources humaines'!$B$8*(Y$4&gt;='Ressources humaines'!$D$8)+'Ressources humaines'!$B$11*(Y$4&gt;='Ressources humaines'!$D$11)</f>
        <v>3</v>
      </c>
      <c r="Z22" s="75">
        <f>Z$20+Z$21+'Ressources humaines'!$B$8*(Z$4&gt;='Ressources humaines'!$D$8)+'Ressources humaines'!$B$11*(Z$4&gt;='Ressources humaines'!$D$11)</f>
        <v>3</v>
      </c>
      <c r="AA22" s="75">
        <f>AA$20+AA$21+'Ressources humaines'!$B$8*(AA$4&gt;='Ressources humaines'!$D$8)+'Ressources humaines'!$B$11*(AA$4&gt;='Ressources humaines'!$D$11)</f>
        <v>3</v>
      </c>
      <c r="AB22" s="75">
        <f>AB$20+AB$21+'Ressources humaines'!$B$8*(AB$4&gt;='Ressources humaines'!$D$8)+'Ressources humaines'!$B$11*(AB$4&gt;='Ressources humaines'!$D$11)</f>
        <v>3</v>
      </c>
      <c r="AC22" s="75">
        <f>AC$20+AC$21+'Ressources humaines'!$B$8*(AC$4&gt;='Ressources humaines'!$D$8)+'Ressources humaines'!$B$11*(AC$4&gt;='Ressources humaines'!$D$11)</f>
        <v>15</v>
      </c>
      <c r="AD22" s="75">
        <f>AD$20+AD$21+'Ressources humaines'!$B$8*(AD$4&gt;='Ressources humaines'!$D$8)+'Ressources humaines'!$B$11*(AD$4&gt;='Ressources humaines'!$D$11)</f>
        <v>15</v>
      </c>
      <c r="AE22" s="75">
        <f>AE$20+AE$21+'Ressources humaines'!$B$8*(AE$4&gt;='Ressources humaines'!$D$8)+'Ressources humaines'!$B$11*(AE$4&gt;='Ressources humaines'!$D$11)</f>
        <v>15</v>
      </c>
      <c r="AF22" s="75">
        <f>AF$20+AF$21+'Ressources humaines'!$B$8*(AF$4&gt;='Ressources humaines'!$D$8)+'Ressources humaines'!$B$11*(AF$4&gt;='Ressources humaines'!$D$11)</f>
        <v>15</v>
      </c>
      <c r="AG22" s="75">
        <f>AG$20+AG$21+'Ressources humaines'!$B$8*(AG$4&gt;='Ressources humaines'!$D$8)+'Ressources humaines'!$B$11*(AG$4&gt;='Ressources humaines'!$D$11)</f>
        <v>15</v>
      </c>
      <c r="AH22" s="75">
        <f>AH$20+AH$21+'Ressources humaines'!$B$8*(AH$4&gt;='Ressources humaines'!$D$8)+'Ressources humaines'!$B$11*(AH$4&gt;='Ressources humaines'!$D$11)</f>
        <v>15</v>
      </c>
      <c r="AI22" s="75">
        <f>AI$20+AI$21+'Ressources humaines'!$B$8*(AI$4&gt;='Ressources humaines'!$D$8)+'Ressources humaines'!$B$11*(AI$4&gt;='Ressources humaines'!$D$11)</f>
        <v>15</v>
      </c>
      <c r="AJ22" s="75">
        <f>AJ$20+AJ$21+'Ressources humaines'!$B$8*(AJ$4&gt;='Ressources humaines'!$D$8)+'Ressources humaines'!$B$11*(AJ$4&gt;='Ressources humaines'!$D$11)</f>
        <v>15</v>
      </c>
      <c r="AK22" s="75">
        <f>AK$20+AK$21+'Ressources humaines'!$B$8*(AK$4&gt;='Ressources humaines'!$D$8)+'Ressources humaines'!$B$11*(AK$4&gt;='Ressources humaines'!$D$11)</f>
        <v>15</v>
      </c>
      <c r="AL22" s="75">
        <f>AL$20+AL$21+'Ressources humaines'!$B$8*(AL$4&gt;='Ressources humaines'!$D$8)+'Ressources humaines'!$B$11*(AL$4&gt;='Ressources humaines'!$D$11)</f>
        <v>15</v>
      </c>
      <c r="AM22" s="75">
        <f>AM$20+AM$21+'Ressources humaines'!$B$8*(AM$4&gt;='Ressources humaines'!$D$8)+'Ressources humaines'!$B$11*(AM$4&gt;='Ressources humaines'!$D$11)</f>
        <v>15</v>
      </c>
      <c r="AN22" s="75">
        <f>AN$20+AN$21+'Ressources humaines'!$B$8*(AN$4&gt;='Ressources humaines'!$D$8)+'Ressources humaines'!$B$11*(AN$4&gt;='Ressources humaines'!$D$11)</f>
        <v>15</v>
      </c>
      <c r="AO22" s="1" t="s">
        <v>117</v>
      </c>
      <c r="AP22" s="1" t="s">
        <v>457</v>
      </c>
    </row>
    <row r="23" spans="1:43" ht="13" x14ac:dyDescent="0.3">
      <c r="A23" s="10" t="s">
        <v>285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</row>
    <row r="24" spans="1:43" ht="13" x14ac:dyDescent="0.3">
      <c r="A24" s="1" t="s">
        <v>286</v>
      </c>
      <c r="B24" s="16">
        <f t="shared" ref="B24:B31" si="9">SUM(E24:P24)</f>
        <v>125892.85714285713</v>
      </c>
      <c r="C24" s="16">
        <f t="shared" ref="C24:C31" si="10">SUM(Q24:AB24)</f>
        <v>461607.14285714272</v>
      </c>
      <c r="D24" s="16">
        <f t="shared" ref="D24:D31" si="11">SUM(AC24:AN24)</f>
        <v>923214.28571428545</v>
      </c>
      <c r="E24" s="15">
        <f>E8*'Prix et marges'!$C$17+E9*'Prix et marges'!$D$17+E10*'Prix et marges'!$E$17</f>
        <v>0</v>
      </c>
      <c r="F24" s="15">
        <f>F8*'Prix et marges'!$C$17+F9*'Prix et marges'!$D$17+F10*'Prix et marges'!$E$17</f>
        <v>0</v>
      </c>
      <c r="G24" s="15">
        <f>G8*'Prix et marges'!$C$17+G9*'Prix et marges'!$D$17+G10*'Prix et marges'!$E$17</f>
        <v>10357.142857142855</v>
      </c>
      <c r="H24" s="15">
        <f>H8*'Prix et marges'!$C$17+H9*'Prix et marges'!$D$17+H10*'Prix et marges'!$E$17</f>
        <v>18482.142857142855</v>
      </c>
      <c r="I24" s="15">
        <f>I8*'Prix et marges'!$C$17+I9*'Prix et marges'!$D$17+I10*'Prix et marges'!$E$17</f>
        <v>13124.999999999998</v>
      </c>
      <c r="J24" s="15">
        <f>J8*'Prix et marges'!$C$17+J9*'Prix et marges'!$D$17+J10*'Prix et marges'!$E$17</f>
        <v>10357.142857142855</v>
      </c>
      <c r="K24" s="15">
        <f>K8*'Prix et marges'!$C$17+K9*'Prix et marges'!$D$17+K10*'Prix et marges'!$E$17</f>
        <v>18482.142857142855</v>
      </c>
      <c r="L24" s="15">
        <f>L8*'Prix et marges'!$C$17+L9*'Prix et marges'!$D$17+L10*'Prix et marges'!$E$17</f>
        <v>13124.999999999998</v>
      </c>
      <c r="M24" s="15">
        <f>M8*'Prix et marges'!$C$17+M9*'Prix et marges'!$D$17+M10*'Prix et marges'!$E$17</f>
        <v>10357.142857142855</v>
      </c>
      <c r="N24" s="15">
        <f>N8*'Prix et marges'!$C$17+N9*'Prix et marges'!$D$17+N10*'Prix et marges'!$E$17</f>
        <v>0</v>
      </c>
      <c r="O24" s="15">
        <f>O8*'Prix et marges'!$C$17+O9*'Prix et marges'!$D$17+O10*'Prix et marges'!$E$17</f>
        <v>18482.142857142855</v>
      </c>
      <c r="P24" s="15">
        <f>P8*'Prix et marges'!$C$17+P9*'Prix et marges'!$D$17+P10*'Prix et marges'!$E$17</f>
        <v>13124.999999999998</v>
      </c>
      <c r="Q24" s="15">
        <f>Q8*'Prix et marges'!$C$17+Q9*'Prix et marges'!$D$17+Q10*'Prix et marges'!$E$17</f>
        <v>41964.28571428571</v>
      </c>
      <c r="R24" s="15">
        <f>R8*'Prix et marges'!$C$17+R9*'Prix et marges'!$D$17+R10*'Prix et marges'!$E$17</f>
        <v>41964.28571428571</v>
      </c>
      <c r="S24" s="15">
        <f>S8*'Prix et marges'!$C$17+S9*'Prix et marges'!$D$17+S10*'Prix et marges'!$E$17</f>
        <v>41964.28571428571</v>
      </c>
      <c r="T24" s="15">
        <f>T8*'Prix et marges'!$C$17+T9*'Prix et marges'!$D$17+T10*'Prix et marges'!$E$17</f>
        <v>41964.28571428571</v>
      </c>
      <c r="U24" s="15">
        <f>U8*'Prix et marges'!$C$17+U9*'Prix et marges'!$D$17+U10*'Prix et marges'!$E$17</f>
        <v>41964.28571428571</v>
      </c>
      <c r="V24" s="15">
        <f>V8*'Prix et marges'!$C$17+V9*'Prix et marges'!$D$17+V10*'Prix et marges'!$E$17</f>
        <v>41964.28571428571</v>
      </c>
      <c r="W24" s="15">
        <f>W8*'Prix et marges'!$C$17+W9*'Prix et marges'!$D$17+W10*'Prix et marges'!$E$17</f>
        <v>41964.28571428571</v>
      </c>
      <c r="X24" s="15">
        <f>X8*'Prix et marges'!$C$17+X9*'Prix et marges'!$D$17+X10*'Prix et marges'!$E$17</f>
        <v>41964.28571428571</v>
      </c>
      <c r="Y24" s="15">
        <f>Y8*'Prix et marges'!$C$17+Y9*'Prix et marges'!$D$17+Y10*'Prix et marges'!$E$17</f>
        <v>41964.28571428571</v>
      </c>
      <c r="Z24" s="15">
        <f>Z8*'Prix et marges'!$C$17+Z9*'Prix et marges'!$D$17+Z10*'Prix et marges'!$E$17</f>
        <v>0</v>
      </c>
      <c r="AA24" s="15">
        <f>AA8*'Prix et marges'!$C$17+AA9*'Prix et marges'!$D$17+AA10*'Prix et marges'!$E$17</f>
        <v>41964.28571428571</v>
      </c>
      <c r="AB24" s="15">
        <f>AB8*'Prix et marges'!$C$17+AB9*'Prix et marges'!$D$17+AB10*'Prix et marges'!$E$17</f>
        <v>41964.28571428571</v>
      </c>
      <c r="AC24" s="15">
        <f>AC8*'Prix et marges'!$C$17+AC9*'Prix et marges'!$D$17+AC10*'Prix et marges'!$E$17</f>
        <v>83928.57142857142</v>
      </c>
      <c r="AD24" s="15">
        <f>AD8*'Prix et marges'!$C$17+AD9*'Prix et marges'!$D$17+AD10*'Prix et marges'!$E$17</f>
        <v>83928.57142857142</v>
      </c>
      <c r="AE24" s="15">
        <f>AE8*'Prix et marges'!$C$17+AE9*'Prix et marges'!$D$17+AE10*'Prix et marges'!$E$17</f>
        <v>83928.57142857142</v>
      </c>
      <c r="AF24" s="15">
        <f>AF8*'Prix et marges'!$C$17+AF9*'Prix et marges'!$D$17+AF10*'Prix et marges'!$E$17</f>
        <v>83928.57142857142</v>
      </c>
      <c r="AG24" s="15">
        <f>AG8*'Prix et marges'!$C$17+AG9*'Prix et marges'!$D$17+AG10*'Prix et marges'!$E$17</f>
        <v>83928.57142857142</v>
      </c>
      <c r="AH24" s="15">
        <f>AH8*'Prix et marges'!$C$17+AH9*'Prix et marges'!$D$17+AH10*'Prix et marges'!$E$17</f>
        <v>83928.57142857142</v>
      </c>
      <c r="AI24" s="15">
        <f>AI8*'Prix et marges'!$C$17+AI9*'Prix et marges'!$D$17+AI10*'Prix et marges'!$E$17</f>
        <v>83928.57142857142</v>
      </c>
      <c r="AJ24" s="15">
        <f>AJ8*'Prix et marges'!$C$17+AJ9*'Prix et marges'!$D$17+AJ10*'Prix et marges'!$E$17</f>
        <v>83928.57142857142</v>
      </c>
      <c r="AK24" s="15">
        <f>AK8*'Prix et marges'!$C$17+AK9*'Prix et marges'!$D$17+AK10*'Prix et marges'!$E$17</f>
        <v>83928.57142857142</v>
      </c>
      <c r="AL24" s="15">
        <f>AL8*'Prix et marges'!$C$17+AL9*'Prix et marges'!$D$17+AL10*'Prix et marges'!$E$17</f>
        <v>0</v>
      </c>
      <c r="AM24" s="15">
        <f>AM8*'Prix et marges'!$C$17+AM9*'Prix et marges'!$D$17+AM10*'Prix et marges'!$E$17</f>
        <v>83928.57142857142</v>
      </c>
      <c r="AN24" s="15">
        <f>AN8*'Prix et marges'!$C$17+AN9*'Prix et marges'!$D$17+AN10*'Prix et marges'!$E$17</f>
        <v>83928.57142857142</v>
      </c>
      <c r="AP24" s="1" t="s">
        <v>287</v>
      </c>
    </row>
    <row r="25" spans="1:43" ht="13" x14ac:dyDescent="0.3">
      <c r="A25" s="1" t="s">
        <v>288</v>
      </c>
      <c r="B25" s="16">
        <f t="shared" si="9"/>
        <v>93750</v>
      </c>
      <c r="C25" s="16">
        <f t="shared" si="10"/>
        <v>1607142.8571428566</v>
      </c>
      <c r="D25" s="16">
        <f t="shared" si="11"/>
        <v>3214285.7142857132</v>
      </c>
      <c r="E25" s="15">
        <f>E12*'Prix et marges'!$F$17</f>
        <v>0</v>
      </c>
      <c r="F25" s="15">
        <f>F12*'Prix et marges'!$F$17</f>
        <v>0</v>
      </c>
      <c r="G25" s="15">
        <f>G12*'Prix et marges'!$F$17</f>
        <v>0</v>
      </c>
      <c r="H25" s="15">
        <f>H12*'Prix et marges'!$F$17</f>
        <v>0</v>
      </c>
      <c r="I25" s="15">
        <f>I12*'Prix et marges'!$F$17</f>
        <v>0</v>
      </c>
      <c r="J25" s="15">
        <f>J12*'Prix et marges'!$F$17</f>
        <v>13392.857142857141</v>
      </c>
      <c r="K25" s="15">
        <f>K12*'Prix et marges'!$F$17</f>
        <v>13392.857142857141</v>
      </c>
      <c r="L25" s="15">
        <f>L12*'Prix et marges'!$F$17</f>
        <v>13392.857142857141</v>
      </c>
      <c r="M25" s="15">
        <f>M12*'Prix et marges'!$F$17</f>
        <v>0</v>
      </c>
      <c r="N25" s="15">
        <f>N12*'Prix et marges'!$F$17</f>
        <v>0</v>
      </c>
      <c r="O25" s="15">
        <f>O12*'Prix et marges'!$F$17</f>
        <v>26785.714285714283</v>
      </c>
      <c r="P25" s="15">
        <f>P12*'Prix et marges'!$F$17</f>
        <v>26785.714285714283</v>
      </c>
      <c r="Q25" s="15">
        <f>Q12*'Prix et marges'!$F$17</f>
        <v>133928.57142857142</v>
      </c>
      <c r="R25" s="15">
        <f>R12*'Prix et marges'!$F$17</f>
        <v>133928.57142857142</v>
      </c>
      <c r="S25" s="15">
        <f>S12*'Prix et marges'!$F$17</f>
        <v>133928.57142857142</v>
      </c>
      <c r="T25" s="15">
        <f>T12*'Prix et marges'!$F$17</f>
        <v>133928.57142857142</v>
      </c>
      <c r="U25" s="15">
        <f>U12*'Prix et marges'!$F$17</f>
        <v>133928.57142857142</v>
      </c>
      <c r="V25" s="15">
        <f>V12*'Prix et marges'!$F$17</f>
        <v>133928.57142857142</v>
      </c>
      <c r="W25" s="15">
        <f>W12*'Prix et marges'!$F$17</f>
        <v>133928.57142857142</v>
      </c>
      <c r="X25" s="15">
        <f>X12*'Prix et marges'!$F$17</f>
        <v>133928.57142857142</v>
      </c>
      <c r="Y25" s="15">
        <f>Y12*'Prix et marges'!$F$17</f>
        <v>133928.57142857142</v>
      </c>
      <c r="Z25" s="15">
        <f>Z12*'Prix et marges'!$F$17</f>
        <v>133928.57142857142</v>
      </c>
      <c r="AA25" s="15">
        <f>AA12*'Prix et marges'!$F$17</f>
        <v>133928.57142857142</v>
      </c>
      <c r="AB25" s="15">
        <f>AB12*'Prix et marges'!$F$17</f>
        <v>133928.57142857142</v>
      </c>
      <c r="AC25" s="15">
        <f>AC12*'Prix et marges'!$F$17</f>
        <v>267857.14285714284</v>
      </c>
      <c r="AD25" s="15">
        <f>AD12*'Prix et marges'!$F$17</f>
        <v>267857.14285714284</v>
      </c>
      <c r="AE25" s="15">
        <f>AE12*'Prix et marges'!$F$17</f>
        <v>267857.14285714284</v>
      </c>
      <c r="AF25" s="15">
        <f>AF12*'Prix et marges'!$F$17</f>
        <v>267857.14285714284</v>
      </c>
      <c r="AG25" s="15">
        <f>AG12*'Prix et marges'!$F$17</f>
        <v>267857.14285714284</v>
      </c>
      <c r="AH25" s="15">
        <f>AH12*'Prix et marges'!$F$17</f>
        <v>267857.14285714284</v>
      </c>
      <c r="AI25" s="15">
        <f>AI12*'Prix et marges'!$F$17</f>
        <v>267857.14285714284</v>
      </c>
      <c r="AJ25" s="15">
        <f>AJ12*'Prix et marges'!$F$17</f>
        <v>267857.14285714284</v>
      </c>
      <c r="AK25" s="15">
        <f>AK12*'Prix et marges'!$F$17</f>
        <v>267857.14285714284</v>
      </c>
      <c r="AL25" s="15">
        <f>AL12*'Prix et marges'!$F$17</f>
        <v>267857.14285714284</v>
      </c>
      <c r="AM25" s="15">
        <f>AM12*'Prix et marges'!$F$17</f>
        <v>267857.14285714284</v>
      </c>
      <c r="AN25" s="15">
        <f>AN12*'Prix et marges'!$F$17</f>
        <v>267857.14285714284</v>
      </c>
    </row>
    <row r="26" spans="1:43" ht="13" x14ac:dyDescent="0.3">
      <c r="A26" s="2" t="s">
        <v>108</v>
      </c>
      <c r="B26" s="16">
        <f t="shared" si="9"/>
        <v>219642.8571428571</v>
      </c>
      <c r="C26" s="16">
        <f t="shared" si="10"/>
        <v>2068749.9999999993</v>
      </c>
      <c r="D26" s="16">
        <f t="shared" si="11"/>
        <v>4137499.9999999986</v>
      </c>
      <c r="E26" s="16">
        <f t="shared" ref="E26:AN26" si="12">E24+E25</f>
        <v>0</v>
      </c>
      <c r="F26" s="16">
        <f t="shared" si="12"/>
        <v>0</v>
      </c>
      <c r="G26" s="16">
        <f t="shared" si="12"/>
        <v>10357.142857142855</v>
      </c>
      <c r="H26" s="16">
        <f t="shared" si="12"/>
        <v>18482.142857142855</v>
      </c>
      <c r="I26" s="16">
        <f t="shared" si="12"/>
        <v>13124.999999999998</v>
      </c>
      <c r="J26" s="16">
        <f t="shared" si="12"/>
        <v>23749.999999999996</v>
      </c>
      <c r="K26" s="16">
        <f t="shared" si="12"/>
        <v>31874.999999999996</v>
      </c>
      <c r="L26" s="16">
        <f t="shared" si="12"/>
        <v>26517.857142857138</v>
      </c>
      <c r="M26" s="16">
        <f t="shared" si="12"/>
        <v>10357.142857142855</v>
      </c>
      <c r="N26" s="16">
        <f t="shared" si="12"/>
        <v>0</v>
      </c>
      <c r="O26" s="16">
        <f t="shared" si="12"/>
        <v>45267.857142857138</v>
      </c>
      <c r="P26" s="16">
        <f t="shared" si="12"/>
        <v>39910.714285714283</v>
      </c>
      <c r="Q26" s="16">
        <f t="shared" si="12"/>
        <v>175892.85714285713</v>
      </c>
      <c r="R26" s="16">
        <f t="shared" si="12"/>
        <v>175892.85714285713</v>
      </c>
      <c r="S26" s="16">
        <f t="shared" si="12"/>
        <v>175892.85714285713</v>
      </c>
      <c r="T26" s="16">
        <f t="shared" si="12"/>
        <v>175892.85714285713</v>
      </c>
      <c r="U26" s="16">
        <f t="shared" si="12"/>
        <v>175892.85714285713</v>
      </c>
      <c r="V26" s="16">
        <f t="shared" si="12"/>
        <v>175892.85714285713</v>
      </c>
      <c r="W26" s="16">
        <f t="shared" si="12"/>
        <v>175892.85714285713</v>
      </c>
      <c r="X26" s="16">
        <f t="shared" si="12"/>
        <v>175892.85714285713</v>
      </c>
      <c r="Y26" s="16">
        <f t="shared" si="12"/>
        <v>175892.85714285713</v>
      </c>
      <c r="Z26" s="16">
        <f t="shared" si="12"/>
        <v>133928.57142857142</v>
      </c>
      <c r="AA26" s="16">
        <f t="shared" si="12"/>
        <v>175892.85714285713</v>
      </c>
      <c r="AB26" s="16">
        <f t="shared" si="12"/>
        <v>175892.85714285713</v>
      </c>
      <c r="AC26" s="16">
        <f t="shared" si="12"/>
        <v>351785.71428571426</v>
      </c>
      <c r="AD26" s="16">
        <f t="shared" si="12"/>
        <v>351785.71428571426</v>
      </c>
      <c r="AE26" s="16">
        <f t="shared" si="12"/>
        <v>351785.71428571426</v>
      </c>
      <c r="AF26" s="16">
        <f t="shared" si="12"/>
        <v>351785.71428571426</v>
      </c>
      <c r="AG26" s="16">
        <f t="shared" si="12"/>
        <v>351785.71428571426</v>
      </c>
      <c r="AH26" s="16">
        <f t="shared" si="12"/>
        <v>351785.71428571426</v>
      </c>
      <c r="AI26" s="16">
        <f t="shared" si="12"/>
        <v>351785.71428571426</v>
      </c>
      <c r="AJ26" s="16">
        <f t="shared" si="12"/>
        <v>351785.71428571426</v>
      </c>
      <c r="AK26" s="16">
        <f t="shared" si="12"/>
        <v>351785.71428571426</v>
      </c>
      <c r="AL26" s="16">
        <f t="shared" si="12"/>
        <v>267857.14285714284</v>
      </c>
      <c r="AM26" s="16">
        <f t="shared" si="12"/>
        <v>351785.71428571426</v>
      </c>
      <c r="AN26" s="16">
        <f t="shared" si="12"/>
        <v>351785.71428571426</v>
      </c>
    </row>
    <row r="27" spans="1:43" ht="13" x14ac:dyDescent="0.3">
      <c r="A27" s="1" t="s">
        <v>289</v>
      </c>
      <c r="B27" s="16">
        <f t="shared" si="9"/>
        <v>161190.3571428571</v>
      </c>
      <c r="C27" s="16">
        <f t="shared" si="10"/>
        <v>1433293.2142857141</v>
      </c>
      <c r="D27" s="16">
        <f t="shared" si="11"/>
        <v>2866586.4285714282</v>
      </c>
      <c r="E27" s="15">
        <f>E8*'Prix et marges'!$C$34+E9*'Prix et marges'!$D$34+E10*'Prix et marges'!$E$34+E12*'Prix et marges'!$F$34</f>
        <v>0</v>
      </c>
      <c r="F27" s="15">
        <f>F8*'Prix et marges'!$C$34+F9*'Prix et marges'!$D$34+F10*'Prix et marges'!$E$34+F12*'Prix et marges'!$F$34</f>
        <v>0</v>
      </c>
      <c r="G27" s="15">
        <f>G8*'Prix et marges'!$C$34+G9*'Prix et marges'!$D$34+G10*'Prix et marges'!$E$34+G12*'Prix et marges'!$F$34</f>
        <v>7569.2857142857138</v>
      </c>
      <c r="H27" s="15">
        <f>H8*'Prix et marges'!$C$34+H9*'Prix et marges'!$D$34+H10*'Prix et marges'!$E$34+H12*'Prix et marges'!$F$34</f>
        <v>14416.25</v>
      </c>
      <c r="I27" s="15">
        <f>I8*'Prix et marges'!$C$34+I9*'Prix et marges'!$D$34+I10*'Prix et marges'!$E$34+I12*'Prix et marges'!$F$34</f>
        <v>10911.25</v>
      </c>
      <c r="J27" s="15">
        <f>J8*'Prix et marges'!$C$34+J9*'Prix et marges'!$D$34+J10*'Prix et marges'!$E$34+J12*'Prix et marges'!$F$34</f>
        <v>16497.857142857141</v>
      </c>
      <c r="K27" s="15">
        <f>K8*'Prix et marges'!$C$34+K9*'Prix et marges'!$D$34+K10*'Prix et marges'!$E$34+K12*'Prix et marges'!$F$34</f>
        <v>23344.821428571428</v>
      </c>
      <c r="L27" s="15">
        <f>L8*'Prix et marges'!$C$34+L9*'Prix et marges'!$D$34+L10*'Prix et marges'!$E$34+L12*'Prix et marges'!$F$34</f>
        <v>19839.821428571428</v>
      </c>
      <c r="M27" s="15">
        <f>M8*'Prix et marges'!$C$34+M9*'Prix et marges'!$D$34+M10*'Prix et marges'!$E$34+M12*'Prix et marges'!$F$34</f>
        <v>7569.2857142857138</v>
      </c>
      <c r="N27" s="15">
        <f>N8*'Prix et marges'!$C$34+N9*'Prix et marges'!$D$34+N10*'Prix et marges'!$E$34+N12*'Prix et marges'!$F$34</f>
        <v>0</v>
      </c>
      <c r="O27" s="15">
        <f>O8*'Prix et marges'!$C$34+O9*'Prix et marges'!$D$34+O10*'Prix et marges'!$E$34+O12*'Prix et marges'!$F$34</f>
        <v>32273.392857142855</v>
      </c>
      <c r="P27" s="15">
        <f>P8*'Prix et marges'!$C$34+P9*'Prix et marges'!$D$34+P10*'Prix et marges'!$E$34+P12*'Prix et marges'!$F$34</f>
        <v>28768.392857142855</v>
      </c>
      <c r="Q27" s="15">
        <f>Q8*'Prix et marges'!$C$34+Q9*'Prix et marges'!$D$34+Q10*'Prix et marges'!$E$34+Q12*'Prix et marges'!$F$34</f>
        <v>122182.49999999999</v>
      </c>
      <c r="R27" s="15">
        <f>R8*'Prix et marges'!$C$34+R9*'Prix et marges'!$D$34+R10*'Prix et marges'!$E$34+R12*'Prix et marges'!$F$34</f>
        <v>122182.49999999999</v>
      </c>
      <c r="S27" s="15">
        <f>S8*'Prix et marges'!$C$34+S9*'Prix et marges'!$D$34+S10*'Prix et marges'!$E$34+S12*'Prix et marges'!$F$34</f>
        <v>122182.49999999999</v>
      </c>
      <c r="T27" s="15">
        <f>T8*'Prix et marges'!$C$34+T9*'Prix et marges'!$D$34+T10*'Prix et marges'!$E$34+T12*'Prix et marges'!$F$34</f>
        <v>122182.49999999999</v>
      </c>
      <c r="U27" s="15">
        <f>U8*'Prix et marges'!$C$34+U9*'Prix et marges'!$D$34+U10*'Prix et marges'!$E$34+U12*'Prix et marges'!$F$34</f>
        <v>122182.49999999999</v>
      </c>
      <c r="V27" s="15">
        <f>V8*'Prix et marges'!$C$34+V9*'Prix et marges'!$D$34+V10*'Prix et marges'!$E$34+V12*'Prix et marges'!$F$34</f>
        <v>122182.49999999999</v>
      </c>
      <c r="W27" s="15">
        <f>W8*'Prix et marges'!$C$34+W9*'Prix et marges'!$D$34+W10*'Prix et marges'!$E$34+W12*'Prix et marges'!$F$34</f>
        <v>122182.49999999999</v>
      </c>
      <c r="X27" s="15">
        <f>X8*'Prix et marges'!$C$34+X9*'Prix et marges'!$D$34+X10*'Prix et marges'!$E$34+X12*'Prix et marges'!$F$34</f>
        <v>122182.49999999999</v>
      </c>
      <c r="Y27" s="15">
        <f>Y8*'Prix et marges'!$C$34+Y9*'Prix et marges'!$D$34+Y10*'Prix et marges'!$E$34+Y12*'Prix et marges'!$F$34</f>
        <v>122182.49999999999</v>
      </c>
      <c r="Z27" s="15">
        <f>Z8*'Prix et marges'!$C$34+Z9*'Prix et marges'!$D$34+Z10*'Prix et marges'!$E$34+Z12*'Prix et marges'!$F$34</f>
        <v>89285.714285714275</v>
      </c>
      <c r="AA27" s="15">
        <f>AA8*'Prix et marges'!$C$34+AA9*'Prix et marges'!$D$34+AA10*'Prix et marges'!$E$34+AA12*'Prix et marges'!$F$34</f>
        <v>122182.49999999999</v>
      </c>
      <c r="AB27" s="15">
        <f>AB8*'Prix et marges'!$C$34+AB9*'Prix et marges'!$D$34+AB10*'Prix et marges'!$E$34+AB12*'Prix et marges'!$F$34</f>
        <v>122182.49999999999</v>
      </c>
      <c r="AC27" s="15">
        <f>AC8*'Prix et marges'!$C$34+AC9*'Prix et marges'!$D$34+AC10*'Prix et marges'!$E$34+AC12*'Prix et marges'!$F$34</f>
        <v>244364.99999999997</v>
      </c>
      <c r="AD27" s="15">
        <f>AD8*'Prix et marges'!$C$34+AD9*'Prix et marges'!$D$34+AD10*'Prix et marges'!$E$34+AD12*'Prix et marges'!$F$34</f>
        <v>244364.99999999997</v>
      </c>
      <c r="AE27" s="15">
        <f>AE8*'Prix et marges'!$C$34+AE9*'Prix et marges'!$D$34+AE10*'Prix et marges'!$E$34+AE12*'Prix et marges'!$F$34</f>
        <v>244364.99999999997</v>
      </c>
      <c r="AF27" s="15">
        <f>AF8*'Prix et marges'!$C$34+AF9*'Prix et marges'!$D$34+AF10*'Prix et marges'!$E$34+AF12*'Prix et marges'!$F$34</f>
        <v>244364.99999999997</v>
      </c>
      <c r="AG27" s="15">
        <f>AG8*'Prix et marges'!$C$34+AG9*'Prix et marges'!$D$34+AG10*'Prix et marges'!$E$34+AG12*'Prix et marges'!$F$34</f>
        <v>244364.99999999997</v>
      </c>
      <c r="AH27" s="15">
        <f>AH8*'Prix et marges'!$C$34+AH9*'Prix et marges'!$D$34+AH10*'Prix et marges'!$E$34+AH12*'Prix et marges'!$F$34</f>
        <v>244364.99999999997</v>
      </c>
      <c r="AI27" s="15">
        <f>AI8*'Prix et marges'!$C$34+AI9*'Prix et marges'!$D$34+AI10*'Prix et marges'!$E$34+AI12*'Prix et marges'!$F$34</f>
        <v>244364.99999999997</v>
      </c>
      <c r="AJ27" s="15">
        <f>AJ8*'Prix et marges'!$C$34+AJ9*'Prix et marges'!$D$34+AJ10*'Prix et marges'!$E$34+AJ12*'Prix et marges'!$F$34</f>
        <v>244364.99999999997</v>
      </c>
      <c r="AK27" s="15">
        <f>AK8*'Prix et marges'!$C$34+AK9*'Prix et marges'!$D$34+AK10*'Prix et marges'!$E$34+AK12*'Prix et marges'!$F$34</f>
        <v>244364.99999999997</v>
      </c>
      <c r="AL27" s="15">
        <f>AL8*'Prix et marges'!$C$34+AL9*'Prix et marges'!$D$34+AL10*'Prix et marges'!$E$34+AL12*'Prix et marges'!$F$34</f>
        <v>178571.42857142855</v>
      </c>
      <c r="AM27" s="15">
        <f>AM8*'Prix et marges'!$C$34+AM9*'Prix et marges'!$D$34+AM10*'Prix et marges'!$E$34+AM12*'Prix et marges'!$F$34</f>
        <v>244364.99999999997</v>
      </c>
      <c r="AN27" s="15">
        <f>AN8*'Prix et marges'!$C$34+AN9*'Prix et marges'!$D$34+AN10*'Prix et marges'!$E$34+AN12*'Prix et marges'!$F$34</f>
        <v>244364.99999999997</v>
      </c>
      <c r="AP27" s="1" t="s">
        <v>290</v>
      </c>
    </row>
    <row r="28" spans="1:43" ht="13" x14ac:dyDescent="0.3">
      <c r="A28" s="1" t="s">
        <v>291</v>
      </c>
      <c r="B28" s="16">
        <f t="shared" si="9"/>
        <v>1155</v>
      </c>
      <c r="C28" s="16">
        <f t="shared" si="10"/>
        <v>0</v>
      </c>
      <c r="D28" s="16">
        <f t="shared" si="11"/>
        <v>0</v>
      </c>
      <c r="E28" s="15">
        <f>E18*Staffing!$D$40+E19*Staffing!$F$40</f>
        <v>0</v>
      </c>
      <c r="F28" s="15">
        <f>F18*Staffing!$D$40+F19*Staffing!$F$40</f>
        <v>0</v>
      </c>
      <c r="G28" s="15">
        <f>G18*Staffing!$D$40+G19*Staffing!$F$40</f>
        <v>700</v>
      </c>
      <c r="H28" s="15">
        <f>H18*Staffing!$D$40+H19*Staffing!$F$40</f>
        <v>455</v>
      </c>
      <c r="I28" s="15">
        <f>I18*Staffing!$D$40+I19*Staffing!$F$40</f>
        <v>0</v>
      </c>
      <c r="J28" s="15">
        <f>J18*Staffing!$D$40+J19*Staffing!$F$40</f>
        <v>0</v>
      </c>
      <c r="K28" s="15">
        <f>K18*Staffing!$D$40+K19*Staffing!$F$40</f>
        <v>0</v>
      </c>
      <c r="L28" s="15">
        <f>L18*Staffing!$D$40+L19*Staffing!$F$40</f>
        <v>0</v>
      </c>
      <c r="M28" s="15">
        <f>M18*Staffing!$D$40+M19*Staffing!$F$40</f>
        <v>0</v>
      </c>
      <c r="N28" s="15">
        <f>N18*Staffing!$D$40+N19*Staffing!$F$40</f>
        <v>0</v>
      </c>
      <c r="O28" s="15">
        <f>O18*Staffing!$D$40+O19*Staffing!$F$40</f>
        <v>0</v>
      </c>
      <c r="P28" s="15">
        <f>P18*Staffing!$D$40+P19*Staffing!$F$40</f>
        <v>0</v>
      </c>
      <c r="Q28" s="15">
        <f>Q18*Staffing!$D$40+Q19*Staffing!$F$40</f>
        <v>0</v>
      </c>
      <c r="R28" s="15">
        <f>R18*Staffing!$D$40+R19*Staffing!$F$40</f>
        <v>0</v>
      </c>
      <c r="S28" s="15">
        <f>S18*Staffing!$D$40+S19*Staffing!$F$40</f>
        <v>0</v>
      </c>
      <c r="T28" s="15">
        <f>T18*Staffing!$D$40+T19*Staffing!$F$40</f>
        <v>0</v>
      </c>
      <c r="U28" s="15">
        <f>U18*Staffing!$D$40+U19*Staffing!$F$40</f>
        <v>0</v>
      </c>
      <c r="V28" s="15">
        <f>V18*Staffing!$D$40+V19*Staffing!$F$40</f>
        <v>0</v>
      </c>
      <c r="W28" s="15">
        <f>W18*Staffing!$D$40+W19*Staffing!$F$40</f>
        <v>0</v>
      </c>
      <c r="X28" s="15">
        <f>X18*Staffing!$D$40+X19*Staffing!$F$40</f>
        <v>0</v>
      </c>
      <c r="Y28" s="15">
        <f>Y18*Staffing!$D$40+Y19*Staffing!$F$40</f>
        <v>0</v>
      </c>
      <c r="Z28" s="15">
        <f>Z18*Staffing!$D$40+Z19*Staffing!$F$40</f>
        <v>0</v>
      </c>
      <c r="AA28" s="15">
        <f>AA18*Staffing!$D$40+AA19*Staffing!$F$40</f>
        <v>0</v>
      </c>
      <c r="AB28" s="15">
        <f>AB18*Staffing!$D$40+AB19*Staffing!$F$40</f>
        <v>0</v>
      </c>
      <c r="AC28" s="15">
        <f>AC18*Staffing!$D$40+AC19*Staffing!$F$40</f>
        <v>0</v>
      </c>
      <c r="AD28" s="15">
        <f>AD18*Staffing!$D$40+AD19*Staffing!$F$40</f>
        <v>0</v>
      </c>
      <c r="AE28" s="15">
        <f>AE18*Staffing!$D$40+AE19*Staffing!$F$40</f>
        <v>0</v>
      </c>
      <c r="AF28" s="15">
        <f>AF18*Staffing!$D$40+AF19*Staffing!$F$40</f>
        <v>0</v>
      </c>
      <c r="AG28" s="15">
        <f>AG18*Staffing!$D$40+AG19*Staffing!$F$40</f>
        <v>0</v>
      </c>
      <c r="AH28" s="15">
        <f>AH18*Staffing!$D$40+AH19*Staffing!$F$40</f>
        <v>0</v>
      </c>
      <c r="AI28" s="15">
        <f>AI18*Staffing!$D$40+AI19*Staffing!$F$40</f>
        <v>0</v>
      </c>
      <c r="AJ28" s="15">
        <f>AJ18*Staffing!$D$40+AJ19*Staffing!$F$40</f>
        <v>0</v>
      </c>
      <c r="AK28" s="15">
        <f>AK18*Staffing!$D$40+AK19*Staffing!$F$40</f>
        <v>0</v>
      </c>
      <c r="AL28" s="15">
        <f>AL18*Staffing!$D$40+AL19*Staffing!$F$40</f>
        <v>0</v>
      </c>
      <c r="AM28" s="15">
        <f>AM18*Staffing!$D$40+AM19*Staffing!$F$40</f>
        <v>0</v>
      </c>
      <c r="AN28" s="15">
        <f>AN18*Staffing!$D$40+AN19*Staffing!$F$40</f>
        <v>0</v>
      </c>
      <c r="AO28" s="1" t="s">
        <v>82</v>
      </c>
      <c r="AP28" s="1" t="s">
        <v>292</v>
      </c>
    </row>
    <row r="29" spans="1:43" ht="13" x14ac:dyDescent="0.3">
      <c r="A29" s="1" t="s">
        <v>293</v>
      </c>
      <c r="B29" s="16">
        <f t="shared" si="9"/>
        <v>0</v>
      </c>
      <c r="C29" s="16">
        <f t="shared" si="10"/>
        <v>11000</v>
      </c>
      <c r="D29" s="16">
        <f t="shared" si="11"/>
        <v>29700</v>
      </c>
      <c r="E29" s="15">
        <f t="shared" ref="E29:AN29" si="13">E14*$B$84+E15*$B$85</f>
        <v>0</v>
      </c>
      <c r="F29" s="15">
        <f t="shared" si="13"/>
        <v>0</v>
      </c>
      <c r="G29" s="15">
        <f t="shared" si="13"/>
        <v>0</v>
      </c>
      <c r="H29" s="15">
        <f t="shared" si="13"/>
        <v>0</v>
      </c>
      <c r="I29" s="15">
        <f t="shared" si="13"/>
        <v>0</v>
      </c>
      <c r="J29" s="15">
        <f t="shared" si="13"/>
        <v>0</v>
      </c>
      <c r="K29" s="15">
        <f t="shared" si="13"/>
        <v>0</v>
      </c>
      <c r="L29" s="15">
        <f t="shared" si="13"/>
        <v>0</v>
      </c>
      <c r="M29" s="15">
        <f t="shared" si="13"/>
        <v>0</v>
      </c>
      <c r="N29" s="15">
        <f t="shared" si="13"/>
        <v>0</v>
      </c>
      <c r="O29" s="15">
        <f t="shared" si="13"/>
        <v>0</v>
      </c>
      <c r="P29" s="15">
        <f t="shared" si="13"/>
        <v>0</v>
      </c>
      <c r="Q29" s="15">
        <f t="shared" si="13"/>
        <v>1000</v>
      </c>
      <c r="R29" s="15">
        <f t="shared" si="13"/>
        <v>1000</v>
      </c>
      <c r="S29" s="15">
        <f t="shared" si="13"/>
        <v>1000</v>
      </c>
      <c r="T29" s="15">
        <f t="shared" si="13"/>
        <v>1000</v>
      </c>
      <c r="U29" s="15">
        <f t="shared" si="13"/>
        <v>1000</v>
      </c>
      <c r="V29" s="15">
        <f t="shared" si="13"/>
        <v>1000</v>
      </c>
      <c r="W29" s="15">
        <f t="shared" si="13"/>
        <v>1000</v>
      </c>
      <c r="X29" s="15">
        <f t="shared" si="13"/>
        <v>1000</v>
      </c>
      <c r="Y29" s="15">
        <f t="shared" si="13"/>
        <v>1000</v>
      </c>
      <c r="Z29" s="15">
        <f t="shared" si="13"/>
        <v>0</v>
      </c>
      <c r="AA29" s="15">
        <f t="shared" si="13"/>
        <v>1000</v>
      </c>
      <c r="AB29" s="15">
        <f t="shared" si="13"/>
        <v>1000</v>
      </c>
      <c r="AC29" s="15">
        <f t="shared" si="13"/>
        <v>2700</v>
      </c>
      <c r="AD29" s="15">
        <f t="shared" si="13"/>
        <v>2700</v>
      </c>
      <c r="AE29" s="15">
        <f t="shared" si="13"/>
        <v>2700</v>
      </c>
      <c r="AF29" s="15">
        <f t="shared" si="13"/>
        <v>2700</v>
      </c>
      <c r="AG29" s="15">
        <f t="shared" si="13"/>
        <v>2700</v>
      </c>
      <c r="AH29" s="15">
        <f t="shared" si="13"/>
        <v>2700</v>
      </c>
      <c r="AI29" s="15">
        <f t="shared" si="13"/>
        <v>2700</v>
      </c>
      <c r="AJ29" s="15">
        <f t="shared" si="13"/>
        <v>2700</v>
      </c>
      <c r="AK29" s="15">
        <f t="shared" si="13"/>
        <v>2700</v>
      </c>
      <c r="AL29" s="15">
        <f t="shared" si="13"/>
        <v>0</v>
      </c>
      <c r="AM29" s="15">
        <f t="shared" si="13"/>
        <v>2700</v>
      </c>
      <c r="AN29" s="15">
        <f t="shared" si="13"/>
        <v>2700</v>
      </c>
      <c r="AO29" s="1" t="s">
        <v>82</v>
      </c>
      <c r="AP29" s="1" t="s">
        <v>294</v>
      </c>
      <c r="AQ29" s="55">
        <v>0.1</v>
      </c>
    </row>
    <row r="30" spans="1:43" ht="13" x14ac:dyDescent="0.3">
      <c r="A30" s="2" t="s">
        <v>70</v>
      </c>
      <c r="B30" s="16">
        <f t="shared" si="9"/>
        <v>162345.3571428571</v>
      </c>
      <c r="C30" s="16">
        <f t="shared" si="10"/>
        <v>1444293.2142857141</v>
      </c>
      <c r="D30" s="16">
        <f t="shared" si="11"/>
        <v>2896286.4285714282</v>
      </c>
      <c r="E30" s="16">
        <f t="shared" ref="E30:AN30" si="14">E27+E28+E29</f>
        <v>0</v>
      </c>
      <c r="F30" s="16">
        <f t="shared" si="14"/>
        <v>0</v>
      </c>
      <c r="G30" s="16">
        <f t="shared" si="14"/>
        <v>8269.2857142857138</v>
      </c>
      <c r="H30" s="16">
        <f t="shared" si="14"/>
        <v>14871.25</v>
      </c>
      <c r="I30" s="16">
        <f t="shared" si="14"/>
        <v>10911.25</v>
      </c>
      <c r="J30" s="16">
        <f t="shared" si="14"/>
        <v>16497.857142857141</v>
      </c>
      <c r="K30" s="16">
        <f t="shared" si="14"/>
        <v>23344.821428571428</v>
      </c>
      <c r="L30" s="16">
        <f t="shared" si="14"/>
        <v>19839.821428571428</v>
      </c>
      <c r="M30" s="16">
        <f t="shared" si="14"/>
        <v>7569.2857142857138</v>
      </c>
      <c r="N30" s="16">
        <f t="shared" si="14"/>
        <v>0</v>
      </c>
      <c r="O30" s="16">
        <f t="shared" si="14"/>
        <v>32273.392857142855</v>
      </c>
      <c r="P30" s="16">
        <f t="shared" si="14"/>
        <v>28768.392857142855</v>
      </c>
      <c r="Q30" s="16">
        <f t="shared" si="14"/>
        <v>123182.49999999999</v>
      </c>
      <c r="R30" s="16">
        <f t="shared" si="14"/>
        <v>123182.49999999999</v>
      </c>
      <c r="S30" s="16">
        <f t="shared" si="14"/>
        <v>123182.49999999999</v>
      </c>
      <c r="T30" s="16">
        <f t="shared" si="14"/>
        <v>123182.49999999999</v>
      </c>
      <c r="U30" s="16">
        <f t="shared" si="14"/>
        <v>123182.49999999999</v>
      </c>
      <c r="V30" s="16">
        <f t="shared" si="14"/>
        <v>123182.49999999999</v>
      </c>
      <c r="W30" s="16">
        <f t="shared" si="14"/>
        <v>123182.49999999999</v>
      </c>
      <c r="X30" s="16">
        <f t="shared" si="14"/>
        <v>123182.49999999999</v>
      </c>
      <c r="Y30" s="16">
        <f t="shared" si="14"/>
        <v>123182.49999999999</v>
      </c>
      <c r="Z30" s="16">
        <f t="shared" si="14"/>
        <v>89285.714285714275</v>
      </c>
      <c r="AA30" s="16">
        <f t="shared" si="14"/>
        <v>123182.49999999999</v>
      </c>
      <c r="AB30" s="16">
        <f t="shared" si="14"/>
        <v>123182.49999999999</v>
      </c>
      <c r="AC30" s="16">
        <f t="shared" si="14"/>
        <v>247064.99999999997</v>
      </c>
      <c r="AD30" s="16">
        <f t="shared" si="14"/>
        <v>247064.99999999997</v>
      </c>
      <c r="AE30" s="16">
        <f t="shared" si="14"/>
        <v>247064.99999999997</v>
      </c>
      <c r="AF30" s="16">
        <f t="shared" si="14"/>
        <v>247064.99999999997</v>
      </c>
      <c r="AG30" s="16">
        <f t="shared" si="14"/>
        <v>247064.99999999997</v>
      </c>
      <c r="AH30" s="16">
        <f t="shared" si="14"/>
        <v>247064.99999999997</v>
      </c>
      <c r="AI30" s="16">
        <f t="shared" si="14"/>
        <v>247064.99999999997</v>
      </c>
      <c r="AJ30" s="16">
        <f t="shared" si="14"/>
        <v>247064.99999999997</v>
      </c>
      <c r="AK30" s="16">
        <f t="shared" si="14"/>
        <v>247064.99999999997</v>
      </c>
      <c r="AL30" s="16">
        <f t="shared" si="14"/>
        <v>178571.42857142855</v>
      </c>
      <c r="AM30" s="16">
        <f t="shared" si="14"/>
        <v>247064.99999999997</v>
      </c>
      <c r="AN30" s="16">
        <f t="shared" si="14"/>
        <v>247064.99999999997</v>
      </c>
      <c r="AQ30" s="55"/>
    </row>
    <row r="31" spans="1:43" ht="13" x14ac:dyDescent="0.3">
      <c r="A31" s="2" t="s">
        <v>72</v>
      </c>
      <c r="B31" s="16">
        <f t="shared" si="9"/>
        <v>57297.499999999985</v>
      </c>
      <c r="C31" s="16">
        <f t="shared" si="10"/>
        <v>624456.7857142858</v>
      </c>
      <c r="D31" s="16">
        <f t="shared" si="11"/>
        <v>1241213.5714285716</v>
      </c>
      <c r="E31" s="16">
        <f t="shared" ref="E31:AN31" si="15">E26-E30</f>
        <v>0</v>
      </c>
      <c r="F31" s="16">
        <f t="shared" si="15"/>
        <v>0</v>
      </c>
      <c r="G31" s="16">
        <f t="shared" si="15"/>
        <v>2087.8571428571413</v>
      </c>
      <c r="H31" s="16">
        <f t="shared" si="15"/>
        <v>3610.8928571428551</v>
      </c>
      <c r="I31" s="16">
        <f t="shared" si="15"/>
        <v>2213.7499999999982</v>
      </c>
      <c r="J31" s="16">
        <f t="shared" si="15"/>
        <v>7252.1428571428551</v>
      </c>
      <c r="K31" s="16">
        <f t="shared" si="15"/>
        <v>8530.1785714285688</v>
      </c>
      <c r="L31" s="16">
        <f t="shared" si="15"/>
        <v>6678.0357142857101</v>
      </c>
      <c r="M31" s="16">
        <f t="shared" si="15"/>
        <v>2787.8571428571413</v>
      </c>
      <c r="N31" s="16">
        <f t="shared" si="15"/>
        <v>0</v>
      </c>
      <c r="O31" s="16">
        <f t="shared" si="15"/>
        <v>12994.464285714283</v>
      </c>
      <c r="P31" s="16">
        <f t="shared" si="15"/>
        <v>11142.321428571428</v>
      </c>
      <c r="Q31" s="16">
        <f t="shared" si="15"/>
        <v>52710.357142857145</v>
      </c>
      <c r="R31" s="16">
        <f t="shared" si="15"/>
        <v>52710.357142857145</v>
      </c>
      <c r="S31" s="16">
        <f t="shared" si="15"/>
        <v>52710.357142857145</v>
      </c>
      <c r="T31" s="16">
        <f t="shared" si="15"/>
        <v>52710.357142857145</v>
      </c>
      <c r="U31" s="16">
        <f t="shared" si="15"/>
        <v>52710.357142857145</v>
      </c>
      <c r="V31" s="16">
        <f t="shared" si="15"/>
        <v>52710.357142857145</v>
      </c>
      <c r="W31" s="16">
        <f t="shared" si="15"/>
        <v>52710.357142857145</v>
      </c>
      <c r="X31" s="16">
        <f t="shared" si="15"/>
        <v>52710.357142857145</v>
      </c>
      <c r="Y31" s="16">
        <f t="shared" si="15"/>
        <v>52710.357142857145</v>
      </c>
      <c r="Z31" s="16">
        <f t="shared" si="15"/>
        <v>44642.857142857145</v>
      </c>
      <c r="AA31" s="16">
        <f t="shared" si="15"/>
        <v>52710.357142857145</v>
      </c>
      <c r="AB31" s="16">
        <f t="shared" si="15"/>
        <v>52710.357142857145</v>
      </c>
      <c r="AC31" s="16">
        <f t="shared" si="15"/>
        <v>104720.71428571429</v>
      </c>
      <c r="AD31" s="16">
        <f t="shared" si="15"/>
        <v>104720.71428571429</v>
      </c>
      <c r="AE31" s="16">
        <f t="shared" si="15"/>
        <v>104720.71428571429</v>
      </c>
      <c r="AF31" s="16">
        <f t="shared" si="15"/>
        <v>104720.71428571429</v>
      </c>
      <c r="AG31" s="16">
        <f t="shared" si="15"/>
        <v>104720.71428571429</v>
      </c>
      <c r="AH31" s="16">
        <f t="shared" si="15"/>
        <v>104720.71428571429</v>
      </c>
      <c r="AI31" s="16">
        <f t="shared" si="15"/>
        <v>104720.71428571429</v>
      </c>
      <c r="AJ31" s="16">
        <f t="shared" si="15"/>
        <v>104720.71428571429</v>
      </c>
      <c r="AK31" s="16">
        <f t="shared" si="15"/>
        <v>104720.71428571429</v>
      </c>
      <c r="AL31" s="16">
        <f t="shared" si="15"/>
        <v>89285.71428571429</v>
      </c>
      <c r="AM31" s="16">
        <f t="shared" si="15"/>
        <v>104720.71428571429</v>
      </c>
      <c r="AN31" s="16">
        <f t="shared" si="15"/>
        <v>104720.71428571429</v>
      </c>
      <c r="AQ31" s="55"/>
    </row>
    <row r="32" spans="1:43" ht="13" x14ac:dyDescent="0.3">
      <c r="A32" s="10" t="s">
        <v>295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56"/>
    </row>
    <row r="33" spans="1:43" ht="13" x14ac:dyDescent="0.3">
      <c r="A33" s="1" t="str">
        <f>'Ressources humaines'!A8</f>
        <v>Fondateurs (rémunération)</v>
      </c>
      <c r="B33" s="16">
        <f>SUM(E33:P33)</f>
        <v>0</v>
      </c>
      <c r="C33" s="16">
        <f>SUM(Q33:AB33)</f>
        <v>0</v>
      </c>
      <c r="D33" s="16">
        <f>SUM(AC33:AN33)</f>
        <v>87000</v>
      </c>
      <c r="E33" s="15">
        <f>'Ressources humaines'!$B$8*'Ressources humaines'!$C$8*(1+'Ressources humaines'!$C$4)*(E$4&gt;='Ressources humaines'!$D$8)</f>
        <v>0</v>
      </c>
      <c r="F33" s="15">
        <f>'Ressources humaines'!$B$8*'Ressources humaines'!$C$8*(1+'Ressources humaines'!$C$4)*(F$4&gt;='Ressources humaines'!$D$8)</f>
        <v>0</v>
      </c>
      <c r="G33" s="15">
        <f>'Ressources humaines'!$B$8*'Ressources humaines'!$C$8*(1+'Ressources humaines'!$C$4)*(G$4&gt;='Ressources humaines'!$D$8)</f>
        <v>0</v>
      </c>
      <c r="H33" s="15">
        <f>'Ressources humaines'!$B$8*'Ressources humaines'!$C$8*(1+'Ressources humaines'!$C$4)*(H$4&gt;='Ressources humaines'!$D$8)</f>
        <v>0</v>
      </c>
      <c r="I33" s="15">
        <f>'Ressources humaines'!$B$8*'Ressources humaines'!$C$8*(1+'Ressources humaines'!$C$4)*(I$4&gt;='Ressources humaines'!$D$8)</f>
        <v>0</v>
      </c>
      <c r="J33" s="15">
        <f>'Ressources humaines'!$B$8*'Ressources humaines'!$C$8*(1+'Ressources humaines'!$C$4)*(J$4&gt;='Ressources humaines'!$D$8)</f>
        <v>0</v>
      </c>
      <c r="K33" s="15">
        <f>'Ressources humaines'!$B$8*'Ressources humaines'!$C$8*(1+'Ressources humaines'!$C$4)*(K$4&gt;='Ressources humaines'!$D$8)</f>
        <v>0</v>
      </c>
      <c r="L33" s="15">
        <f>'Ressources humaines'!$B$8*'Ressources humaines'!$C$8*(1+'Ressources humaines'!$C$4)*(L$4&gt;='Ressources humaines'!$D$8)</f>
        <v>0</v>
      </c>
      <c r="M33" s="15">
        <f>'Ressources humaines'!$B$8*'Ressources humaines'!$C$8*(1+'Ressources humaines'!$C$4)*(M$4&gt;='Ressources humaines'!$D$8)</f>
        <v>0</v>
      </c>
      <c r="N33" s="15">
        <f>'Ressources humaines'!$B$8*'Ressources humaines'!$C$8*(1+'Ressources humaines'!$C$4)*(N$4&gt;='Ressources humaines'!$D$8)</f>
        <v>0</v>
      </c>
      <c r="O33" s="15">
        <f>'Ressources humaines'!$B$8*'Ressources humaines'!$C$8*(1+'Ressources humaines'!$C$4)*(O$4&gt;='Ressources humaines'!$D$8)</f>
        <v>0</v>
      </c>
      <c r="P33" s="15">
        <f>'Ressources humaines'!$B$8*'Ressources humaines'!$C$8*(1+'Ressources humaines'!$C$4)*(P$4&gt;='Ressources humaines'!$D$8)</f>
        <v>0</v>
      </c>
      <c r="Q33" s="15">
        <f>'Ressources humaines'!$B$8*'Ressources humaines'!$C$8*(1+'Ressources humaines'!$C$4)*(Q$4&gt;='Ressources humaines'!$D$8)</f>
        <v>0</v>
      </c>
      <c r="R33" s="15">
        <f>'Ressources humaines'!$B$8*'Ressources humaines'!$C$8*(1+'Ressources humaines'!$C$4)*(R$4&gt;='Ressources humaines'!$D$8)</f>
        <v>0</v>
      </c>
      <c r="S33" s="15">
        <f>'Ressources humaines'!$B$8*'Ressources humaines'!$C$8*(1+'Ressources humaines'!$C$4)*(S$4&gt;='Ressources humaines'!$D$8)</f>
        <v>0</v>
      </c>
      <c r="T33" s="15">
        <f>'Ressources humaines'!$B$8*'Ressources humaines'!$C$8*(1+'Ressources humaines'!$C$4)*(T$4&gt;='Ressources humaines'!$D$8)</f>
        <v>0</v>
      </c>
      <c r="U33" s="15">
        <f>'Ressources humaines'!$B$8*'Ressources humaines'!$C$8*(1+'Ressources humaines'!$C$4)*(U$4&gt;='Ressources humaines'!$D$8)</f>
        <v>0</v>
      </c>
      <c r="V33" s="15">
        <f>'Ressources humaines'!$B$8*'Ressources humaines'!$C$8*(1+'Ressources humaines'!$C$4)*(V$4&gt;='Ressources humaines'!$D$8)</f>
        <v>0</v>
      </c>
      <c r="W33" s="15">
        <f>'Ressources humaines'!$B$8*'Ressources humaines'!$C$8*(1+'Ressources humaines'!$C$4)*(W$4&gt;='Ressources humaines'!$D$8)</f>
        <v>0</v>
      </c>
      <c r="X33" s="15">
        <f>'Ressources humaines'!$B$8*'Ressources humaines'!$C$8*(1+'Ressources humaines'!$C$4)*(X$4&gt;='Ressources humaines'!$D$8)</f>
        <v>0</v>
      </c>
      <c r="Y33" s="15">
        <f>'Ressources humaines'!$B$8*'Ressources humaines'!$C$8*(1+'Ressources humaines'!$C$4)*(Y$4&gt;='Ressources humaines'!$D$8)</f>
        <v>0</v>
      </c>
      <c r="Z33" s="15">
        <f>'Ressources humaines'!$B$8*'Ressources humaines'!$C$8*(1+'Ressources humaines'!$C$4)*(Z$4&gt;='Ressources humaines'!$D$8)</f>
        <v>0</v>
      </c>
      <c r="AA33" s="15">
        <f>'Ressources humaines'!$B$8*'Ressources humaines'!$C$8*(1+'Ressources humaines'!$C$4)*(AA$4&gt;='Ressources humaines'!$D$8)</f>
        <v>0</v>
      </c>
      <c r="AB33" s="15">
        <f>'Ressources humaines'!$B$8*'Ressources humaines'!$C$8*(1+'Ressources humaines'!$C$4)*(AB$4&gt;='Ressources humaines'!$D$8)</f>
        <v>0</v>
      </c>
      <c r="AC33" s="15">
        <f>'Ressources humaines'!$B$8*'Ressources humaines'!$C$8*(1+'Ressources humaines'!$C$4)*(AC$4&gt;='Ressources humaines'!$D$8)</f>
        <v>7250</v>
      </c>
      <c r="AD33" s="15">
        <f>'Ressources humaines'!$B$8*'Ressources humaines'!$C$8*(1+'Ressources humaines'!$C$4)*(AD$4&gt;='Ressources humaines'!$D$8)</f>
        <v>7250</v>
      </c>
      <c r="AE33" s="15">
        <f>'Ressources humaines'!$B$8*'Ressources humaines'!$C$8*(1+'Ressources humaines'!$C$4)*(AE$4&gt;='Ressources humaines'!$D$8)</f>
        <v>7250</v>
      </c>
      <c r="AF33" s="15">
        <f>'Ressources humaines'!$B$8*'Ressources humaines'!$C$8*(1+'Ressources humaines'!$C$4)*(AF$4&gt;='Ressources humaines'!$D$8)</f>
        <v>7250</v>
      </c>
      <c r="AG33" s="15">
        <f>'Ressources humaines'!$B$8*'Ressources humaines'!$C$8*(1+'Ressources humaines'!$C$4)*(AG$4&gt;='Ressources humaines'!$D$8)</f>
        <v>7250</v>
      </c>
      <c r="AH33" s="15">
        <f>'Ressources humaines'!$B$8*'Ressources humaines'!$C$8*(1+'Ressources humaines'!$C$4)*(AH$4&gt;='Ressources humaines'!$D$8)</f>
        <v>7250</v>
      </c>
      <c r="AI33" s="15">
        <f>'Ressources humaines'!$B$8*'Ressources humaines'!$C$8*(1+'Ressources humaines'!$C$4)*(AI$4&gt;='Ressources humaines'!$D$8)</f>
        <v>7250</v>
      </c>
      <c r="AJ33" s="15">
        <f>'Ressources humaines'!$B$8*'Ressources humaines'!$C$8*(1+'Ressources humaines'!$C$4)*(AJ$4&gt;='Ressources humaines'!$D$8)</f>
        <v>7250</v>
      </c>
      <c r="AK33" s="15">
        <f>'Ressources humaines'!$B$8*'Ressources humaines'!$C$8*(1+'Ressources humaines'!$C$4)*(AK$4&gt;='Ressources humaines'!$D$8)</f>
        <v>7250</v>
      </c>
      <c r="AL33" s="15">
        <f>'Ressources humaines'!$B$8*'Ressources humaines'!$C$8*(1+'Ressources humaines'!$C$4)*(AL$4&gt;='Ressources humaines'!$D$8)</f>
        <v>7250</v>
      </c>
      <c r="AM33" s="15">
        <f>'Ressources humaines'!$B$8*'Ressources humaines'!$C$8*(1+'Ressources humaines'!$C$4)*(AM$4&gt;='Ressources humaines'!$D$8)</f>
        <v>7250</v>
      </c>
      <c r="AN33" s="15">
        <f>'Ressources humaines'!$B$8*'Ressources humaines'!$C$8*(1+'Ressources humaines'!$C$4)*(AN$4&gt;='Ressources humaines'!$D$8)</f>
        <v>7250</v>
      </c>
      <c r="AO33" s="1" t="s">
        <v>82</v>
      </c>
      <c r="AP33" s="1" t="s">
        <v>296</v>
      </c>
      <c r="AQ33" s="55"/>
    </row>
    <row r="34" spans="1:43" ht="13" x14ac:dyDescent="0.3">
      <c r="A34" s="1" t="str">
        <f>'Ressources humaines'!A9</f>
        <v>Coordinateur ou coordinatrice d'événements</v>
      </c>
      <c r="B34" s="16">
        <f>SUM(E34:P34)</f>
        <v>0</v>
      </c>
      <c r="C34" s="16">
        <f>SUM(Q34:AB34)</f>
        <v>97458.443999999974</v>
      </c>
      <c r="D34" s="16">
        <f>SUM(AC34:AN34)</f>
        <v>194916.88799999995</v>
      </c>
      <c r="E34" s="15">
        <f>E$20*'Ressources humaines'!$C$9*(1+'Ressources humaines'!$C$4)</f>
        <v>0</v>
      </c>
      <c r="F34" s="15">
        <f>F$20*'Ressources humaines'!$C$9*(1+'Ressources humaines'!$C$4)</f>
        <v>0</v>
      </c>
      <c r="G34" s="15">
        <f>G$20*'Ressources humaines'!$C$9*(1+'Ressources humaines'!$C$4)</f>
        <v>0</v>
      </c>
      <c r="H34" s="15">
        <f>H$20*'Ressources humaines'!$C$9*(1+'Ressources humaines'!$C$4)</f>
        <v>0</v>
      </c>
      <c r="I34" s="15">
        <f>I$20*'Ressources humaines'!$C$9*(1+'Ressources humaines'!$C$4)</f>
        <v>0</v>
      </c>
      <c r="J34" s="15">
        <f>J$20*'Ressources humaines'!$C$9*(1+'Ressources humaines'!$C$4)</f>
        <v>0</v>
      </c>
      <c r="K34" s="15">
        <f>K$20*'Ressources humaines'!$C$9*(1+'Ressources humaines'!$C$4)</f>
        <v>0</v>
      </c>
      <c r="L34" s="15">
        <f>L$20*'Ressources humaines'!$C$9*(1+'Ressources humaines'!$C$4)</f>
        <v>0</v>
      </c>
      <c r="M34" s="15">
        <f>M$20*'Ressources humaines'!$C$9*(1+'Ressources humaines'!$C$4)</f>
        <v>0</v>
      </c>
      <c r="N34" s="15">
        <f>N$20*'Ressources humaines'!$C$9*(1+'Ressources humaines'!$C$4)</f>
        <v>0</v>
      </c>
      <c r="O34" s="15">
        <f>O$20*'Ressources humaines'!$C$9*(1+'Ressources humaines'!$C$4)</f>
        <v>0</v>
      </c>
      <c r="P34" s="15">
        <f>P$20*'Ressources humaines'!$C$9*(1+'Ressources humaines'!$C$4)</f>
        <v>0</v>
      </c>
      <c r="Q34" s="15">
        <f>Q$20*'Ressources humaines'!$C$9*(1+'Ressources humaines'!$C$4)</f>
        <v>8121.5369999999994</v>
      </c>
      <c r="R34" s="15">
        <f>R$20*'Ressources humaines'!$C$9*(1+'Ressources humaines'!$C$4)</f>
        <v>8121.5369999999994</v>
      </c>
      <c r="S34" s="15">
        <f>S$20*'Ressources humaines'!$C$9*(1+'Ressources humaines'!$C$4)</f>
        <v>8121.5369999999994</v>
      </c>
      <c r="T34" s="15">
        <f>T$20*'Ressources humaines'!$C$9*(1+'Ressources humaines'!$C$4)</f>
        <v>8121.5369999999994</v>
      </c>
      <c r="U34" s="15">
        <f>U$20*'Ressources humaines'!$C$9*(1+'Ressources humaines'!$C$4)</f>
        <v>8121.5369999999994</v>
      </c>
      <c r="V34" s="15">
        <f>V$20*'Ressources humaines'!$C$9*(1+'Ressources humaines'!$C$4)</f>
        <v>8121.5369999999994</v>
      </c>
      <c r="W34" s="15">
        <f>W$20*'Ressources humaines'!$C$9*(1+'Ressources humaines'!$C$4)</f>
        <v>8121.5369999999994</v>
      </c>
      <c r="X34" s="15">
        <f>X$20*'Ressources humaines'!$C$9*(1+'Ressources humaines'!$C$4)</f>
        <v>8121.5369999999994</v>
      </c>
      <c r="Y34" s="15">
        <f>Y$20*'Ressources humaines'!$C$9*(1+'Ressources humaines'!$C$4)</f>
        <v>8121.5369999999994</v>
      </c>
      <c r="Z34" s="15">
        <f>Z$20*'Ressources humaines'!$C$9*(1+'Ressources humaines'!$C$4)</f>
        <v>8121.5369999999994</v>
      </c>
      <c r="AA34" s="15">
        <f>AA$20*'Ressources humaines'!$C$9*(1+'Ressources humaines'!$C$4)</f>
        <v>8121.5369999999994</v>
      </c>
      <c r="AB34" s="15">
        <f>AB$20*'Ressources humaines'!$C$9*(1+'Ressources humaines'!$C$4)</f>
        <v>8121.5369999999994</v>
      </c>
      <c r="AC34" s="15">
        <f>AC$20*'Ressources humaines'!$C$9*(1+'Ressources humaines'!$C$4)</f>
        <v>16243.073999999999</v>
      </c>
      <c r="AD34" s="15">
        <f>AD$20*'Ressources humaines'!$C$9*(1+'Ressources humaines'!$C$4)</f>
        <v>16243.073999999999</v>
      </c>
      <c r="AE34" s="15">
        <f>AE$20*'Ressources humaines'!$C$9*(1+'Ressources humaines'!$C$4)</f>
        <v>16243.073999999999</v>
      </c>
      <c r="AF34" s="15">
        <f>AF$20*'Ressources humaines'!$C$9*(1+'Ressources humaines'!$C$4)</f>
        <v>16243.073999999999</v>
      </c>
      <c r="AG34" s="15">
        <f>AG$20*'Ressources humaines'!$C$9*(1+'Ressources humaines'!$C$4)</f>
        <v>16243.073999999999</v>
      </c>
      <c r="AH34" s="15">
        <f>AH$20*'Ressources humaines'!$C$9*(1+'Ressources humaines'!$C$4)</f>
        <v>16243.073999999999</v>
      </c>
      <c r="AI34" s="15">
        <f>AI$20*'Ressources humaines'!$C$9*(1+'Ressources humaines'!$C$4)</f>
        <v>16243.073999999999</v>
      </c>
      <c r="AJ34" s="15">
        <f>AJ$20*'Ressources humaines'!$C$9*(1+'Ressources humaines'!$C$4)</f>
        <v>16243.073999999999</v>
      </c>
      <c r="AK34" s="15">
        <f>AK$20*'Ressources humaines'!$C$9*(1+'Ressources humaines'!$C$4)</f>
        <v>16243.073999999999</v>
      </c>
      <c r="AL34" s="15">
        <f>AL$20*'Ressources humaines'!$C$9*(1+'Ressources humaines'!$C$4)</f>
        <v>16243.073999999999</v>
      </c>
      <c r="AM34" s="15">
        <f>AM$20*'Ressources humaines'!$C$9*(1+'Ressources humaines'!$C$4)</f>
        <v>16243.073999999999</v>
      </c>
      <c r="AN34" s="15">
        <f>AN$20*'Ressources humaines'!$C$9*(1+'Ressources humaines'!$C$4)</f>
        <v>16243.073999999999</v>
      </c>
      <c r="AO34" s="1" t="s">
        <v>117</v>
      </c>
      <c r="AP34" s="1" t="s">
        <v>448</v>
      </c>
      <c r="AQ34" s="55"/>
    </row>
    <row r="35" spans="1:43" ht="13" x14ac:dyDescent="0.3">
      <c r="A35" s="1" t="str">
        <f>'Ressources humaines'!A10</f>
        <v>Commercial ou commerciale entreprises</v>
      </c>
      <c r="B35" s="16">
        <f>SUM(E35:P35)</f>
        <v>0</v>
      </c>
      <c r="C35" s="16">
        <f>SUM(Q35:AB35)</f>
        <v>0</v>
      </c>
      <c r="D35" s="16">
        <f>SUM(AC35:AN35)</f>
        <v>292320</v>
      </c>
      <c r="E35" s="15">
        <f>E$21*'Ressources humaines'!$C$10*(1+'Ressources humaines'!$C$4)</f>
        <v>0</v>
      </c>
      <c r="F35" s="15">
        <f>F$21*'Ressources humaines'!$C$10*(1+'Ressources humaines'!$C$4)</f>
        <v>0</v>
      </c>
      <c r="G35" s="15">
        <f>G$21*'Ressources humaines'!$C$10*(1+'Ressources humaines'!$C$4)</f>
        <v>0</v>
      </c>
      <c r="H35" s="15">
        <f>H$21*'Ressources humaines'!$C$10*(1+'Ressources humaines'!$C$4)</f>
        <v>0</v>
      </c>
      <c r="I35" s="15">
        <f>I$21*'Ressources humaines'!$C$10*(1+'Ressources humaines'!$C$4)</f>
        <v>0</v>
      </c>
      <c r="J35" s="15">
        <f>J$21*'Ressources humaines'!$C$10*(1+'Ressources humaines'!$C$4)</f>
        <v>0</v>
      </c>
      <c r="K35" s="15">
        <f>K$21*'Ressources humaines'!$C$10*(1+'Ressources humaines'!$C$4)</f>
        <v>0</v>
      </c>
      <c r="L35" s="15">
        <f>L$21*'Ressources humaines'!$C$10*(1+'Ressources humaines'!$C$4)</f>
        <v>0</v>
      </c>
      <c r="M35" s="15">
        <f>M$21*'Ressources humaines'!$C$10*(1+'Ressources humaines'!$C$4)</f>
        <v>0</v>
      </c>
      <c r="N35" s="15">
        <f>N$21*'Ressources humaines'!$C$10*(1+'Ressources humaines'!$C$4)</f>
        <v>0</v>
      </c>
      <c r="O35" s="15">
        <f>O$21*'Ressources humaines'!$C$10*(1+'Ressources humaines'!$C$4)</f>
        <v>0</v>
      </c>
      <c r="P35" s="15">
        <f>P$21*'Ressources humaines'!$C$10*(1+'Ressources humaines'!$C$4)</f>
        <v>0</v>
      </c>
      <c r="Q35" s="15">
        <f>Q$21*'Ressources humaines'!$C$10*(1+'Ressources humaines'!$C$4)</f>
        <v>0</v>
      </c>
      <c r="R35" s="15">
        <f>R$21*'Ressources humaines'!$C$10*(1+'Ressources humaines'!$C$4)</f>
        <v>0</v>
      </c>
      <c r="S35" s="15">
        <f>S$21*'Ressources humaines'!$C$10*(1+'Ressources humaines'!$C$4)</f>
        <v>0</v>
      </c>
      <c r="T35" s="15">
        <f>T$21*'Ressources humaines'!$C$10*(1+'Ressources humaines'!$C$4)</f>
        <v>0</v>
      </c>
      <c r="U35" s="15">
        <f>U$21*'Ressources humaines'!$C$10*(1+'Ressources humaines'!$C$4)</f>
        <v>0</v>
      </c>
      <c r="V35" s="15">
        <f>V$21*'Ressources humaines'!$C$10*(1+'Ressources humaines'!$C$4)</f>
        <v>0</v>
      </c>
      <c r="W35" s="15">
        <f>W$21*'Ressources humaines'!$C$10*(1+'Ressources humaines'!$C$4)</f>
        <v>0</v>
      </c>
      <c r="X35" s="15">
        <f>X$21*'Ressources humaines'!$C$10*(1+'Ressources humaines'!$C$4)</f>
        <v>0</v>
      </c>
      <c r="Y35" s="15">
        <f>Y$21*'Ressources humaines'!$C$10*(1+'Ressources humaines'!$C$4)</f>
        <v>0</v>
      </c>
      <c r="Z35" s="15">
        <f>Z$21*'Ressources humaines'!$C$10*(1+'Ressources humaines'!$C$4)</f>
        <v>0</v>
      </c>
      <c r="AA35" s="15">
        <f>AA$21*'Ressources humaines'!$C$10*(1+'Ressources humaines'!$C$4)</f>
        <v>0</v>
      </c>
      <c r="AB35" s="15">
        <f>AB$21*'Ressources humaines'!$C$10*(1+'Ressources humaines'!$C$4)</f>
        <v>0</v>
      </c>
      <c r="AC35" s="15">
        <f>AC$21*'Ressources humaines'!$C$10*(1+'Ressources humaines'!$C$4)</f>
        <v>24360</v>
      </c>
      <c r="AD35" s="15">
        <f>AD$21*'Ressources humaines'!$C$10*(1+'Ressources humaines'!$C$4)</f>
        <v>24360</v>
      </c>
      <c r="AE35" s="15">
        <f>AE$21*'Ressources humaines'!$C$10*(1+'Ressources humaines'!$C$4)</f>
        <v>24360</v>
      </c>
      <c r="AF35" s="15">
        <f>AF$21*'Ressources humaines'!$C$10*(1+'Ressources humaines'!$C$4)</f>
        <v>24360</v>
      </c>
      <c r="AG35" s="15">
        <f>AG$21*'Ressources humaines'!$C$10*(1+'Ressources humaines'!$C$4)</f>
        <v>24360</v>
      </c>
      <c r="AH35" s="15">
        <f>AH$21*'Ressources humaines'!$C$10*(1+'Ressources humaines'!$C$4)</f>
        <v>24360</v>
      </c>
      <c r="AI35" s="15">
        <f>AI$21*'Ressources humaines'!$C$10*(1+'Ressources humaines'!$C$4)</f>
        <v>24360</v>
      </c>
      <c r="AJ35" s="15">
        <f>AJ$21*'Ressources humaines'!$C$10*(1+'Ressources humaines'!$C$4)</f>
        <v>24360</v>
      </c>
      <c r="AK35" s="15">
        <f>AK$21*'Ressources humaines'!$C$10*(1+'Ressources humaines'!$C$4)</f>
        <v>24360</v>
      </c>
      <c r="AL35" s="15">
        <f>AL$21*'Ressources humaines'!$C$10*(1+'Ressources humaines'!$C$4)</f>
        <v>24360</v>
      </c>
      <c r="AM35" s="15">
        <f>AM$21*'Ressources humaines'!$C$10*(1+'Ressources humaines'!$C$4)</f>
        <v>24360</v>
      </c>
      <c r="AN35" s="15">
        <f>AN$21*'Ressources humaines'!$C$10*(1+'Ressources humaines'!$C$4)</f>
        <v>24360</v>
      </c>
      <c r="AO35" s="1" t="s">
        <v>117</v>
      </c>
      <c r="AP35" s="1" t="s">
        <v>449</v>
      </c>
      <c r="AQ35" s="55"/>
    </row>
    <row r="36" spans="1:43" ht="13" x14ac:dyDescent="0.3">
      <c r="A36" s="1" t="str">
        <f>'Ressources humaines'!A11</f>
        <v>Manager</v>
      </c>
      <c r="B36" s="16">
        <f>SUM(E36:P36)</f>
        <v>0</v>
      </c>
      <c r="C36" s="16">
        <f>SUM(Q36:AB36)</f>
        <v>0</v>
      </c>
      <c r="D36" s="16">
        <f>SUM(AC36:AN36)</f>
        <v>69600</v>
      </c>
      <c r="E36" s="15">
        <f>'Ressources humaines'!$B$11*'Ressources humaines'!$C$11*(1+'Ressources humaines'!$C$4)*(E$4&gt;='Ressources humaines'!$D$11)</f>
        <v>0</v>
      </c>
      <c r="F36" s="15">
        <f>'Ressources humaines'!$B$11*'Ressources humaines'!$C$11*(1+'Ressources humaines'!$C$4)*(F$4&gt;='Ressources humaines'!$D$11)</f>
        <v>0</v>
      </c>
      <c r="G36" s="15">
        <f>'Ressources humaines'!$B$11*'Ressources humaines'!$C$11*(1+'Ressources humaines'!$C$4)*(G$4&gt;='Ressources humaines'!$D$11)</f>
        <v>0</v>
      </c>
      <c r="H36" s="15">
        <f>'Ressources humaines'!$B$11*'Ressources humaines'!$C$11*(1+'Ressources humaines'!$C$4)*(H$4&gt;='Ressources humaines'!$D$11)</f>
        <v>0</v>
      </c>
      <c r="I36" s="15">
        <f>'Ressources humaines'!$B$11*'Ressources humaines'!$C$11*(1+'Ressources humaines'!$C$4)*(I$4&gt;='Ressources humaines'!$D$11)</f>
        <v>0</v>
      </c>
      <c r="J36" s="15">
        <f>'Ressources humaines'!$B$11*'Ressources humaines'!$C$11*(1+'Ressources humaines'!$C$4)*(J$4&gt;='Ressources humaines'!$D$11)</f>
        <v>0</v>
      </c>
      <c r="K36" s="15">
        <f>'Ressources humaines'!$B$11*'Ressources humaines'!$C$11*(1+'Ressources humaines'!$C$4)*(K$4&gt;='Ressources humaines'!$D$11)</f>
        <v>0</v>
      </c>
      <c r="L36" s="15">
        <f>'Ressources humaines'!$B$11*'Ressources humaines'!$C$11*(1+'Ressources humaines'!$C$4)*(L$4&gt;='Ressources humaines'!$D$11)</f>
        <v>0</v>
      </c>
      <c r="M36" s="15">
        <f>'Ressources humaines'!$B$11*'Ressources humaines'!$C$11*(1+'Ressources humaines'!$C$4)*(M$4&gt;='Ressources humaines'!$D$11)</f>
        <v>0</v>
      </c>
      <c r="N36" s="15">
        <f>'Ressources humaines'!$B$11*'Ressources humaines'!$C$11*(1+'Ressources humaines'!$C$4)*(N$4&gt;='Ressources humaines'!$D$11)</f>
        <v>0</v>
      </c>
      <c r="O36" s="15">
        <f>'Ressources humaines'!$B$11*'Ressources humaines'!$C$11*(1+'Ressources humaines'!$C$4)*(O$4&gt;='Ressources humaines'!$D$11)</f>
        <v>0</v>
      </c>
      <c r="P36" s="15">
        <f>'Ressources humaines'!$B$11*'Ressources humaines'!$C$11*(1+'Ressources humaines'!$C$4)*(P$4&gt;='Ressources humaines'!$D$11)</f>
        <v>0</v>
      </c>
      <c r="Q36" s="15">
        <f>'Ressources humaines'!$B$11*'Ressources humaines'!$C$11*(1+'Ressources humaines'!$C$4)*(Q$4&gt;='Ressources humaines'!$D$11)</f>
        <v>0</v>
      </c>
      <c r="R36" s="15">
        <f>'Ressources humaines'!$B$11*'Ressources humaines'!$C$11*(1+'Ressources humaines'!$C$4)*(R$4&gt;='Ressources humaines'!$D$11)</f>
        <v>0</v>
      </c>
      <c r="S36" s="15">
        <f>'Ressources humaines'!$B$11*'Ressources humaines'!$C$11*(1+'Ressources humaines'!$C$4)*(S$4&gt;='Ressources humaines'!$D$11)</f>
        <v>0</v>
      </c>
      <c r="T36" s="15">
        <f>'Ressources humaines'!$B$11*'Ressources humaines'!$C$11*(1+'Ressources humaines'!$C$4)*(T$4&gt;='Ressources humaines'!$D$11)</f>
        <v>0</v>
      </c>
      <c r="U36" s="15">
        <f>'Ressources humaines'!$B$11*'Ressources humaines'!$C$11*(1+'Ressources humaines'!$C$4)*(U$4&gt;='Ressources humaines'!$D$11)</f>
        <v>0</v>
      </c>
      <c r="V36" s="15">
        <f>'Ressources humaines'!$B$11*'Ressources humaines'!$C$11*(1+'Ressources humaines'!$C$4)*(V$4&gt;='Ressources humaines'!$D$11)</f>
        <v>0</v>
      </c>
      <c r="W36" s="15">
        <f>'Ressources humaines'!$B$11*'Ressources humaines'!$C$11*(1+'Ressources humaines'!$C$4)*(W$4&gt;='Ressources humaines'!$D$11)</f>
        <v>0</v>
      </c>
      <c r="X36" s="15">
        <f>'Ressources humaines'!$B$11*'Ressources humaines'!$C$11*(1+'Ressources humaines'!$C$4)*(X$4&gt;='Ressources humaines'!$D$11)</f>
        <v>0</v>
      </c>
      <c r="Y36" s="15">
        <f>'Ressources humaines'!$B$11*'Ressources humaines'!$C$11*(1+'Ressources humaines'!$C$4)*(Y$4&gt;='Ressources humaines'!$D$11)</f>
        <v>0</v>
      </c>
      <c r="Z36" s="15">
        <f>'Ressources humaines'!$B$11*'Ressources humaines'!$C$11*(1+'Ressources humaines'!$C$4)*(Z$4&gt;='Ressources humaines'!$D$11)</f>
        <v>0</v>
      </c>
      <c r="AA36" s="15">
        <f>'Ressources humaines'!$B$11*'Ressources humaines'!$C$11*(1+'Ressources humaines'!$C$4)*(AA$4&gt;='Ressources humaines'!$D$11)</f>
        <v>0</v>
      </c>
      <c r="AB36" s="15">
        <f>'Ressources humaines'!$B$11*'Ressources humaines'!$C$11*(1+'Ressources humaines'!$C$4)*(AB$4&gt;='Ressources humaines'!$D$11)</f>
        <v>0</v>
      </c>
      <c r="AC36" s="15">
        <f>'Ressources humaines'!$B$11*'Ressources humaines'!$C$11*(1+'Ressources humaines'!$C$4)*(AC$4&gt;='Ressources humaines'!$D$11)</f>
        <v>5800</v>
      </c>
      <c r="AD36" s="15">
        <f>'Ressources humaines'!$B$11*'Ressources humaines'!$C$11*(1+'Ressources humaines'!$C$4)*(AD$4&gt;='Ressources humaines'!$D$11)</f>
        <v>5800</v>
      </c>
      <c r="AE36" s="15">
        <f>'Ressources humaines'!$B$11*'Ressources humaines'!$C$11*(1+'Ressources humaines'!$C$4)*(AE$4&gt;='Ressources humaines'!$D$11)</f>
        <v>5800</v>
      </c>
      <c r="AF36" s="15">
        <f>'Ressources humaines'!$B$11*'Ressources humaines'!$C$11*(1+'Ressources humaines'!$C$4)*(AF$4&gt;='Ressources humaines'!$D$11)</f>
        <v>5800</v>
      </c>
      <c r="AG36" s="15">
        <f>'Ressources humaines'!$B$11*'Ressources humaines'!$C$11*(1+'Ressources humaines'!$C$4)*(AG$4&gt;='Ressources humaines'!$D$11)</f>
        <v>5800</v>
      </c>
      <c r="AH36" s="15">
        <f>'Ressources humaines'!$B$11*'Ressources humaines'!$C$11*(1+'Ressources humaines'!$C$4)*(AH$4&gt;='Ressources humaines'!$D$11)</f>
        <v>5800</v>
      </c>
      <c r="AI36" s="15">
        <f>'Ressources humaines'!$B$11*'Ressources humaines'!$C$11*(1+'Ressources humaines'!$C$4)*(AI$4&gt;='Ressources humaines'!$D$11)</f>
        <v>5800</v>
      </c>
      <c r="AJ36" s="15">
        <f>'Ressources humaines'!$B$11*'Ressources humaines'!$C$11*(1+'Ressources humaines'!$C$4)*(AJ$4&gt;='Ressources humaines'!$D$11)</f>
        <v>5800</v>
      </c>
      <c r="AK36" s="15">
        <f>'Ressources humaines'!$B$11*'Ressources humaines'!$C$11*(1+'Ressources humaines'!$C$4)*(AK$4&gt;='Ressources humaines'!$D$11)</f>
        <v>5800</v>
      </c>
      <c r="AL36" s="15">
        <f>'Ressources humaines'!$B$11*'Ressources humaines'!$C$11*(1+'Ressources humaines'!$C$4)*(AL$4&gt;='Ressources humaines'!$D$11)</f>
        <v>5800</v>
      </c>
      <c r="AM36" s="15">
        <f>'Ressources humaines'!$B$11*'Ressources humaines'!$C$11*(1+'Ressources humaines'!$C$4)*(AM$4&gt;='Ressources humaines'!$D$11)</f>
        <v>5800</v>
      </c>
      <c r="AN36" s="15">
        <f>'Ressources humaines'!$B$11*'Ressources humaines'!$C$11*(1+'Ressources humaines'!$C$4)*(AN$4&gt;='Ressources humaines'!$D$11)</f>
        <v>5800</v>
      </c>
      <c r="AO36" s="1" t="s">
        <v>82</v>
      </c>
      <c r="AP36" s="1" t="s">
        <v>296</v>
      </c>
      <c r="AQ36" s="55"/>
    </row>
    <row r="37" spans="1:43" ht="13" x14ac:dyDescent="0.3">
      <c r="A37" s="2" t="s">
        <v>135</v>
      </c>
      <c r="B37" s="16">
        <f>SUM(E37:P37)</f>
        <v>0</v>
      </c>
      <c r="C37" s="16">
        <f>SUM(Q37:AB37)</f>
        <v>97458.443999999974</v>
      </c>
      <c r="D37" s="16">
        <f>SUM(AC37:AN37)</f>
        <v>643836.88800000015</v>
      </c>
      <c r="E37" s="16">
        <f>SUM(E33:E36)</f>
        <v>0</v>
      </c>
      <c r="F37" s="16">
        <f t="shared" ref="F37:AN37" si="16">SUM(F33:F36)</f>
        <v>0</v>
      </c>
      <c r="G37" s="16">
        <f t="shared" si="16"/>
        <v>0</v>
      </c>
      <c r="H37" s="16">
        <f t="shared" si="16"/>
        <v>0</v>
      </c>
      <c r="I37" s="16">
        <f t="shared" si="16"/>
        <v>0</v>
      </c>
      <c r="J37" s="16">
        <f t="shared" si="16"/>
        <v>0</v>
      </c>
      <c r="K37" s="16">
        <f t="shared" si="16"/>
        <v>0</v>
      </c>
      <c r="L37" s="16">
        <f t="shared" si="16"/>
        <v>0</v>
      </c>
      <c r="M37" s="16">
        <f t="shared" si="16"/>
        <v>0</v>
      </c>
      <c r="N37" s="16">
        <f t="shared" si="16"/>
        <v>0</v>
      </c>
      <c r="O37" s="16">
        <f t="shared" si="16"/>
        <v>0</v>
      </c>
      <c r="P37" s="16">
        <f t="shared" si="16"/>
        <v>0</v>
      </c>
      <c r="Q37" s="16">
        <f t="shared" si="16"/>
        <v>8121.5369999999994</v>
      </c>
      <c r="R37" s="16">
        <f t="shared" si="16"/>
        <v>8121.5369999999994</v>
      </c>
      <c r="S37" s="16">
        <f t="shared" si="16"/>
        <v>8121.5369999999994</v>
      </c>
      <c r="T37" s="16">
        <f t="shared" si="16"/>
        <v>8121.5369999999994</v>
      </c>
      <c r="U37" s="16">
        <f t="shared" si="16"/>
        <v>8121.5369999999994</v>
      </c>
      <c r="V37" s="16">
        <f t="shared" si="16"/>
        <v>8121.5369999999994</v>
      </c>
      <c r="W37" s="16">
        <f t="shared" si="16"/>
        <v>8121.5369999999994</v>
      </c>
      <c r="X37" s="16">
        <f t="shared" si="16"/>
        <v>8121.5369999999994</v>
      </c>
      <c r="Y37" s="16">
        <f t="shared" si="16"/>
        <v>8121.5369999999994</v>
      </c>
      <c r="Z37" s="16">
        <f t="shared" si="16"/>
        <v>8121.5369999999994</v>
      </c>
      <c r="AA37" s="16">
        <f t="shared" si="16"/>
        <v>8121.5369999999994</v>
      </c>
      <c r="AB37" s="16">
        <f t="shared" si="16"/>
        <v>8121.5369999999994</v>
      </c>
      <c r="AC37" s="16">
        <f t="shared" si="16"/>
        <v>53653.074000000001</v>
      </c>
      <c r="AD37" s="16">
        <f t="shared" si="16"/>
        <v>53653.074000000001</v>
      </c>
      <c r="AE37" s="16">
        <f t="shared" si="16"/>
        <v>53653.074000000001</v>
      </c>
      <c r="AF37" s="16">
        <f t="shared" si="16"/>
        <v>53653.074000000001</v>
      </c>
      <c r="AG37" s="16">
        <f t="shared" si="16"/>
        <v>53653.074000000001</v>
      </c>
      <c r="AH37" s="16">
        <f t="shared" si="16"/>
        <v>53653.074000000001</v>
      </c>
      <c r="AI37" s="16">
        <f t="shared" si="16"/>
        <v>53653.074000000001</v>
      </c>
      <c r="AJ37" s="16">
        <f t="shared" si="16"/>
        <v>53653.074000000001</v>
      </c>
      <c r="AK37" s="16">
        <f t="shared" si="16"/>
        <v>53653.074000000001</v>
      </c>
      <c r="AL37" s="16">
        <f t="shared" si="16"/>
        <v>53653.074000000001</v>
      </c>
      <c r="AM37" s="16">
        <f t="shared" si="16"/>
        <v>53653.074000000001</v>
      </c>
      <c r="AN37" s="16">
        <f t="shared" si="16"/>
        <v>53653.074000000001</v>
      </c>
      <c r="AQ37" s="55"/>
    </row>
    <row r="38" spans="1:43" ht="13" x14ac:dyDescent="0.3">
      <c r="A38" s="10" t="s">
        <v>297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56"/>
    </row>
    <row r="39" spans="1:43" ht="13" x14ac:dyDescent="0.3">
      <c r="A39" s="1" t="s">
        <v>109</v>
      </c>
      <c r="B39" s="16">
        <f t="shared" ref="B39:B57" si="17">SUM(E39:P39)</f>
        <v>0</v>
      </c>
      <c r="C39" s="16">
        <f t="shared" ref="C39:C57" si="18">SUM(Q39:AB39)</f>
        <v>10800</v>
      </c>
      <c r="D39" s="16">
        <f t="shared" ref="D39:D57" si="19">SUM(AC39:AN39)</f>
        <v>54000</v>
      </c>
      <c r="E39" s="78">
        <f>E$22*$B$91</f>
        <v>0</v>
      </c>
      <c r="F39" s="78">
        <f t="shared" ref="F39:AN39" si="20">F$22*$B$91</f>
        <v>0</v>
      </c>
      <c r="G39" s="78">
        <f t="shared" si="20"/>
        <v>0</v>
      </c>
      <c r="H39" s="78">
        <f t="shared" si="20"/>
        <v>0</v>
      </c>
      <c r="I39" s="78">
        <f t="shared" si="20"/>
        <v>0</v>
      </c>
      <c r="J39" s="78">
        <f t="shared" si="20"/>
        <v>0</v>
      </c>
      <c r="K39" s="78">
        <f t="shared" si="20"/>
        <v>0</v>
      </c>
      <c r="L39" s="78">
        <f t="shared" si="20"/>
        <v>0</v>
      </c>
      <c r="M39" s="78">
        <f t="shared" si="20"/>
        <v>0</v>
      </c>
      <c r="N39" s="78">
        <f t="shared" si="20"/>
        <v>0</v>
      </c>
      <c r="O39" s="78">
        <f t="shared" si="20"/>
        <v>0</v>
      </c>
      <c r="P39" s="78">
        <f t="shared" si="20"/>
        <v>0</v>
      </c>
      <c r="Q39" s="78">
        <f t="shared" si="20"/>
        <v>900</v>
      </c>
      <c r="R39" s="78">
        <f t="shared" si="20"/>
        <v>900</v>
      </c>
      <c r="S39" s="78">
        <f t="shared" si="20"/>
        <v>900</v>
      </c>
      <c r="T39" s="78">
        <f t="shared" si="20"/>
        <v>900</v>
      </c>
      <c r="U39" s="78">
        <f t="shared" si="20"/>
        <v>900</v>
      </c>
      <c r="V39" s="78">
        <f t="shared" si="20"/>
        <v>900</v>
      </c>
      <c r="W39" s="78">
        <f t="shared" si="20"/>
        <v>900</v>
      </c>
      <c r="X39" s="78">
        <f t="shared" si="20"/>
        <v>900</v>
      </c>
      <c r="Y39" s="78">
        <f t="shared" si="20"/>
        <v>900</v>
      </c>
      <c r="Z39" s="78">
        <f t="shared" si="20"/>
        <v>900</v>
      </c>
      <c r="AA39" s="78">
        <f t="shared" si="20"/>
        <v>900</v>
      </c>
      <c r="AB39" s="78">
        <f t="shared" si="20"/>
        <v>900</v>
      </c>
      <c r="AC39" s="78">
        <f t="shared" si="20"/>
        <v>4500</v>
      </c>
      <c r="AD39" s="78">
        <f t="shared" si="20"/>
        <v>4500</v>
      </c>
      <c r="AE39" s="78">
        <f t="shared" si="20"/>
        <v>4500</v>
      </c>
      <c r="AF39" s="78">
        <f t="shared" si="20"/>
        <v>4500</v>
      </c>
      <c r="AG39" s="78">
        <f t="shared" si="20"/>
        <v>4500</v>
      </c>
      <c r="AH39" s="78">
        <f t="shared" si="20"/>
        <v>4500</v>
      </c>
      <c r="AI39" s="78">
        <f t="shared" si="20"/>
        <v>4500</v>
      </c>
      <c r="AJ39" s="78">
        <f t="shared" si="20"/>
        <v>4500</v>
      </c>
      <c r="AK39" s="78">
        <f t="shared" si="20"/>
        <v>4500</v>
      </c>
      <c r="AL39" s="78">
        <f t="shared" si="20"/>
        <v>4500</v>
      </c>
      <c r="AM39" s="78">
        <f t="shared" si="20"/>
        <v>4500</v>
      </c>
      <c r="AN39" s="78">
        <f t="shared" si="20"/>
        <v>4500</v>
      </c>
      <c r="AO39" s="1" t="s">
        <v>117</v>
      </c>
      <c r="AP39" s="1" t="s">
        <v>464</v>
      </c>
      <c r="AQ39" s="57">
        <f>TVA!$C$30</f>
        <v>0.2</v>
      </c>
    </row>
    <row r="40" spans="1:43" ht="13" x14ac:dyDescent="0.3">
      <c r="A40" s="1" t="s">
        <v>146</v>
      </c>
      <c r="B40" s="16">
        <f t="shared" si="17"/>
        <v>960</v>
      </c>
      <c r="C40" s="16">
        <f>SUM(Q40:AB40)</f>
        <v>2760</v>
      </c>
      <c r="D40" s="16">
        <f t="shared" si="19"/>
        <v>9960</v>
      </c>
      <c r="E40" s="78">
        <f>$B$92+E$22*$B$93</f>
        <v>80</v>
      </c>
      <c r="F40" s="78">
        <f t="shared" ref="F40:AN40" si="21">$B$92+F$22*$B$93</f>
        <v>80</v>
      </c>
      <c r="G40" s="78">
        <f t="shared" si="21"/>
        <v>80</v>
      </c>
      <c r="H40" s="78">
        <f t="shared" si="21"/>
        <v>80</v>
      </c>
      <c r="I40" s="78">
        <f t="shared" si="21"/>
        <v>80</v>
      </c>
      <c r="J40" s="78">
        <f t="shared" si="21"/>
        <v>80</v>
      </c>
      <c r="K40" s="78">
        <f t="shared" si="21"/>
        <v>80</v>
      </c>
      <c r="L40" s="78">
        <f t="shared" si="21"/>
        <v>80</v>
      </c>
      <c r="M40" s="78">
        <f t="shared" si="21"/>
        <v>80</v>
      </c>
      <c r="N40" s="78">
        <f t="shared" si="21"/>
        <v>80</v>
      </c>
      <c r="O40" s="78">
        <f t="shared" si="21"/>
        <v>80</v>
      </c>
      <c r="P40" s="78">
        <f t="shared" si="21"/>
        <v>80</v>
      </c>
      <c r="Q40" s="78">
        <f t="shared" si="21"/>
        <v>230</v>
      </c>
      <c r="R40" s="78">
        <f t="shared" si="21"/>
        <v>230</v>
      </c>
      <c r="S40" s="78">
        <f t="shared" si="21"/>
        <v>230</v>
      </c>
      <c r="T40" s="78">
        <f t="shared" si="21"/>
        <v>230</v>
      </c>
      <c r="U40" s="78">
        <f t="shared" si="21"/>
        <v>230</v>
      </c>
      <c r="V40" s="78">
        <f t="shared" si="21"/>
        <v>230</v>
      </c>
      <c r="W40" s="78">
        <f t="shared" si="21"/>
        <v>230</v>
      </c>
      <c r="X40" s="78">
        <f t="shared" si="21"/>
        <v>230</v>
      </c>
      <c r="Y40" s="78">
        <f t="shared" si="21"/>
        <v>230</v>
      </c>
      <c r="Z40" s="78">
        <f t="shared" si="21"/>
        <v>230</v>
      </c>
      <c r="AA40" s="78">
        <f t="shared" si="21"/>
        <v>230</v>
      </c>
      <c r="AB40" s="78">
        <f t="shared" si="21"/>
        <v>230</v>
      </c>
      <c r="AC40" s="78">
        <f t="shared" si="21"/>
        <v>830</v>
      </c>
      <c r="AD40" s="78">
        <f t="shared" si="21"/>
        <v>830</v>
      </c>
      <c r="AE40" s="78">
        <f t="shared" si="21"/>
        <v>830</v>
      </c>
      <c r="AF40" s="78">
        <f t="shared" si="21"/>
        <v>830</v>
      </c>
      <c r="AG40" s="78">
        <f t="shared" si="21"/>
        <v>830</v>
      </c>
      <c r="AH40" s="78">
        <f t="shared" si="21"/>
        <v>830</v>
      </c>
      <c r="AI40" s="78">
        <f t="shared" si="21"/>
        <v>830</v>
      </c>
      <c r="AJ40" s="78">
        <f t="shared" si="21"/>
        <v>830</v>
      </c>
      <c r="AK40" s="78">
        <f t="shared" si="21"/>
        <v>830</v>
      </c>
      <c r="AL40" s="78">
        <f t="shared" si="21"/>
        <v>830</v>
      </c>
      <c r="AM40" s="78">
        <f t="shared" si="21"/>
        <v>830</v>
      </c>
      <c r="AN40" s="78">
        <f t="shared" si="21"/>
        <v>830</v>
      </c>
      <c r="AO40" s="1" t="s">
        <v>117</v>
      </c>
      <c r="AP40" s="1" t="s">
        <v>465</v>
      </c>
      <c r="AQ40" s="57">
        <f>TVA!$C$31</f>
        <v>0.2</v>
      </c>
    </row>
    <row r="41" spans="1:43" ht="13" x14ac:dyDescent="0.3">
      <c r="A41" s="1" t="s">
        <v>298</v>
      </c>
      <c r="B41" s="16">
        <f t="shared" si="17"/>
        <v>7200</v>
      </c>
      <c r="C41" s="16">
        <f t="shared" si="18"/>
        <v>15000</v>
      </c>
      <c r="D41" s="16">
        <f t="shared" si="19"/>
        <v>30000</v>
      </c>
      <c r="E41" s="14">
        <v>300</v>
      </c>
      <c r="F41" s="14">
        <v>1500</v>
      </c>
      <c r="G41" s="14">
        <v>1500</v>
      </c>
      <c r="H41" s="14">
        <v>1500</v>
      </c>
      <c r="I41" s="14">
        <v>300</v>
      </c>
      <c r="J41" s="14">
        <v>300</v>
      </c>
      <c r="K41" s="14">
        <v>300</v>
      </c>
      <c r="L41" s="14">
        <v>300</v>
      </c>
      <c r="M41" s="14">
        <v>300</v>
      </c>
      <c r="N41" s="14">
        <v>300</v>
      </c>
      <c r="O41" s="14">
        <v>300</v>
      </c>
      <c r="P41" s="14">
        <v>300</v>
      </c>
      <c r="Q41" s="14">
        <v>1250</v>
      </c>
      <c r="R41" s="14">
        <v>1250</v>
      </c>
      <c r="S41" s="14">
        <v>1250</v>
      </c>
      <c r="T41" s="14">
        <v>1250</v>
      </c>
      <c r="U41" s="14">
        <v>1250</v>
      </c>
      <c r="V41" s="14">
        <v>1250</v>
      </c>
      <c r="W41" s="14">
        <v>1250</v>
      </c>
      <c r="X41" s="14">
        <v>1250</v>
      </c>
      <c r="Y41" s="14">
        <v>1250</v>
      </c>
      <c r="Z41" s="14">
        <v>1250</v>
      </c>
      <c r="AA41" s="14">
        <v>1250</v>
      </c>
      <c r="AB41" s="14">
        <v>1250</v>
      </c>
      <c r="AC41" s="14">
        <v>2500</v>
      </c>
      <c r="AD41" s="14">
        <v>2500</v>
      </c>
      <c r="AE41" s="14">
        <v>2500</v>
      </c>
      <c r="AF41" s="14">
        <v>2500</v>
      </c>
      <c r="AG41" s="14">
        <v>2500</v>
      </c>
      <c r="AH41" s="14">
        <v>2500</v>
      </c>
      <c r="AI41" s="14">
        <v>2500</v>
      </c>
      <c r="AJ41" s="14">
        <v>2500</v>
      </c>
      <c r="AK41" s="14">
        <v>2500</v>
      </c>
      <c r="AL41" s="14">
        <v>2500</v>
      </c>
      <c r="AM41" s="14">
        <v>2500</v>
      </c>
      <c r="AN41" s="14">
        <v>2500</v>
      </c>
      <c r="AO41" s="1" t="s">
        <v>82</v>
      </c>
      <c r="AP41" s="1" t="s">
        <v>299</v>
      </c>
      <c r="AQ41" s="57">
        <f>TVA!$C$32</f>
        <v>0.2</v>
      </c>
    </row>
    <row r="42" spans="1:43" ht="13" x14ac:dyDescent="0.3">
      <c r="A42" s="1" t="s">
        <v>300</v>
      </c>
      <c r="B42" s="16">
        <f t="shared" si="17"/>
        <v>10000</v>
      </c>
      <c r="C42" s="16">
        <f t="shared" si="18"/>
        <v>0</v>
      </c>
      <c r="D42" s="16">
        <f t="shared" si="19"/>
        <v>0</v>
      </c>
      <c r="E42" s="14">
        <v>0</v>
      </c>
      <c r="F42" s="14">
        <v>0</v>
      </c>
      <c r="G42" s="14">
        <v>0</v>
      </c>
      <c r="H42" s="14">
        <v>5000</v>
      </c>
      <c r="I42" s="14">
        <v>5000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" t="s">
        <v>82</v>
      </c>
      <c r="AP42" s="1" t="s">
        <v>301</v>
      </c>
      <c r="AQ42" s="57">
        <v>0.2</v>
      </c>
    </row>
    <row r="43" spans="1:43" ht="13" x14ac:dyDescent="0.3">
      <c r="A43" s="1" t="s">
        <v>302</v>
      </c>
      <c r="B43" s="16">
        <f t="shared" si="17"/>
        <v>28000</v>
      </c>
      <c r="C43" s="16">
        <f t="shared" si="18"/>
        <v>0</v>
      </c>
      <c r="D43" s="16">
        <f t="shared" si="19"/>
        <v>0</v>
      </c>
      <c r="E43" s="14">
        <v>0</v>
      </c>
      <c r="F43" s="14">
        <v>0</v>
      </c>
      <c r="G43" s="14">
        <v>0</v>
      </c>
      <c r="H43" s="14">
        <v>0</v>
      </c>
      <c r="I43" s="14">
        <v>28000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" t="s">
        <v>82</v>
      </c>
      <c r="AP43" s="1" t="s">
        <v>303</v>
      </c>
      <c r="AQ43" s="57">
        <v>0.1</v>
      </c>
    </row>
    <row r="44" spans="1:43" ht="13" x14ac:dyDescent="0.3">
      <c r="A44" s="1" t="s">
        <v>304</v>
      </c>
      <c r="B44" s="16">
        <f t="shared" si="17"/>
        <v>1200</v>
      </c>
      <c r="C44" s="16">
        <f t="shared" si="18"/>
        <v>2400</v>
      </c>
      <c r="D44" s="16">
        <f t="shared" si="19"/>
        <v>3600</v>
      </c>
      <c r="E44" s="14">
        <v>100</v>
      </c>
      <c r="F44" s="14">
        <v>100</v>
      </c>
      <c r="G44" s="14">
        <v>100</v>
      </c>
      <c r="H44" s="14">
        <v>100</v>
      </c>
      <c r="I44" s="14">
        <v>100</v>
      </c>
      <c r="J44" s="14">
        <v>100</v>
      </c>
      <c r="K44" s="14">
        <v>100</v>
      </c>
      <c r="L44" s="14">
        <v>100</v>
      </c>
      <c r="M44" s="14">
        <v>100</v>
      </c>
      <c r="N44" s="14">
        <v>100</v>
      </c>
      <c r="O44" s="14">
        <v>100</v>
      </c>
      <c r="P44" s="14">
        <v>100</v>
      </c>
      <c r="Q44" s="14">
        <v>200</v>
      </c>
      <c r="R44" s="14">
        <v>200</v>
      </c>
      <c r="S44" s="14">
        <v>200</v>
      </c>
      <c r="T44" s="14">
        <v>200</v>
      </c>
      <c r="U44" s="14">
        <v>200</v>
      </c>
      <c r="V44" s="14">
        <v>200</v>
      </c>
      <c r="W44" s="14">
        <v>200</v>
      </c>
      <c r="X44" s="14">
        <v>200</v>
      </c>
      <c r="Y44" s="14">
        <v>200</v>
      </c>
      <c r="Z44" s="14">
        <v>200</v>
      </c>
      <c r="AA44" s="14">
        <v>200</v>
      </c>
      <c r="AB44" s="14">
        <v>200</v>
      </c>
      <c r="AC44" s="14">
        <v>300</v>
      </c>
      <c r="AD44" s="14">
        <v>300</v>
      </c>
      <c r="AE44" s="14">
        <v>300</v>
      </c>
      <c r="AF44" s="14">
        <v>300</v>
      </c>
      <c r="AG44" s="14">
        <v>300</v>
      </c>
      <c r="AH44" s="14">
        <v>300</v>
      </c>
      <c r="AI44" s="14">
        <v>300</v>
      </c>
      <c r="AJ44" s="14">
        <v>300</v>
      </c>
      <c r="AK44" s="14">
        <v>300</v>
      </c>
      <c r="AL44" s="14">
        <v>300</v>
      </c>
      <c r="AM44" s="14">
        <v>300</v>
      </c>
      <c r="AN44" s="14">
        <v>300</v>
      </c>
      <c r="AO44" s="1" t="s">
        <v>82</v>
      </c>
      <c r="AP44" s="1" t="s">
        <v>305</v>
      </c>
      <c r="AQ44" s="57">
        <v>0.2</v>
      </c>
    </row>
    <row r="45" spans="1:43" ht="13" x14ac:dyDescent="0.3">
      <c r="A45" s="1" t="s">
        <v>306</v>
      </c>
      <c r="B45" s="16">
        <f t="shared" si="17"/>
        <v>3600</v>
      </c>
      <c r="C45" s="16">
        <f t="shared" si="18"/>
        <v>7200</v>
      </c>
      <c r="D45" s="16">
        <f t="shared" si="19"/>
        <v>12000</v>
      </c>
      <c r="E45" s="14">
        <v>300</v>
      </c>
      <c r="F45" s="14">
        <v>300</v>
      </c>
      <c r="G45" s="14">
        <v>300</v>
      </c>
      <c r="H45" s="14">
        <v>300</v>
      </c>
      <c r="I45" s="14">
        <v>300</v>
      </c>
      <c r="J45" s="14">
        <v>300</v>
      </c>
      <c r="K45" s="14">
        <v>300</v>
      </c>
      <c r="L45" s="14">
        <v>300</v>
      </c>
      <c r="M45" s="14">
        <v>300</v>
      </c>
      <c r="N45" s="14">
        <v>300</v>
      </c>
      <c r="O45" s="14">
        <v>300</v>
      </c>
      <c r="P45" s="14">
        <v>300</v>
      </c>
      <c r="Q45" s="14">
        <v>600</v>
      </c>
      <c r="R45" s="14">
        <v>600</v>
      </c>
      <c r="S45" s="14">
        <v>600</v>
      </c>
      <c r="T45" s="14">
        <v>600</v>
      </c>
      <c r="U45" s="14">
        <v>600</v>
      </c>
      <c r="V45" s="14">
        <v>600</v>
      </c>
      <c r="W45" s="14">
        <v>600</v>
      </c>
      <c r="X45" s="14">
        <v>600</v>
      </c>
      <c r="Y45" s="14">
        <v>600</v>
      </c>
      <c r="Z45" s="14">
        <v>600</v>
      </c>
      <c r="AA45" s="14">
        <v>600</v>
      </c>
      <c r="AB45" s="14">
        <v>600</v>
      </c>
      <c r="AC45" s="14">
        <v>1000</v>
      </c>
      <c r="AD45" s="14">
        <v>1000</v>
      </c>
      <c r="AE45" s="14">
        <v>1000</v>
      </c>
      <c r="AF45" s="14">
        <v>1000</v>
      </c>
      <c r="AG45" s="14">
        <v>1000</v>
      </c>
      <c r="AH45" s="14">
        <v>1000</v>
      </c>
      <c r="AI45" s="14">
        <v>1000</v>
      </c>
      <c r="AJ45" s="14">
        <v>1000</v>
      </c>
      <c r="AK45" s="14">
        <v>1000</v>
      </c>
      <c r="AL45" s="14">
        <v>1000</v>
      </c>
      <c r="AM45" s="14">
        <v>1000</v>
      </c>
      <c r="AN45" s="14">
        <v>1000</v>
      </c>
      <c r="AO45" s="1" t="s">
        <v>82</v>
      </c>
      <c r="AP45" s="1" t="s">
        <v>307</v>
      </c>
      <c r="AQ45" s="57">
        <v>0.1</v>
      </c>
    </row>
    <row r="46" spans="1:43" ht="13" x14ac:dyDescent="0.3">
      <c r="A46" s="1" t="s">
        <v>319</v>
      </c>
      <c r="B46" s="16">
        <f t="shared" si="17"/>
        <v>765</v>
      </c>
      <c r="C46" s="16">
        <f t="shared" si="18"/>
        <v>2805</v>
      </c>
      <c r="D46" s="16">
        <f t="shared" si="19"/>
        <v>5610</v>
      </c>
      <c r="E46" s="15">
        <f>E11*$B$88*('Prix et marges'!$C$23+'Prix et marges'!$C$24)</f>
        <v>0</v>
      </c>
      <c r="F46" s="15">
        <f>F11*$B$88*('Prix et marges'!$C$23+'Prix et marges'!$C$24)</f>
        <v>0</v>
      </c>
      <c r="G46" s="15">
        <f>G11*$B$88*('Prix et marges'!$C$23+'Prix et marges'!$C$24)</f>
        <v>85</v>
      </c>
      <c r="H46" s="15">
        <f>H11*$B$88*('Prix et marges'!$C$23+'Prix et marges'!$C$24)</f>
        <v>85</v>
      </c>
      <c r="I46" s="15">
        <f>I11*$B$88*('Prix et marges'!$C$23+'Prix et marges'!$C$24)</f>
        <v>85</v>
      </c>
      <c r="J46" s="15">
        <f>J11*$B$88*('Prix et marges'!$C$23+'Prix et marges'!$C$24)</f>
        <v>85</v>
      </c>
      <c r="K46" s="15">
        <f>K11*$B$88*('Prix et marges'!$C$23+'Prix et marges'!$C$24)</f>
        <v>85</v>
      </c>
      <c r="L46" s="15">
        <f>L11*$B$88*('Prix et marges'!$C$23+'Prix et marges'!$C$24)</f>
        <v>85</v>
      </c>
      <c r="M46" s="15">
        <f>M11*$B$88*('Prix et marges'!$C$23+'Prix et marges'!$C$24)</f>
        <v>85</v>
      </c>
      <c r="N46" s="15">
        <f>N11*$B$88*('Prix et marges'!$C$23+'Prix et marges'!$C$24)</f>
        <v>0</v>
      </c>
      <c r="O46" s="15">
        <f>O11*$B$88*('Prix et marges'!$C$23+'Prix et marges'!$C$24)</f>
        <v>85</v>
      </c>
      <c r="P46" s="15">
        <f>P11*$B$88*('Prix et marges'!$C$23+'Prix et marges'!$C$24)</f>
        <v>85</v>
      </c>
      <c r="Q46" s="15">
        <f>Q11*$B$88*('Prix et marges'!$C$23+'Prix et marges'!$C$24)</f>
        <v>255</v>
      </c>
      <c r="R46" s="15">
        <f>R11*$B$88*('Prix et marges'!$C$23+'Prix et marges'!$C$24)</f>
        <v>255</v>
      </c>
      <c r="S46" s="15">
        <f>S11*$B$88*('Prix et marges'!$C$23+'Prix et marges'!$C$24)</f>
        <v>255</v>
      </c>
      <c r="T46" s="15">
        <f>T11*$B$88*('Prix et marges'!$C$23+'Prix et marges'!$C$24)</f>
        <v>255</v>
      </c>
      <c r="U46" s="15">
        <f>U11*$B$88*('Prix et marges'!$C$23+'Prix et marges'!$C$24)</f>
        <v>255</v>
      </c>
      <c r="V46" s="15">
        <f>V11*$B$88*('Prix et marges'!$C$23+'Prix et marges'!$C$24)</f>
        <v>255</v>
      </c>
      <c r="W46" s="15">
        <f>W11*$B$88*('Prix et marges'!$C$23+'Prix et marges'!$C$24)</f>
        <v>255</v>
      </c>
      <c r="X46" s="15">
        <f>X11*$B$88*('Prix et marges'!$C$23+'Prix et marges'!$C$24)</f>
        <v>255</v>
      </c>
      <c r="Y46" s="15">
        <f>Y11*$B$88*('Prix et marges'!$C$23+'Prix et marges'!$C$24)</f>
        <v>255</v>
      </c>
      <c r="Z46" s="15">
        <f>Z11*$B$88*('Prix et marges'!$C$23+'Prix et marges'!$C$24)</f>
        <v>0</v>
      </c>
      <c r="AA46" s="15">
        <f>AA11*$B$88*('Prix et marges'!$C$23+'Prix et marges'!$C$24)</f>
        <v>255</v>
      </c>
      <c r="AB46" s="15">
        <f>AB11*$B$88*('Prix et marges'!$C$23+'Prix et marges'!$C$24)</f>
        <v>255</v>
      </c>
      <c r="AC46" s="15">
        <f>AC11*$B$88*('Prix et marges'!$C$23+'Prix et marges'!$C$24)</f>
        <v>510</v>
      </c>
      <c r="AD46" s="15">
        <f>AD11*$B$88*('Prix et marges'!$C$23+'Prix et marges'!$C$24)</f>
        <v>510</v>
      </c>
      <c r="AE46" s="15">
        <f>AE11*$B$88*('Prix et marges'!$C$23+'Prix et marges'!$C$24)</f>
        <v>510</v>
      </c>
      <c r="AF46" s="15">
        <f>AF11*$B$88*('Prix et marges'!$C$23+'Prix et marges'!$C$24)</f>
        <v>510</v>
      </c>
      <c r="AG46" s="15">
        <f>AG11*$B$88*('Prix et marges'!$C$23+'Prix et marges'!$C$24)</f>
        <v>510</v>
      </c>
      <c r="AH46" s="15">
        <f>AH11*$B$88*('Prix et marges'!$C$23+'Prix et marges'!$C$24)</f>
        <v>510</v>
      </c>
      <c r="AI46" s="15">
        <f>AI11*$B$88*('Prix et marges'!$C$23+'Prix et marges'!$C$24)</f>
        <v>510</v>
      </c>
      <c r="AJ46" s="15">
        <f>AJ11*$B$88*('Prix et marges'!$C$23+'Prix et marges'!$C$24)</f>
        <v>510</v>
      </c>
      <c r="AK46" s="15">
        <f>AK11*$B$88*('Prix et marges'!$C$23+'Prix et marges'!$C$24)</f>
        <v>510</v>
      </c>
      <c r="AL46" s="15">
        <f>AL11*$B$88*('Prix et marges'!$C$23+'Prix et marges'!$C$24)</f>
        <v>0</v>
      </c>
      <c r="AM46" s="15">
        <f>AM11*$B$88*('Prix et marges'!$C$23+'Prix et marges'!$C$24)</f>
        <v>510</v>
      </c>
      <c r="AN46" s="15">
        <f>AN11*$B$88*('Prix et marges'!$C$23+'Prix et marges'!$C$24)</f>
        <v>510</v>
      </c>
      <c r="AO46" s="1" t="s">
        <v>82</v>
      </c>
      <c r="AP46" s="1" t="s">
        <v>320</v>
      </c>
      <c r="AQ46" s="57">
        <v>0.1</v>
      </c>
    </row>
    <row r="47" spans="1:43" ht="13" x14ac:dyDescent="0.3">
      <c r="A47" s="1" t="s">
        <v>308</v>
      </c>
      <c r="B47" s="16">
        <f t="shared" si="17"/>
        <v>2500</v>
      </c>
      <c r="C47" s="16">
        <f t="shared" si="18"/>
        <v>5000.0000000000045</v>
      </c>
      <c r="D47" s="16">
        <f t="shared" si="19"/>
        <v>8000.0000000000036</v>
      </c>
      <c r="E47" s="14">
        <v>0</v>
      </c>
      <c r="F47" s="14">
        <v>1500</v>
      </c>
      <c r="G47" s="14">
        <v>0</v>
      </c>
      <c r="H47" s="14">
        <v>0</v>
      </c>
      <c r="I47" s="14">
        <v>0</v>
      </c>
      <c r="J47" s="14">
        <v>1000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416.66666666666703</v>
      </c>
      <c r="R47" s="14">
        <v>416.66666666666703</v>
      </c>
      <c r="S47" s="14">
        <v>416.66666666666703</v>
      </c>
      <c r="T47" s="14">
        <v>416.66666666666703</v>
      </c>
      <c r="U47" s="14">
        <v>416.66666666666703</v>
      </c>
      <c r="V47" s="14">
        <v>416.66666666666703</v>
      </c>
      <c r="W47" s="14">
        <v>416.66666666666703</v>
      </c>
      <c r="X47" s="14">
        <v>416.66666666666703</v>
      </c>
      <c r="Y47" s="14">
        <v>416.66666666666703</v>
      </c>
      <c r="Z47" s="14">
        <v>416.66666666666703</v>
      </c>
      <c r="AA47" s="14">
        <v>416.66666666666703</v>
      </c>
      <c r="AB47" s="14">
        <v>416.66666666666703</v>
      </c>
      <c r="AC47" s="14">
        <v>666.66666666666697</v>
      </c>
      <c r="AD47" s="14">
        <v>666.66666666666697</v>
      </c>
      <c r="AE47" s="14">
        <v>666.66666666666697</v>
      </c>
      <c r="AF47" s="14">
        <v>666.66666666666697</v>
      </c>
      <c r="AG47" s="14">
        <v>666.66666666666697</v>
      </c>
      <c r="AH47" s="14">
        <v>666.66666666666697</v>
      </c>
      <c r="AI47" s="14">
        <v>666.66666666666697</v>
      </c>
      <c r="AJ47" s="14">
        <v>666.66666666666697</v>
      </c>
      <c r="AK47" s="14">
        <v>666.66666666666697</v>
      </c>
      <c r="AL47" s="14">
        <v>666.66666666666697</v>
      </c>
      <c r="AM47" s="14">
        <v>666.66666666666697</v>
      </c>
      <c r="AN47" s="14">
        <v>666.66666666666697</v>
      </c>
      <c r="AO47" s="1" t="s">
        <v>82</v>
      </c>
      <c r="AP47" s="1" t="s">
        <v>309</v>
      </c>
      <c r="AQ47" s="57">
        <v>0.2</v>
      </c>
    </row>
    <row r="48" spans="1:43" ht="13" x14ac:dyDescent="0.3">
      <c r="A48" s="1" t="s">
        <v>321</v>
      </c>
      <c r="B48" s="16">
        <f t="shared" si="17"/>
        <v>4392.8571428571422</v>
      </c>
      <c r="C48" s="16">
        <f t="shared" si="18"/>
        <v>41375</v>
      </c>
      <c r="D48" s="16">
        <f t="shared" si="19"/>
        <v>82750</v>
      </c>
      <c r="E48" s="15">
        <f t="shared" ref="E48:AN48" si="22">$B$89*E26</f>
        <v>0</v>
      </c>
      <c r="F48" s="15">
        <f t="shared" si="22"/>
        <v>0</v>
      </c>
      <c r="G48" s="15">
        <f t="shared" si="22"/>
        <v>207.14285714285711</v>
      </c>
      <c r="H48" s="15">
        <f t="shared" si="22"/>
        <v>369.64285714285711</v>
      </c>
      <c r="I48" s="15">
        <f t="shared" si="22"/>
        <v>262.49999999999994</v>
      </c>
      <c r="J48" s="15">
        <f t="shared" si="22"/>
        <v>474.99999999999994</v>
      </c>
      <c r="K48" s="15">
        <f t="shared" si="22"/>
        <v>637.49999999999989</v>
      </c>
      <c r="L48" s="15">
        <f t="shared" si="22"/>
        <v>530.35714285714278</v>
      </c>
      <c r="M48" s="15">
        <f t="shared" si="22"/>
        <v>207.14285714285711</v>
      </c>
      <c r="N48" s="15">
        <f t="shared" si="22"/>
        <v>0</v>
      </c>
      <c r="O48" s="15">
        <f t="shared" si="22"/>
        <v>905.35714285714278</v>
      </c>
      <c r="P48" s="15">
        <f t="shared" si="22"/>
        <v>798.21428571428567</v>
      </c>
      <c r="Q48" s="15">
        <f t="shared" si="22"/>
        <v>3517.8571428571427</v>
      </c>
      <c r="R48" s="15">
        <f t="shared" si="22"/>
        <v>3517.8571428571427</v>
      </c>
      <c r="S48" s="15">
        <f t="shared" si="22"/>
        <v>3517.8571428571427</v>
      </c>
      <c r="T48" s="15">
        <f t="shared" si="22"/>
        <v>3517.8571428571427</v>
      </c>
      <c r="U48" s="15">
        <f t="shared" si="22"/>
        <v>3517.8571428571427</v>
      </c>
      <c r="V48" s="15">
        <f t="shared" si="22"/>
        <v>3517.8571428571427</v>
      </c>
      <c r="W48" s="15">
        <f t="shared" si="22"/>
        <v>3517.8571428571427</v>
      </c>
      <c r="X48" s="15">
        <f t="shared" si="22"/>
        <v>3517.8571428571427</v>
      </c>
      <c r="Y48" s="15">
        <f t="shared" si="22"/>
        <v>3517.8571428571427</v>
      </c>
      <c r="Z48" s="15">
        <f t="shared" si="22"/>
        <v>2678.5714285714284</v>
      </c>
      <c r="AA48" s="15">
        <f t="shared" si="22"/>
        <v>3517.8571428571427</v>
      </c>
      <c r="AB48" s="15">
        <f t="shared" si="22"/>
        <v>3517.8571428571427</v>
      </c>
      <c r="AC48" s="15">
        <f t="shared" si="22"/>
        <v>7035.7142857142853</v>
      </c>
      <c r="AD48" s="15">
        <f t="shared" si="22"/>
        <v>7035.7142857142853</v>
      </c>
      <c r="AE48" s="15">
        <f t="shared" si="22"/>
        <v>7035.7142857142853</v>
      </c>
      <c r="AF48" s="15">
        <f t="shared" si="22"/>
        <v>7035.7142857142853</v>
      </c>
      <c r="AG48" s="15">
        <f t="shared" si="22"/>
        <v>7035.7142857142853</v>
      </c>
      <c r="AH48" s="15">
        <f t="shared" si="22"/>
        <v>7035.7142857142853</v>
      </c>
      <c r="AI48" s="15">
        <f t="shared" si="22"/>
        <v>7035.7142857142853</v>
      </c>
      <c r="AJ48" s="15">
        <f t="shared" si="22"/>
        <v>7035.7142857142853</v>
      </c>
      <c r="AK48" s="15">
        <f t="shared" si="22"/>
        <v>7035.7142857142853</v>
      </c>
      <c r="AL48" s="15">
        <f t="shared" si="22"/>
        <v>5357.1428571428569</v>
      </c>
      <c r="AM48" s="15">
        <f t="shared" si="22"/>
        <v>7035.7142857142853</v>
      </c>
      <c r="AN48" s="15">
        <f t="shared" si="22"/>
        <v>7035.7142857142853</v>
      </c>
      <c r="AO48" s="1" t="s">
        <v>82</v>
      </c>
      <c r="AP48" s="1" t="s">
        <v>322</v>
      </c>
      <c r="AQ48" s="57">
        <f>TVA!$C$33</f>
        <v>0</v>
      </c>
    </row>
    <row r="49" spans="1:43" ht="13" x14ac:dyDescent="0.3">
      <c r="A49" s="1" t="s">
        <v>111</v>
      </c>
      <c r="B49" s="16">
        <f t="shared" si="17"/>
        <v>2700</v>
      </c>
      <c r="C49" s="16">
        <f t="shared" si="18"/>
        <v>3999.9999999999959</v>
      </c>
      <c r="D49" s="16">
        <f t="shared" si="19"/>
        <v>6000</v>
      </c>
      <c r="E49" s="14">
        <v>1600</v>
      </c>
      <c r="F49" s="14">
        <v>100</v>
      </c>
      <c r="G49" s="14">
        <v>100</v>
      </c>
      <c r="H49" s="14">
        <v>100</v>
      </c>
      <c r="I49" s="14">
        <v>100</v>
      </c>
      <c r="J49" s="14">
        <v>100</v>
      </c>
      <c r="K49" s="14">
        <v>100</v>
      </c>
      <c r="L49" s="14">
        <v>100</v>
      </c>
      <c r="M49" s="14">
        <v>100</v>
      </c>
      <c r="N49" s="14">
        <v>100</v>
      </c>
      <c r="O49" s="14">
        <v>100</v>
      </c>
      <c r="P49" s="14">
        <v>100</v>
      </c>
      <c r="Q49" s="14">
        <v>333.33333333333297</v>
      </c>
      <c r="R49" s="14">
        <v>333.33333333333297</v>
      </c>
      <c r="S49" s="14">
        <v>333.33333333333297</v>
      </c>
      <c r="T49" s="14">
        <v>333.33333333333297</v>
      </c>
      <c r="U49" s="14">
        <v>333.33333333333297</v>
      </c>
      <c r="V49" s="14">
        <v>333.33333333333297</v>
      </c>
      <c r="W49" s="14">
        <v>333.33333333333297</v>
      </c>
      <c r="X49" s="14">
        <v>333.33333333333297</v>
      </c>
      <c r="Y49" s="14">
        <v>333.33333333333297</v>
      </c>
      <c r="Z49" s="14">
        <v>333.33333333333297</v>
      </c>
      <c r="AA49" s="14">
        <v>333.33333333333297</v>
      </c>
      <c r="AB49" s="14">
        <v>333.33333333333297</v>
      </c>
      <c r="AC49" s="14">
        <v>500</v>
      </c>
      <c r="AD49" s="14">
        <v>500</v>
      </c>
      <c r="AE49" s="14">
        <v>500</v>
      </c>
      <c r="AF49" s="14">
        <v>500</v>
      </c>
      <c r="AG49" s="14">
        <v>500</v>
      </c>
      <c r="AH49" s="14">
        <v>500</v>
      </c>
      <c r="AI49" s="14">
        <v>500</v>
      </c>
      <c r="AJ49" s="14">
        <v>500</v>
      </c>
      <c r="AK49" s="14">
        <v>500</v>
      </c>
      <c r="AL49" s="14">
        <v>500</v>
      </c>
      <c r="AM49" s="14">
        <v>500</v>
      </c>
      <c r="AN49" s="14">
        <v>500</v>
      </c>
      <c r="AO49" s="1" t="s">
        <v>82</v>
      </c>
      <c r="AP49" s="1" t="s">
        <v>310</v>
      </c>
      <c r="AQ49" s="57">
        <f>TVA!$C$34</f>
        <v>0.2</v>
      </c>
    </row>
    <row r="50" spans="1:43" ht="13" x14ac:dyDescent="0.3">
      <c r="A50" s="1" t="s">
        <v>112</v>
      </c>
      <c r="B50" s="16">
        <f t="shared" si="17"/>
        <v>360</v>
      </c>
      <c r="C50" s="16">
        <f t="shared" si="18"/>
        <v>600</v>
      </c>
      <c r="D50" s="16">
        <f t="shared" si="19"/>
        <v>999.99999999999943</v>
      </c>
      <c r="E50" s="14">
        <v>30</v>
      </c>
      <c r="F50" s="14">
        <v>30</v>
      </c>
      <c r="G50" s="14">
        <v>30</v>
      </c>
      <c r="H50" s="14">
        <v>30</v>
      </c>
      <c r="I50" s="14">
        <v>30</v>
      </c>
      <c r="J50" s="14">
        <v>30</v>
      </c>
      <c r="K50" s="14">
        <v>30</v>
      </c>
      <c r="L50" s="14">
        <v>30</v>
      </c>
      <c r="M50" s="14">
        <v>30</v>
      </c>
      <c r="N50" s="14">
        <v>30</v>
      </c>
      <c r="O50" s="14">
        <v>30</v>
      </c>
      <c r="P50" s="14">
        <v>30</v>
      </c>
      <c r="Q50" s="14">
        <v>50</v>
      </c>
      <c r="R50" s="14">
        <v>50</v>
      </c>
      <c r="S50" s="14">
        <v>50</v>
      </c>
      <c r="T50" s="14">
        <v>50</v>
      </c>
      <c r="U50" s="14">
        <v>50</v>
      </c>
      <c r="V50" s="14">
        <v>50</v>
      </c>
      <c r="W50" s="14">
        <v>50</v>
      </c>
      <c r="X50" s="14">
        <v>50</v>
      </c>
      <c r="Y50" s="14">
        <v>50</v>
      </c>
      <c r="Z50" s="14">
        <v>50</v>
      </c>
      <c r="AA50" s="14">
        <v>50</v>
      </c>
      <c r="AB50" s="14">
        <v>50</v>
      </c>
      <c r="AC50" s="14">
        <v>83.3333333333333</v>
      </c>
      <c r="AD50" s="14">
        <v>83.3333333333333</v>
      </c>
      <c r="AE50" s="14">
        <v>83.3333333333333</v>
      </c>
      <c r="AF50" s="14">
        <v>83.3333333333333</v>
      </c>
      <c r="AG50" s="14">
        <v>83.3333333333333</v>
      </c>
      <c r="AH50" s="14">
        <v>83.3333333333333</v>
      </c>
      <c r="AI50" s="14">
        <v>83.3333333333333</v>
      </c>
      <c r="AJ50" s="14">
        <v>83.3333333333333</v>
      </c>
      <c r="AK50" s="14">
        <v>83.3333333333333</v>
      </c>
      <c r="AL50" s="14">
        <v>83.3333333333333</v>
      </c>
      <c r="AM50" s="14">
        <v>83.3333333333333</v>
      </c>
      <c r="AN50" s="14">
        <v>83.3333333333333</v>
      </c>
      <c r="AO50" s="1" t="s">
        <v>82</v>
      </c>
      <c r="AP50" s="1" t="s">
        <v>311</v>
      </c>
      <c r="AQ50" s="57">
        <f>TVA!$C$35</f>
        <v>0</v>
      </c>
    </row>
    <row r="51" spans="1:43" ht="13" x14ac:dyDescent="0.3">
      <c r="A51" s="1" t="s">
        <v>312</v>
      </c>
      <c r="B51" s="16">
        <f t="shared" si="17"/>
        <v>600</v>
      </c>
      <c r="C51" s="16">
        <f t="shared" si="18"/>
        <v>2000.0000000000039</v>
      </c>
      <c r="D51" s="16">
        <f t="shared" si="19"/>
        <v>3999.9999999999959</v>
      </c>
      <c r="E51" s="14">
        <v>50</v>
      </c>
      <c r="F51" s="14">
        <v>50</v>
      </c>
      <c r="G51" s="14">
        <v>50</v>
      </c>
      <c r="H51" s="14">
        <v>50</v>
      </c>
      <c r="I51" s="14">
        <v>50</v>
      </c>
      <c r="J51" s="14">
        <v>50</v>
      </c>
      <c r="K51" s="14">
        <v>50</v>
      </c>
      <c r="L51" s="14">
        <v>50</v>
      </c>
      <c r="M51" s="14">
        <v>50</v>
      </c>
      <c r="N51" s="14">
        <v>50</v>
      </c>
      <c r="O51" s="14">
        <v>50</v>
      </c>
      <c r="P51" s="14">
        <v>50</v>
      </c>
      <c r="Q51" s="14">
        <v>166.666666666667</v>
      </c>
      <c r="R51" s="14">
        <v>166.666666666667</v>
      </c>
      <c r="S51" s="14">
        <v>166.666666666667</v>
      </c>
      <c r="T51" s="14">
        <v>166.666666666667</v>
      </c>
      <c r="U51" s="14">
        <v>166.666666666667</v>
      </c>
      <c r="V51" s="14">
        <v>166.666666666667</v>
      </c>
      <c r="W51" s="14">
        <v>166.666666666667</v>
      </c>
      <c r="X51" s="14">
        <v>166.666666666667</v>
      </c>
      <c r="Y51" s="14">
        <v>166.666666666667</v>
      </c>
      <c r="Z51" s="14">
        <v>166.666666666667</v>
      </c>
      <c r="AA51" s="14">
        <v>166.666666666667</v>
      </c>
      <c r="AB51" s="14">
        <v>166.666666666667</v>
      </c>
      <c r="AC51" s="14">
        <v>333.33333333333297</v>
      </c>
      <c r="AD51" s="14">
        <v>333.33333333333297</v>
      </c>
      <c r="AE51" s="14">
        <v>333.33333333333297</v>
      </c>
      <c r="AF51" s="14">
        <v>333.33333333333297</v>
      </c>
      <c r="AG51" s="14">
        <v>333.33333333333297</v>
      </c>
      <c r="AH51" s="14">
        <v>333.33333333333297</v>
      </c>
      <c r="AI51" s="14">
        <v>333.33333333333297</v>
      </c>
      <c r="AJ51" s="14">
        <v>333.33333333333297</v>
      </c>
      <c r="AK51" s="14">
        <v>333.33333333333297</v>
      </c>
      <c r="AL51" s="14">
        <v>333.33333333333297</v>
      </c>
      <c r="AM51" s="14">
        <v>333.33333333333297</v>
      </c>
      <c r="AN51" s="14">
        <v>333.33333333333297</v>
      </c>
      <c r="AO51" s="1" t="s">
        <v>82</v>
      </c>
      <c r="AP51" s="1" t="s">
        <v>313</v>
      </c>
      <c r="AQ51" s="57">
        <f>TVA!$C$36</f>
        <v>0.1</v>
      </c>
    </row>
    <row r="52" spans="1:43" ht="13" x14ac:dyDescent="0.3">
      <c r="A52" s="1" t="s">
        <v>314</v>
      </c>
      <c r="B52" s="16">
        <f t="shared" si="17"/>
        <v>30000</v>
      </c>
      <c r="C52" s="16">
        <f t="shared" si="18"/>
        <v>45000</v>
      </c>
      <c r="D52" s="16">
        <f t="shared" si="19"/>
        <v>0</v>
      </c>
      <c r="E52" s="14" cm="1">
        <f t="array" ref="E52">SUMPRODUCT(($C$97:$C$101&gt;E$5)*($C$97:$C$101&lt;=EDATE(E$5,3))*(($B$97:$B$101="France")*$B$86+($B$97:$B$101&lt;&gt;"France")*$B$87))/3</f>
        <v>0</v>
      </c>
      <c r="F52" s="14" cm="1">
        <f t="array" ref="F52">SUMPRODUCT(($C$97:$C$101&gt;F$5)*($C$97:$C$101&lt;=EDATE(F$5,3))*(($B$97:$B$101="France")*$B$86+($B$97:$B$101&lt;&gt;"France")*$B$87))/3</f>
        <v>0</v>
      </c>
      <c r="G52" s="14" cm="1">
        <f t="array" ref="G52">SUMPRODUCT(($C$97:$C$101&gt;G$5)*($C$97:$C$101&lt;=EDATE(G$5,3))*(($B$97:$B$101="France")*$B$86+($B$97:$B$101&lt;&gt;"France")*$B$87))/3</f>
        <v>0</v>
      </c>
      <c r="H52" s="14" cm="1">
        <f t="array" ref="H52">SUMPRODUCT(($C$97:$C$101&gt;H$5)*($C$97:$C$101&lt;=EDATE(H$5,3))*(($B$97:$B$101="France")*$B$86+($B$97:$B$101&lt;&gt;"France")*$B$87))/3</f>
        <v>0</v>
      </c>
      <c r="I52" s="14" cm="1">
        <f t="array" ref="I52">SUMPRODUCT(($C$97:$C$101&gt;I$5)*($C$97:$C$101&lt;=EDATE(I$5,3))*(($B$97:$B$101="France")*$B$86+($B$97:$B$101&lt;&gt;"France")*$B$87))/3</f>
        <v>0</v>
      </c>
      <c r="J52" s="14" cm="1">
        <f t="array" ref="J52">SUMPRODUCT(($C$97:$C$101&gt;J$5)*($C$97:$C$101&lt;=EDATE(J$5,3))*(($B$97:$B$101="France")*$B$86+($B$97:$B$101&lt;&gt;"France")*$B$87))/3</f>
        <v>0</v>
      </c>
      <c r="K52" s="14" cm="1">
        <f t="array" ref="K52">SUMPRODUCT(($C$97:$C$101&gt;K$5)*($C$97:$C$101&lt;=EDATE(K$5,3))*(($B$97:$B$101="France")*$B$86+($B$97:$B$101&lt;&gt;"France")*$B$87))/3</f>
        <v>0</v>
      </c>
      <c r="L52" s="14" cm="1">
        <f t="array" ref="L52">SUMPRODUCT(($C$97:$C$101&gt;L$5)*($C$97:$C$101&lt;=EDATE(L$5,3))*(($B$97:$B$101="France")*$B$86+($B$97:$B$101&lt;&gt;"France")*$B$87))/3</f>
        <v>0</v>
      </c>
      <c r="M52" s="14" cm="1">
        <f t="array" ref="M52">SUMPRODUCT(($C$97:$C$101&gt;M$5)*($C$97:$C$101&lt;=EDATE(M$5,3))*(($B$97:$B$101="France")*$B$86+($B$97:$B$101&lt;&gt;"France")*$B$87))/3</f>
        <v>0</v>
      </c>
      <c r="N52" s="14" cm="1">
        <f t="array" ref="N52">SUMPRODUCT(($C$97:$C$101&gt;N$5)*($C$97:$C$101&lt;=EDATE(N$5,3))*(($B$97:$B$101="France")*$B$86+($B$97:$B$101&lt;&gt;"France")*$B$87))/3</f>
        <v>10000</v>
      </c>
      <c r="O52" s="14" cm="1">
        <f t="array" ref="O52">SUMPRODUCT(($C$97:$C$101&gt;O$5)*($C$97:$C$101&lt;=EDATE(O$5,3))*(($B$97:$B$101="France")*$B$86+($B$97:$B$101&lt;&gt;"France")*$B$87))/3</f>
        <v>10000</v>
      </c>
      <c r="P52" s="14" cm="1">
        <f t="array" ref="P52">SUMPRODUCT(($C$97:$C$101&gt;P$5)*($C$97:$C$101&lt;=EDATE(P$5,3))*(($B$97:$B$101="France")*$B$86+($B$97:$B$101&lt;&gt;"France")*$B$87))/3</f>
        <v>10000</v>
      </c>
      <c r="Q52" s="14" cm="1">
        <f t="array" ref="Q52">SUMPRODUCT(($C$97:$C$101&gt;Q$5)*($C$97:$C$101&lt;=EDATE(Q$5,3))*(($B$97:$B$101="France")*$B$86+($B$97:$B$101&lt;&gt;"France")*$B$87))/3</f>
        <v>0</v>
      </c>
      <c r="R52" s="14" cm="1">
        <f t="array" ref="R52">SUMPRODUCT(($C$97:$C$101&gt;R$5)*($C$97:$C$101&lt;=EDATE(R$5,3))*(($B$97:$B$101="France")*$B$86+($B$97:$B$101&lt;&gt;"France")*$B$87))/3</f>
        <v>0</v>
      </c>
      <c r="S52" s="14" cm="1">
        <f t="array" ref="S52">SUMPRODUCT(($C$97:$C$101&gt;S$5)*($C$97:$C$101&lt;=EDATE(S$5,3))*(($B$97:$B$101="France")*$B$86+($B$97:$B$101&lt;&gt;"France")*$B$87))/3</f>
        <v>0</v>
      </c>
      <c r="T52" s="14" cm="1">
        <f t="array" ref="T52">SUMPRODUCT(($C$97:$C$101&gt;T$5)*($C$97:$C$101&lt;=EDATE(T$5,3))*(($B$97:$B$101="France")*$B$86+($B$97:$B$101&lt;&gt;"France")*$B$87))/3</f>
        <v>0</v>
      </c>
      <c r="U52" s="14" cm="1">
        <f t="array" ref="U52">SUMPRODUCT(($C$97:$C$101&gt;U$5)*($C$97:$C$101&lt;=EDATE(U$5,3))*(($B$97:$B$101="France")*$B$86+($B$97:$B$101&lt;&gt;"France")*$B$87))/3</f>
        <v>0</v>
      </c>
      <c r="V52" s="14" cm="1">
        <f t="array" ref="V52">SUMPRODUCT(($C$97:$C$101&gt;V$5)*($C$97:$C$101&lt;=EDATE(V$5,3))*(($B$97:$B$101="France")*$B$86+($B$97:$B$101&lt;&gt;"France")*$B$87))/3</f>
        <v>0</v>
      </c>
      <c r="W52" s="14" cm="1">
        <f t="array" ref="W52">SUMPRODUCT(($C$97:$C$101&gt;W$5)*($C$97:$C$101&lt;=EDATE(W$5,3))*(($B$97:$B$101="France")*$B$86+($B$97:$B$101&lt;&gt;"France")*$B$87))/3</f>
        <v>0</v>
      </c>
      <c r="X52" s="14" cm="1">
        <f t="array" ref="X52">SUMPRODUCT(($C$97:$C$101&gt;X$5)*($C$97:$C$101&lt;=EDATE(X$5,3))*(($B$97:$B$101="France")*$B$86+($B$97:$B$101&lt;&gt;"France")*$B$87))/3</f>
        <v>0</v>
      </c>
      <c r="Y52" s="14" cm="1">
        <f t="array" ref="Y52">SUMPRODUCT(($C$97:$C$101&gt;Y$5)*($C$97:$C$101&lt;=EDATE(Y$5,3))*(($B$97:$B$101="France")*$B$86+($B$97:$B$101&lt;&gt;"France")*$B$87))/3</f>
        <v>0</v>
      </c>
      <c r="Z52" s="14" cm="1">
        <f t="array" ref="Z52">SUMPRODUCT(($C$97:$C$101&gt;Z$5)*($C$97:$C$101&lt;=EDATE(Z$5,3))*(($B$97:$B$101="France")*$B$86+($B$97:$B$101&lt;&gt;"France")*$B$87))/3</f>
        <v>15000</v>
      </c>
      <c r="AA52" s="14" cm="1">
        <f t="array" ref="AA52">SUMPRODUCT(($C$97:$C$101&gt;AA$5)*($C$97:$C$101&lt;=EDATE(AA$5,3))*(($B$97:$B$101="France")*$B$86+($B$97:$B$101&lt;&gt;"France")*$B$87))/3</f>
        <v>15000</v>
      </c>
      <c r="AB52" s="14" cm="1">
        <f t="array" ref="AB52">SUMPRODUCT(($C$97:$C$101&gt;AB$5)*($C$97:$C$101&lt;=EDATE(AB$5,3))*(($B$97:$B$101="France")*$B$86+($B$97:$B$101&lt;&gt;"France")*$B$87))/3</f>
        <v>15000</v>
      </c>
      <c r="AC52" s="14" cm="1">
        <f t="array" ref="AC52">SUMPRODUCT(($C$97:$C$101&gt;AC$5)*($C$97:$C$101&lt;=EDATE(AC$5,3))*(($B$97:$B$101="France")*$B$86+($B$97:$B$101&lt;&gt;"France")*$B$87))/3</f>
        <v>0</v>
      </c>
      <c r="AD52" s="14" cm="1">
        <f t="array" ref="AD52">SUMPRODUCT(($C$97:$C$101&gt;AD$5)*($C$97:$C$101&lt;=EDATE(AD$5,3))*(($B$97:$B$101="France")*$B$86+($B$97:$B$101&lt;&gt;"France")*$B$87))/3</f>
        <v>0</v>
      </c>
      <c r="AE52" s="14" cm="1">
        <f t="array" ref="AE52">SUMPRODUCT(($C$97:$C$101&gt;AE$5)*($C$97:$C$101&lt;=EDATE(AE$5,3))*(($B$97:$B$101="France")*$B$86+($B$97:$B$101&lt;&gt;"France")*$B$87))/3</f>
        <v>0</v>
      </c>
      <c r="AF52" s="14" cm="1">
        <f t="array" ref="AF52">SUMPRODUCT(($C$97:$C$101&gt;AF$5)*($C$97:$C$101&lt;=EDATE(AF$5,3))*(($B$97:$B$101="France")*$B$86+($B$97:$B$101&lt;&gt;"France")*$B$87))/3</f>
        <v>0</v>
      </c>
      <c r="AG52" s="14" cm="1">
        <f t="array" ref="AG52">SUMPRODUCT(($C$97:$C$101&gt;AG$5)*($C$97:$C$101&lt;=EDATE(AG$5,3))*(($B$97:$B$101="France")*$B$86+($B$97:$B$101&lt;&gt;"France")*$B$87))/3</f>
        <v>0</v>
      </c>
      <c r="AH52" s="14" cm="1">
        <f t="array" ref="AH52">SUMPRODUCT(($C$97:$C$101&gt;AH$5)*($C$97:$C$101&lt;=EDATE(AH$5,3))*(($B$97:$B$101="France")*$B$86+($B$97:$B$101&lt;&gt;"France")*$B$87))/3</f>
        <v>0</v>
      </c>
      <c r="AI52" s="14" cm="1">
        <f t="array" ref="AI52">SUMPRODUCT(($C$97:$C$101&gt;AI$5)*($C$97:$C$101&lt;=EDATE(AI$5,3))*(($B$97:$B$101="France")*$B$86+($B$97:$B$101&lt;&gt;"France")*$B$87))/3</f>
        <v>0</v>
      </c>
      <c r="AJ52" s="14" cm="1">
        <f t="array" ref="AJ52">SUMPRODUCT(($C$97:$C$101&gt;AJ$5)*($C$97:$C$101&lt;=EDATE(AJ$5,3))*(($B$97:$B$101="France")*$B$86+($B$97:$B$101&lt;&gt;"France")*$B$87))/3</f>
        <v>0</v>
      </c>
      <c r="AK52" s="14" cm="1">
        <f t="array" ref="AK52">SUMPRODUCT(($C$97:$C$101&gt;AK$5)*($C$97:$C$101&lt;=EDATE(AK$5,3))*(($B$97:$B$101="France")*$B$86+($B$97:$B$101&lt;&gt;"France")*$B$87))/3</f>
        <v>0</v>
      </c>
      <c r="AL52" s="14" cm="1">
        <f t="array" ref="AL52">SUMPRODUCT(($C$97:$C$101&gt;AL$5)*($C$97:$C$101&lt;=EDATE(AL$5,3))*(($B$97:$B$101="France")*$B$86+($B$97:$B$101&lt;&gt;"France")*$B$87))/3</f>
        <v>0</v>
      </c>
      <c r="AM52" s="14" cm="1">
        <f t="array" ref="AM52">SUMPRODUCT(($C$97:$C$101&gt;AM$5)*($C$97:$C$101&lt;=EDATE(AM$5,3))*(($B$97:$B$101="France")*$B$86+($B$97:$B$101&lt;&gt;"France")*$B$87))/3</f>
        <v>0</v>
      </c>
      <c r="AN52" s="14" cm="1">
        <f t="array" ref="AN52">SUMPRODUCT(($C$97:$C$101&gt;AN$5)*($C$97:$C$101&lt;=EDATE(AN$5,3))*(($B$97:$B$101="France")*$B$86+($B$97:$B$101&lt;&gt;"France")*$B$87))/3</f>
        <v>0</v>
      </c>
      <c r="AO52" s="1" t="s">
        <v>117</v>
      </c>
      <c r="AP52" s="1" t="s">
        <v>437</v>
      </c>
      <c r="AQ52" s="57">
        <v>0.1</v>
      </c>
    </row>
    <row r="53" spans="1:43" ht="13" x14ac:dyDescent="0.3">
      <c r="A53" s="1" t="s">
        <v>315</v>
      </c>
      <c r="B53" s="16">
        <f t="shared" si="17"/>
        <v>1000</v>
      </c>
      <c r="C53" s="16">
        <f t="shared" si="18"/>
        <v>0</v>
      </c>
      <c r="D53" s="16">
        <f t="shared" si="19"/>
        <v>0</v>
      </c>
      <c r="E53" s="14">
        <v>0</v>
      </c>
      <c r="F53" s="14">
        <v>1000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" t="s">
        <v>82</v>
      </c>
      <c r="AP53" s="1" t="s">
        <v>316</v>
      </c>
      <c r="AQ53" s="57">
        <v>0</v>
      </c>
    </row>
    <row r="54" spans="1:43" ht="13" x14ac:dyDescent="0.3">
      <c r="A54" s="1" t="s">
        <v>202</v>
      </c>
      <c r="B54" s="16">
        <f t="shared" si="17"/>
        <v>0</v>
      </c>
      <c r="C54" s="16">
        <f t="shared" si="18"/>
        <v>300</v>
      </c>
      <c r="D54" s="16">
        <f t="shared" si="19"/>
        <v>600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300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600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" t="s">
        <v>82</v>
      </c>
      <c r="AP54" s="1" t="s">
        <v>317</v>
      </c>
      <c r="AQ54" s="57">
        <v>0</v>
      </c>
    </row>
    <row r="55" spans="1:43" ht="13" x14ac:dyDescent="0.3">
      <c r="A55" s="1" t="s">
        <v>114</v>
      </c>
      <c r="B55" s="16">
        <f t="shared" si="17"/>
        <v>252</v>
      </c>
      <c r="C55" s="16">
        <f t="shared" si="18"/>
        <v>0</v>
      </c>
      <c r="D55" s="16">
        <f t="shared" si="19"/>
        <v>999.99999999999943</v>
      </c>
      <c r="E55" s="14">
        <v>252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83.3333333333333</v>
      </c>
      <c r="AD55" s="14">
        <v>83.3333333333333</v>
      </c>
      <c r="AE55" s="14">
        <v>83.3333333333333</v>
      </c>
      <c r="AF55" s="14">
        <v>83.3333333333333</v>
      </c>
      <c r="AG55" s="14">
        <v>83.3333333333333</v>
      </c>
      <c r="AH55" s="14">
        <v>83.3333333333333</v>
      </c>
      <c r="AI55" s="14">
        <v>83.3333333333333</v>
      </c>
      <c r="AJ55" s="14">
        <v>83.3333333333333</v>
      </c>
      <c r="AK55" s="14">
        <v>83.3333333333333</v>
      </c>
      <c r="AL55" s="14">
        <v>83.3333333333333</v>
      </c>
      <c r="AM55" s="14">
        <v>83.3333333333333</v>
      </c>
      <c r="AN55" s="14">
        <v>83.3333333333333</v>
      </c>
      <c r="AO55" s="1" t="s">
        <v>82</v>
      </c>
      <c r="AP55" s="1" t="s">
        <v>318</v>
      </c>
      <c r="AQ55" s="57">
        <f>TVA!$C$37</f>
        <v>0</v>
      </c>
    </row>
    <row r="56" spans="1:43" ht="13" x14ac:dyDescent="0.3">
      <c r="A56" s="2" t="s">
        <v>323</v>
      </c>
      <c r="B56" s="16">
        <f t="shared" si="17"/>
        <v>93529.857142857145</v>
      </c>
      <c r="C56" s="16">
        <f t="shared" si="18"/>
        <v>139240</v>
      </c>
      <c r="D56" s="16">
        <f t="shared" si="19"/>
        <v>218519.99999999997</v>
      </c>
      <c r="E56" s="16">
        <f t="shared" ref="E56:AN56" si="23">SUM(E39:E55)</f>
        <v>2712</v>
      </c>
      <c r="F56" s="16">
        <f t="shared" si="23"/>
        <v>4660</v>
      </c>
      <c r="G56" s="16">
        <f t="shared" si="23"/>
        <v>2452.1428571428569</v>
      </c>
      <c r="H56" s="16">
        <f t="shared" si="23"/>
        <v>7614.6428571428569</v>
      </c>
      <c r="I56" s="16">
        <f t="shared" si="23"/>
        <v>34307.5</v>
      </c>
      <c r="J56" s="16">
        <f t="shared" si="23"/>
        <v>2520</v>
      </c>
      <c r="K56" s="16">
        <f t="shared" si="23"/>
        <v>1682.5</v>
      </c>
      <c r="L56" s="16">
        <f t="shared" si="23"/>
        <v>1575.3571428571427</v>
      </c>
      <c r="M56" s="16">
        <f t="shared" si="23"/>
        <v>1252.1428571428571</v>
      </c>
      <c r="N56" s="16">
        <f t="shared" si="23"/>
        <v>10960</v>
      </c>
      <c r="O56" s="16">
        <f t="shared" si="23"/>
        <v>11950.357142857143</v>
      </c>
      <c r="P56" s="16">
        <f t="shared" si="23"/>
        <v>11843.214285714286</v>
      </c>
      <c r="Q56" s="16">
        <f t="shared" si="23"/>
        <v>7919.5238095238092</v>
      </c>
      <c r="R56" s="16">
        <f t="shared" si="23"/>
        <v>8219.5238095238092</v>
      </c>
      <c r="S56" s="16">
        <f t="shared" si="23"/>
        <v>7919.5238095238092</v>
      </c>
      <c r="T56" s="16">
        <f t="shared" si="23"/>
        <v>7919.5238095238092</v>
      </c>
      <c r="U56" s="16">
        <f t="shared" si="23"/>
        <v>7919.5238095238092</v>
      </c>
      <c r="V56" s="16">
        <f t="shared" si="23"/>
        <v>7919.5238095238092</v>
      </c>
      <c r="W56" s="16">
        <f t="shared" si="23"/>
        <v>7919.5238095238092</v>
      </c>
      <c r="X56" s="16">
        <f t="shared" si="23"/>
        <v>7919.5238095238092</v>
      </c>
      <c r="Y56" s="16">
        <f t="shared" si="23"/>
        <v>7919.5238095238092</v>
      </c>
      <c r="Z56" s="16">
        <f t="shared" si="23"/>
        <v>21825.238095238095</v>
      </c>
      <c r="AA56" s="16">
        <f t="shared" si="23"/>
        <v>22919.523809523809</v>
      </c>
      <c r="AB56" s="16">
        <f t="shared" si="23"/>
        <v>22919.523809523809</v>
      </c>
      <c r="AC56" s="16">
        <f t="shared" si="23"/>
        <v>18342.38095238095</v>
      </c>
      <c r="AD56" s="16">
        <f t="shared" si="23"/>
        <v>18942.38095238095</v>
      </c>
      <c r="AE56" s="16">
        <f t="shared" si="23"/>
        <v>18342.38095238095</v>
      </c>
      <c r="AF56" s="16">
        <f t="shared" si="23"/>
        <v>18342.38095238095</v>
      </c>
      <c r="AG56" s="16">
        <f t="shared" si="23"/>
        <v>18342.38095238095</v>
      </c>
      <c r="AH56" s="16">
        <f t="shared" si="23"/>
        <v>18342.38095238095</v>
      </c>
      <c r="AI56" s="16">
        <f t="shared" si="23"/>
        <v>18342.38095238095</v>
      </c>
      <c r="AJ56" s="16">
        <f t="shared" si="23"/>
        <v>18342.38095238095</v>
      </c>
      <c r="AK56" s="16">
        <f t="shared" si="23"/>
        <v>18342.38095238095</v>
      </c>
      <c r="AL56" s="16">
        <f t="shared" si="23"/>
        <v>16153.809523809525</v>
      </c>
      <c r="AM56" s="16">
        <f t="shared" si="23"/>
        <v>18342.38095238095</v>
      </c>
      <c r="AN56" s="16">
        <f t="shared" si="23"/>
        <v>18342.38095238095</v>
      </c>
      <c r="AQ56" s="55"/>
    </row>
    <row r="57" spans="1:43" ht="13" x14ac:dyDescent="0.3">
      <c r="A57" s="2" t="s">
        <v>136</v>
      </c>
      <c r="B57" s="16">
        <f t="shared" si="17"/>
        <v>93529.857142857145</v>
      </c>
      <c r="C57" s="16">
        <f t="shared" si="18"/>
        <v>236698.44399999999</v>
      </c>
      <c r="D57" s="16">
        <f t="shared" si="19"/>
        <v>862356.88800000004</v>
      </c>
      <c r="E57" s="16">
        <f t="shared" ref="E57:AN57" si="24">E37+E56</f>
        <v>2712</v>
      </c>
      <c r="F57" s="16">
        <f t="shared" si="24"/>
        <v>4660</v>
      </c>
      <c r="G57" s="16">
        <f t="shared" si="24"/>
        <v>2452.1428571428569</v>
      </c>
      <c r="H57" s="16">
        <f t="shared" si="24"/>
        <v>7614.6428571428569</v>
      </c>
      <c r="I57" s="16">
        <f t="shared" si="24"/>
        <v>34307.5</v>
      </c>
      <c r="J57" s="16">
        <f t="shared" si="24"/>
        <v>2520</v>
      </c>
      <c r="K57" s="16">
        <f t="shared" si="24"/>
        <v>1682.5</v>
      </c>
      <c r="L57" s="16">
        <f t="shared" si="24"/>
        <v>1575.3571428571427</v>
      </c>
      <c r="M57" s="16">
        <f t="shared" si="24"/>
        <v>1252.1428571428571</v>
      </c>
      <c r="N57" s="16">
        <f t="shared" si="24"/>
        <v>10960</v>
      </c>
      <c r="O57" s="16">
        <f t="shared" si="24"/>
        <v>11950.357142857143</v>
      </c>
      <c r="P57" s="16">
        <f t="shared" si="24"/>
        <v>11843.214285714286</v>
      </c>
      <c r="Q57" s="16">
        <f t="shared" si="24"/>
        <v>16041.060809523809</v>
      </c>
      <c r="R57" s="16">
        <f t="shared" si="24"/>
        <v>16341.060809523809</v>
      </c>
      <c r="S57" s="16">
        <f t="shared" si="24"/>
        <v>16041.060809523809</v>
      </c>
      <c r="T57" s="16">
        <f t="shared" si="24"/>
        <v>16041.060809523809</v>
      </c>
      <c r="U57" s="16">
        <f t="shared" si="24"/>
        <v>16041.060809523809</v>
      </c>
      <c r="V57" s="16">
        <f t="shared" si="24"/>
        <v>16041.060809523809</v>
      </c>
      <c r="W57" s="16">
        <f t="shared" si="24"/>
        <v>16041.060809523809</v>
      </c>
      <c r="X57" s="16">
        <f t="shared" si="24"/>
        <v>16041.060809523809</v>
      </c>
      <c r="Y57" s="16">
        <f t="shared" si="24"/>
        <v>16041.060809523809</v>
      </c>
      <c r="Z57" s="16">
        <f t="shared" si="24"/>
        <v>29946.775095238096</v>
      </c>
      <c r="AA57" s="16">
        <f t="shared" si="24"/>
        <v>31041.060809523809</v>
      </c>
      <c r="AB57" s="16">
        <f t="shared" si="24"/>
        <v>31041.060809523809</v>
      </c>
      <c r="AC57" s="16">
        <f t="shared" si="24"/>
        <v>71995.454952380955</v>
      </c>
      <c r="AD57" s="16">
        <f t="shared" si="24"/>
        <v>72595.454952380955</v>
      </c>
      <c r="AE57" s="16">
        <f t="shared" si="24"/>
        <v>71995.454952380955</v>
      </c>
      <c r="AF57" s="16">
        <f t="shared" si="24"/>
        <v>71995.454952380955</v>
      </c>
      <c r="AG57" s="16">
        <f t="shared" si="24"/>
        <v>71995.454952380955</v>
      </c>
      <c r="AH57" s="16">
        <f t="shared" si="24"/>
        <v>71995.454952380955</v>
      </c>
      <c r="AI57" s="16">
        <f t="shared" si="24"/>
        <v>71995.454952380955</v>
      </c>
      <c r="AJ57" s="16">
        <f t="shared" si="24"/>
        <v>71995.454952380955</v>
      </c>
      <c r="AK57" s="16">
        <f t="shared" si="24"/>
        <v>71995.454952380955</v>
      </c>
      <c r="AL57" s="16">
        <f t="shared" si="24"/>
        <v>69806.88352380952</v>
      </c>
      <c r="AM57" s="16">
        <f t="shared" si="24"/>
        <v>71995.454952380955</v>
      </c>
      <c r="AN57" s="16">
        <f t="shared" si="24"/>
        <v>71995.454952380955</v>
      </c>
      <c r="AQ57" s="55"/>
    </row>
    <row r="58" spans="1:43" ht="13" x14ac:dyDescent="0.3">
      <c r="A58" s="10" t="s">
        <v>324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56"/>
    </row>
    <row r="59" spans="1:43" ht="13" x14ac:dyDescent="0.3">
      <c r="A59" s="2" t="s">
        <v>115</v>
      </c>
      <c r="B59" s="16">
        <f>SUM(E59:P59)</f>
        <v>-36232.357142857159</v>
      </c>
      <c r="C59" s="16">
        <f>SUM(Q59:AB59)</f>
        <v>387758.34171428578</v>
      </c>
      <c r="D59" s="16">
        <f>SUM(AC59:AN59)</f>
        <v>378856.68342857156</v>
      </c>
      <c r="E59" s="16">
        <f t="shared" ref="E59:AN59" si="25">E31-E57</f>
        <v>-2712</v>
      </c>
      <c r="F59" s="16">
        <f t="shared" si="25"/>
        <v>-4660</v>
      </c>
      <c r="G59" s="16">
        <f t="shared" si="25"/>
        <v>-364.28571428571558</v>
      </c>
      <c r="H59" s="16">
        <f t="shared" si="25"/>
        <v>-4003.7500000000018</v>
      </c>
      <c r="I59" s="16">
        <f t="shared" si="25"/>
        <v>-32093.75</v>
      </c>
      <c r="J59" s="16">
        <f t="shared" si="25"/>
        <v>4732.1428571428551</v>
      </c>
      <c r="K59" s="16">
        <f t="shared" si="25"/>
        <v>6847.6785714285688</v>
      </c>
      <c r="L59" s="16">
        <f t="shared" si="25"/>
        <v>5102.678571428567</v>
      </c>
      <c r="M59" s="16">
        <f t="shared" si="25"/>
        <v>1535.7142857142842</v>
      </c>
      <c r="N59" s="16">
        <f t="shared" si="25"/>
        <v>-10960</v>
      </c>
      <c r="O59" s="16">
        <f t="shared" si="25"/>
        <v>1044.1071428571395</v>
      </c>
      <c r="P59" s="16">
        <f t="shared" si="25"/>
        <v>-700.8928571428587</v>
      </c>
      <c r="Q59" s="16">
        <f t="shared" si="25"/>
        <v>36669.296333333332</v>
      </c>
      <c r="R59" s="16">
        <f t="shared" si="25"/>
        <v>36369.296333333332</v>
      </c>
      <c r="S59" s="16">
        <f t="shared" si="25"/>
        <v>36669.296333333332</v>
      </c>
      <c r="T59" s="16">
        <f t="shared" si="25"/>
        <v>36669.296333333332</v>
      </c>
      <c r="U59" s="16">
        <f t="shared" si="25"/>
        <v>36669.296333333332</v>
      </c>
      <c r="V59" s="16">
        <f t="shared" si="25"/>
        <v>36669.296333333332</v>
      </c>
      <c r="W59" s="16">
        <f t="shared" si="25"/>
        <v>36669.296333333332</v>
      </c>
      <c r="X59" s="16">
        <f t="shared" si="25"/>
        <v>36669.296333333332</v>
      </c>
      <c r="Y59" s="16">
        <f t="shared" si="25"/>
        <v>36669.296333333332</v>
      </c>
      <c r="Z59" s="16">
        <f t="shared" si="25"/>
        <v>14696.082047619049</v>
      </c>
      <c r="AA59" s="16">
        <f t="shared" si="25"/>
        <v>21669.296333333335</v>
      </c>
      <c r="AB59" s="16">
        <f t="shared" si="25"/>
        <v>21669.296333333335</v>
      </c>
      <c r="AC59" s="16">
        <f t="shared" si="25"/>
        <v>32725.259333333335</v>
      </c>
      <c r="AD59" s="16">
        <f t="shared" si="25"/>
        <v>32125.259333333335</v>
      </c>
      <c r="AE59" s="16">
        <f t="shared" si="25"/>
        <v>32725.259333333335</v>
      </c>
      <c r="AF59" s="16">
        <f t="shared" si="25"/>
        <v>32725.259333333335</v>
      </c>
      <c r="AG59" s="16">
        <f t="shared" si="25"/>
        <v>32725.259333333335</v>
      </c>
      <c r="AH59" s="16">
        <f t="shared" si="25"/>
        <v>32725.259333333335</v>
      </c>
      <c r="AI59" s="16">
        <f t="shared" si="25"/>
        <v>32725.259333333335</v>
      </c>
      <c r="AJ59" s="16">
        <f t="shared" si="25"/>
        <v>32725.259333333335</v>
      </c>
      <c r="AK59" s="16">
        <f t="shared" si="25"/>
        <v>32725.259333333335</v>
      </c>
      <c r="AL59" s="16">
        <f t="shared" si="25"/>
        <v>19478.83076190477</v>
      </c>
      <c r="AM59" s="16">
        <f t="shared" si="25"/>
        <v>32725.259333333335</v>
      </c>
      <c r="AN59" s="16">
        <f t="shared" si="25"/>
        <v>32725.259333333335</v>
      </c>
      <c r="AQ59" s="55"/>
    </row>
    <row r="60" spans="1:43" ht="13" x14ac:dyDescent="0.3">
      <c r="A60" s="1" t="s">
        <v>116</v>
      </c>
      <c r="B60" s="16">
        <f>P60</f>
        <v>-36232.357142857159</v>
      </c>
      <c r="C60" s="16">
        <f>AB60</f>
        <v>351525.98457142862</v>
      </c>
      <c r="D60" s="16">
        <f>AN60</f>
        <v>730382.6680000003</v>
      </c>
      <c r="E60" s="15">
        <f>E59</f>
        <v>-2712</v>
      </c>
      <c r="F60" s="15">
        <f t="shared" ref="F60:AN60" si="26">E60+F59</f>
        <v>-7372</v>
      </c>
      <c r="G60" s="15">
        <f t="shared" si="26"/>
        <v>-7736.2857142857156</v>
      </c>
      <c r="H60" s="15">
        <f t="shared" si="26"/>
        <v>-11740.035714285717</v>
      </c>
      <c r="I60" s="15">
        <f t="shared" si="26"/>
        <v>-43833.785714285717</v>
      </c>
      <c r="J60" s="15">
        <f t="shared" si="26"/>
        <v>-39101.642857142862</v>
      </c>
      <c r="K60" s="15">
        <f t="shared" si="26"/>
        <v>-32253.964285714294</v>
      </c>
      <c r="L60" s="15">
        <f t="shared" si="26"/>
        <v>-27151.285714285725</v>
      </c>
      <c r="M60" s="15">
        <f t="shared" si="26"/>
        <v>-25615.571428571442</v>
      </c>
      <c r="N60" s="15">
        <f t="shared" si="26"/>
        <v>-36575.571428571442</v>
      </c>
      <c r="O60" s="15">
        <f t="shared" si="26"/>
        <v>-35531.464285714304</v>
      </c>
      <c r="P60" s="15">
        <f t="shared" si="26"/>
        <v>-36232.357142857159</v>
      </c>
      <c r="Q60" s="15">
        <f t="shared" si="26"/>
        <v>436.93919047617237</v>
      </c>
      <c r="R60" s="15">
        <f t="shared" si="26"/>
        <v>36806.235523809504</v>
      </c>
      <c r="S60" s="15">
        <f t="shared" si="26"/>
        <v>73475.531857142836</v>
      </c>
      <c r="T60" s="15">
        <f t="shared" si="26"/>
        <v>110144.82819047617</v>
      </c>
      <c r="U60" s="15">
        <f t="shared" si="26"/>
        <v>146814.1245238095</v>
      </c>
      <c r="V60" s="15">
        <f t="shared" si="26"/>
        <v>183483.42085714283</v>
      </c>
      <c r="W60" s="15">
        <f t="shared" si="26"/>
        <v>220152.71719047616</v>
      </c>
      <c r="X60" s="15">
        <f t="shared" si="26"/>
        <v>256822.0135238095</v>
      </c>
      <c r="Y60" s="15">
        <f t="shared" si="26"/>
        <v>293491.30985714286</v>
      </c>
      <c r="Z60" s="15">
        <f t="shared" si="26"/>
        <v>308187.3919047619</v>
      </c>
      <c r="AA60" s="15">
        <f t="shared" si="26"/>
        <v>329856.68823809526</v>
      </c>
      <c r="AB60" s="15">
        <f t="shared" si="26"/>
        <v>351525.98457142862</v>
      </c>
      <c r="AC60" s="15">
        <f t="shared" si="26"/>
        <v>384251.24390476197</v>
      </c>
      <c r="AD60" s="15">
        <f t="shared" si="26"/>
        <v>416376.50323809532</v>
      </c>
      <c r="AE60" s="15">
        <f t="shared" si="26"/>
        <v>449101.76257142867</v>
      </c>
      <c r="AF60" s="15">
        <f t="shared" si="26"/>
        <v>481827.02190476202</v>
      </c>
      <c r="AG60" s="15">
        <f t="shared" si="26"/>
        <v>514552.28123809537</v>
      </c>
      <c r="AH60" s="15">
        <f t="shared" si="26"/>
        <v>547277.54057142872</v>
      </c>
      <c r="AI60" s="15">
        <f t="shared" si="26"/>
        <v>580002.79990476207</v>
      </c>
      <c r="AJ60" s="15">
        <f t="shared" si="26"/>
        <v>612728.05923809542</v>
      </c>
      <c r="AK60" s="15">
        <f t="shared" si="26"/>
        <v>645453.31857142877</v>
      </c>
      <c r="AL60" s="15">
        <f t="shared" si="26"/>
        <v>664932.1493333336</v>
      </c>
      <c r="AM60" s="15">
        <f t="shared" si="26"/>
        <v>697657.40866666695</v>
      </c>
      <c r="AN60" s="15">
        <f t="shared" si="26"/>
        <v>730382.6680000003</v>
      </c>
      <c r="AQ60" s="55"/>
    </row>
    <row r="61" spans="1:43" ht="13" x14ac:dyDescent="0.3">
      <c r="A61" s="10" t="s">
        <v>325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56"/>
    </row>
    <row r="62" spans="1:43" ht="13" x14ac:dyDescent="0.3">
      <c r="A62" s="1" t="s">
        <v>326</v>
      </c>
      <c r="B62" s="16">
        <f>SUM(E62:P62)</f>
        <v>15000</v>
      </c>
      <c r="C62" s="16">
        <f>SUM(Q62:AB62)</f>
        <v>0</v>
      </c>
      <c r="D62" s="16">
        <f>SUM(AC62:AN62)</f>
        <v>0</v>
      </c>
      <c r="E62" s="14">
        <v>15000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" t="s">
        <v>117</v>
      </c>
      <c r="AP62" s="1" t="s">
        <v>327</v>
      </c>
      <c r="AQ62" s="55">
        <f>TVA!$C$38</f>
        <v>0.2</v>
      </c>
    </row>
    <row r="63" spans="1:43" ht="13" x14ac:dyDescent="0.3">
      <c r="A63" s="1" t="s">
        <v>328</v>
      </c>
      <c r="B63" s="16">
        <f>SUM(E63:P63)</f>
        <v>3000</v>
      </c>
      <c r="C63" s="16">
        <f>SUM(Q63:AB63)</f>
        <v>5000</v>
      </c>
      <c r="D63" s="16">
        <f>SUM(AC63:AN63)</f>
        <v>10000</v>
      </c>
      <c r="E63" s="14">
        <v>3000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5000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10000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" t="s">
        <v>82</v>
      </c>
      <c r="AP63" s="1" t="s">
        <v>329</v>
      </c>
      <c r="AQ63" s="55">
        <f>TVA!$C$38</f>
        <v>0.2</v>
      </c>
    </row>
    <row r="64" spans="1:43" ht="13" x14ac:dyDescent="0.3">
      <c r="A64" s="2" t="s">
        <v>330</v>
      </c>
      <c r="B64" s="16">
        <f>SUM(E64:P64)</f>
        <v>18000</v>
      </c>
      <c r="C64" s="16">
        <f>SUM(Q64:AB64)</f>
        <v>5000</v>
      </c>
      <c r="D64" s="16">
        <f>SUM(AC64:AN64)</f>
        <v>10000</v>
      </c>
      <c r="E64" s="16">
        <f t="shared" ref="E64:AN64" si="27">E62+E63</f>
        <v>18000</v>
      </c>
      <c r="F64" s="16">
        <f t="shared" si="27"/>
        <v>0</v>
      </c>
      <c r="G64" s="16">
        <f t="shared" si="27"/>
        <v>0</v>
      </c>
      <c r="H64" s="16">
        <f t="shared" si="27"/>
        <v>0</v>
      </c>
      <c r="I64" s="16">
        <f t="shared" si="27"/>
        <v>0</v>
      </c>
      <c r="J64" s="16">
        <f t="shared" si="27"/>
        <v>0</v>
      </c>
      <c r="K64" s="16">
        <f t="shared" si="27"/>
        <v>0</v>
      </c>
      <c r="L64" s="16">
        <f t="shared" si="27"/>
        <v>0</v>
      </c>
      <c r="M64" s="16">
        <f t="shared" si="27"/>
        <v>0</v>
      </c>
      <c r="N64" s="16">
        <f t="shared" si="27"/>
        <v>0</v>
      </c>
      <c r="O64" s="16">
        <f t="shared" si="27"/>
        <v>0</v>
      </c>
      <c r="P64" s="16">
        <f t="shared" si="27"/>
        <v>0</v>
      </c>
      <c r="Q64" s="16">
        <f t="shared" si="27"/>
        <v>5000</v>
      </c>
      <c r="R64" s="16">
        <f t="shared" si="27"/>
        <v>0</v>
      </c>
      <c r="S64" s="16">
        <f t="shared" si="27"/>
        <v>0</v>
      </c>
      <c r="T64" s="16">
        <f t="shared" si="27"/>
        <v>0</v>
      </c>
      <c r="U64" s="16">
        <f t="shared" si="27"/>
        <v>0</v>
      </c>
      <c r="V64" s="16">
        <f t="shared" si="27"/>
        <v>0</v>
      </c>
      <c r="W64" s="16">
        <f t="shared" si="27"/>
        <v>0</v>
      </c>
      <c r="X64" s="16">
        <f t="shared" si="27"/>
        <v>0</v>
      </c>
      <c r="Y64" s="16">
        <f t="shared" si="27"/>
        <v>0</v>
      </c>
      <c r="Z64" s="16">
        <f t="shared" si="27"/>
        <v>0</v>
      </c>
      <c r="AA64" s="16">
        <f t="shared" si="27"/>
        <v>0</v>
      </c>
      <c r="AB64" s="16">
        <f t="shared" si="27"/>
        <v>0</v>
      </c>
      <c r="AC64" s="16">
        <f t="shared" si="27"/>
        <v>10000</v>
      </c>
      <c r="AD64" s="16">
        <f t="shared" si="27"/>
        <v>0</v>
      </c>
      <c r="AE64" s="16">
        <f t="shared" si="27"/>
        <v>0</v>
      </c>
      <c r="AF64" s="16">
        <f t="shared" si="27"/>
        <v>0</v>
      </c>
      <c r="AG64" s="16">
        <f t="shared" si="27"/>
        <v>0</v>
      </c>
      <c r="AH64" s="16">
        <f t="shared" si="27"/>
        <v>0</v>
      </c>
      <c r="AI64" s="16">
        <f t="shared" si="27"/>
        <v>0</v>
      </c>
      <c r="AJ64" s="16">
        <f t="shared" si="27"/>
        <v>0</v>
      </c>
      <c r="AK64" s="16">
        <f t="shared" si="27"/>
        <v>0</v>
      </c>
      <c r="AL64" s="16">
        <f t="shared" si="27"/>
        <v>0</v>
      </c>
      <c r="AM64" s="16">
        <f t="shared" si="27"/>
        <v>0</v>
      </c>
      <c r="AN64" s="16">
        <f t="shared" si="27"/>
        <v>0</v>
      </c>
      <c r="AQ64" s="55"/>
    </row>
    <row r="65" spans="1:43" ht="13" x14ac:dyDescent="0.3">
      <c r="A65" s="10" t="s">
        <v>331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56"/>
    </row>
    <row r="66" spans="1:43" ht="13" x14ac:dyDescent="0.3">
      <c r="A66" s="1" t="s">
        <v>213</v>
      </c>
      <c r="B66" s="16">
        <f>SUM(E66:P66)</f>
        <v>26357.142857142855</v>
      </c>
      <c r="C66" s="16">
        <f>SUM(Q66:AB66)</f>
        <v>248249.99999999994</v>
      </c>
      <c r="D66" s="16">
        <f>SUM(AC66:AN66)</f>
        <v>496499.99999999988</v>
      </c>
      <c r="E66" s="15">
        <f>E8*TVA!$C$25+E9*TVA!$D$25+E10*TVA!$E$25+E12*TVA!$F$25</f>
        <v>0</v>
      </c>
      <c r="F66" s="15">
        <f>F8*TVA!$C$25+F9*TVA!$D$25+F10*TVA!$E$25+F12*TVA!$F$25</f>
        <v>0</v>
      </c>
      <c r="G66" s="15">
        <f>G8*TVA!$C$25+G9*TVA!$D$25+G10*TVA!$E$25+G12*TVA!$F$25</f>
        <v>1242.8571428571427</v>
      </c>
      <c r="H66" s="15">
        <f>H8*TVA!$C$25+H9*TVA!$D$25+H10*TVA!$E$25+H12*TVA!$F$25</f>
        <v>2217.8571428571427</v>
      </c>
      <c r="I66" s="15">
        <f>I8*TVA!$C$25+I9*TVA!$D$25+I10*TVA!$E$25+I12*TVA!$F$25</f>
        <v>1574.9999999999998</v>
      </c>
      <c r="J66" s="15">
        <f>J8*TVA!$C$25+J9*TVA!$D$25+J10*TVA!$E$25+J12*TVA!$F$25</f>
        <v>2849.9999999999995</v>
      </c>
      <c r="K66" s="15">
        <f>K8*TVA!$C$25+K9*TVA!$D$25+K10*TVA!$E$25+K12*TVA!$F$25</f>
        <v>3824.9999999999995</v>
      </c>
      <c r="L66" s="15">
        <f>L8*TVA!$C$25+L9*TVA!$D$25+L10*TVA!$E$25+L12*TVA!$F$25</f>
        <v>3182.1428571428569</v>
      </c>
      <c r="M66" s="15">
        <f>M8*TVA!$C$25+M9*TVA!$D$25+M10*TVA!$E$25+M12*TVA!$F$25</f>
        <v>1242.8571428571427</v>
      </c>
      <c r="N66" s="15">
        <f>N8*TVA!$C$25+N9*TVA!$D$25+N10*TVA!$E$25+N12*TVA!$F$25</f>
        <v>0</v>
      </c>
      <c r="O66" s="15">
        <f>O8*TVA!$C$25+O9*TVA!$D$25+O10*TVA!$E$25+O12*TVA!$F$25</f>
        <v>5432.1428571428569</v>
      </c>
      <c r="P66" s="15">
        <f>P8*TVA!$C$25+P9*TVA!$D$25+P10*TVA!$E$25+P12*TVA!$F$25</f>
        <v>4789.2857142857138</v>
      </c>
      <c r="Q66" s="15">
        <f>Q8*TVA!$C$25+Q9*TVA!$D$25+Q10*TVA!$E$25+Q12*TVA!$F$25</f>
        <v>21107.142857142855</v>
      </c>
      <c r="R66" s="15">
        <f>R8*TVA!$C$25+R9*TVA!$D$25+R10*TVA!$E$25+R12*TVA!$F$25</f>
        <v>21107.142857142855</v>
      </c>
      <c r="S66" s="15">
        <f>S8*TVA!$C$25+S9*TVA!$D$25+S10*TVA!$E$25+S12*TVA!$F$25</f>
        <v>21107.142857142855</v>
      </c>
      <c r="T66" s="15">
        <f>T8*TVA!$C$25+T9*TVA!$D$25+T10*TVA!$E$25+T12*TVA!$F$25</f>
        <v>21107.142857142855</v>
      </c>
      <c r="U66" s="15">
        <f>U8*TVA!$C$25+U9*TVA!$D$25+U10*TVA!$E$25+U12*TVA!$F$25</f>
        <v>21107.142857142855</v>
      </c>
      <c r="V66" s="15">
        <f>V8*TVA!$C$25+V9*TVA!$D$25+V10*TVA!$E$25+V12*TVA!$F$25</f>
        <v>21107.142857142855</v>
      </c>
      <c r="W66" s="15">
        <f>W8*TVA!$C$25+W9*TVA!$D$25+W10*TVA!$E$25+W12*TVA!$F$25</f>
        <v>21107.142857142855</v>
      </c>
      <c r="X66" s="15">
        <f>X8*TVA!$C$25+X9*TVA!$D$25+X10*TVA!$E$25+X12*TVA!$F$25</f>
        <v>21107.142857142855</v>
      </c>
      <c r="Y66" s="15">
        <f>Y8*TVA!$C$25+Y9*TVA!$D$25+Y10*TVA!$E$25+Y12*TVA!$F$25</f>
        <v>21107.142857142855</v>
      </c>
      <c r="Z66" s="15">
        <f>Z8*TVA!$C$25+Z9*TVA!$D$25+Z10*TVA!$E$25+Z12*TVA!$F$25</f>
        <v>16071.428571428569</v>
      </c>
      <c r="AA66" s="15">
        <f>AA8*TVA!$C$25+AA9*TVA!$D$25+AA10*TVA!$E$25+AA12*TVA!$F$25</f>
        <v>21107.142857142855</v>
      </c>
      <c r="AB66" s="15">
        <f>AB8*TVA!$C$25+AB9*TVA!$D$25+AB10*TVA!$E$25+AB12*TVA!$F$25</f>
        <v>21107.142857142855</v>
      </c>
      <c r="AC66" s="15">
        <f>AC8*TVA!$C$25+AC9*TVA!$D$25+AC10*TVA!$E$25+AC12*TVA!$F$25</f>
        <v>42214.28571428571</v>
      </c>
      <c r="AD66" s="15">
        <f>AD8*TVA!$C$25+AD9*TVA!$D$25+AD10*TVA!$E$25+AD12*TVA!$F$25</f>
        <v>42214.28571428571</v>
      </c>
      <c r="AE66" s="15">
        <f>AE8*TVA!$C$25+AE9*TVA!$D$25+AE10*TVA!$E$25+AE12*TVA!$F$25</f>
        <v>42214.28571428571</v>
      </c>
      <c r="AF66" s="15">
        <f>AF8*TVA!$C$25+AF9*TVA!$D$25+AF10*TVA!$E$25+AF12*TVA!$F$25</f>
        <v>42214.28571428571</v>
      </c>
      <c r="AG66" s="15">
        <f>AG8*TVA!$C$25+AG9*TVA!$D$25+AG10*TVA!$E$25+AG12*TVA!$F$25</f>
        <v>42214.28571428571</v>
      </c>
      <c r="AH66" s="15">
        <f>AH8*TVA!$C$25+AH9*TVA!$D$25+AH10*TVA!$E$25+AH12*TVA!$F$25</f>
        <v>42214.28571428571</v>
      </c>
      <c r="AI66" s="15">
        <f>AI8*TVA!$C$25+AI9*TVA!$D$25+AI10*TVA!$E$25+AI12*TVA!$F$25</f>
        <v>42214.28571428571</v>
      </c>
      <c r="AJ66" s="15">
        <f>AJ8*TVA!$C$25+AJ9*TVA!$D$25+AJ10*TVA!$E$25+AJ12*TVA!$F$25</f>
        <v>42214.28571428571</v>
      </c>
      <c r="AK66" s="15">
        <f>AK8*TVA!$C$25+AK9*TVA!$D$25+AK10*TVA!$E$25+AK12*TVA!$F$25</f>
        <v>42214.28571428571</v>
      </c>
      <c r="AL66" s="15">
        <f>AL8*TVA!$C$25+AL9*TVA!$D$25+AL10*TVA!$E$25+AL12*TVA!$F$25</f>
        <v>32142.857142857138</v>
      </c>
      <c r="AM66" s="15">
        <f>AM8*TVA!$C$25+AM9*TVA!$D$25+AM10*TVA!$E$25+AM12*TVA!$F$25</f>
        <v>42214.28571428571</v>
      </c>
      <c r="AN66" s="15">
        <f>AN8*TVA!$C$25+AN9*TVA!$D$25+AN10*TVA!$E$25+AN12*TVA!$F$25</f>
        <v>42214.28571428571</v>
      </c>
      <c r="AQ66" s="55"/>
    </row>
    <row r="67" spans="1:43" ht="13" x14ac:dyDescent="0.3">
      <c r="A67" s="1" t="s">
        <v>245</v>
      </c>
      <c r="B67" s="16">
        <f>SUM(E67:P67)</f>
        <v>19867.464285714286</v>
      </c>
      <c r="C67" s="16">
        <f>SUM(Q67:AB67)</f>
        <v>176038.25</v>
      </c>
      <c r="D67" s="16">
        <f>SUM(AC67:AN67)</f>
        <v>352846.5</v>
      </c>
      <c r="E67" s="15">
        <f>E8*TVA!$C$26+E9*TVA!$D$26+E10*TVA!$E$26+E12*TVA!$F$26+E28*TVA!$C$14+E29*$AQ$29</f>
        <v>0</v>
      </c>
      <c r="F67" s="15">
        <f>F8*TVA!$C$26+F9*TVA!$D$26+F10*TVA!$E$26+F12*TVA!$F$26+F28*TVA!$C$14+F29*$AQ$29</f>
        <v>0</v>
      </c>
      <c r="G67" s="15">
        <f>G8*TVA!$C$26+G9*TVA!$D$26+G10*TVA!$E$26+G12*TVA!$F$26+G28*TVA!$C$14+G29*$AQ$29</f>
        <v>1081.7142857142858</v>
      </c>
      <c r="H67" s="15">
        <f>H8*TVA!$C$26+H9*TVA!$D$26+H10*TVA!$E$26+H12*TVA!$F$26+H28*TVA!$C$14+H29*$AQ$29</f>
        <v>1793.6071428571427</v>
      </c>
      <c r="I67" s="15">
        <f>I8*TVA!$C$26+I9*TVA!$D$26+I10*TVA!$E$26+I12*TVA!$F$26+I28*TVA!$C$14+I29*$AQ$29</f>
        <v>1355</v>
      </c>
      <c r="J67" s="15">
        <f>J8*TVA!$C$26+J9*TVA!$D$26+J10*TVA!$E$26+J12*TVA!$F$26+J28*TVA!$C$14+J29*$AQ$29</f>
        <v>2032.9285714285711</v>
      </c>
      <c r="K67" s="15">
        <f>K8*TVA!$C$26+K9*TVA!$D$26+K10*TVA!$E$26+K12*TVA!$F$26+K28*TVA!$C$14+K29*$AQ$29</f>
        <v>2793.8214285714284</v>
      </c>
      <c r="L67" s="15">
        <f>L8*TVA!$C$26+L9*TVA!$D$26+L10*TVA!$E$26+L12*TVA!$F$26+L28*TVA!$C$14+L29*$AQ$29</f>
        <v>2446.2142857142853</v>
      </c>
      <c r="M67" s="15">
        <f>M8*TVA!$C$26+M9*TVA!$D$26+M10*TVA!$E$26+M12*TVA!$F$26+M28*TVA!$C$14+M29*$AQ$29</f>
        <v>941.71428571428567</v>
      </c>
      <c r="N67" s="15">
        <f>N8*TVA!$C$26+N9*TVA!$D$26+N10*TVA!$E$26+N12*TVA!$F$26+N28*TVA!$C$14+N29*$AQ$29</f>
        <v>0</v>
      </c>
      <c r="O67" s="15">
        <f>O8*TVA!$C$26+O9*TVA!$D$26+O10*TVA!$E$26+O12*TVA!$F$26+O28*TVA!$C$14+O29*$AQ$29</f>
        <v>3885.0357142857138</v>
      </c>
      <c r="P67" s="15">
        <f>P8*TVA!$C$26+P9*TVA!$D$26+P10*TVA!$E$26+P12*TVA!$F$26+P28*TVA!$C$14+P29*$AQ$29</f>
        <v>3537.4285714285711</v>
      </c>
      <c r="Q67" s="15">
        <f>Q8*TVA!$C$26+Q9*TVA!$D$26+Q10*TVA!$E$26+Q12*TVA!$F$26+Q28*TVA!$C$14+Q29*$AQ$29</f>
        <v>15011.464285714283</v>
      </c>
      <c r="R67" s="15">
        <f>R8*TVA!$C$26+R9*TVA!$D$26+R10*TVA!$E$26+R12*TVA!$F$26+R28*TVA!$C$14+R29*$AQ$29</f>
        <v>15011.464285714283</v>
      </c>
      <c r="S67" s="15">
        <f>S8*TVA!$C$26+S9*TVA!$D$26+S10*TVA!$E$26+S12*TVA!$F$26+S28*TVA!$C$14+S29*$AQ$29</f>
        <v>15011.464285714283</v>
      </c>
      <c r="T67" s="15">
        <f>T8*TVA!$C$26+T9*TVA!$D$26+T10*TVA!$E$26+T12*TVA!$F$26+T28*TVA!$C$14+T29*$AQ$29</f>
        <v>15011.464285714283</v>
      </c>
      <c r="U67" s="15">
        <f>U8*TVA!$C$26+U9*TVA!$D$26+U10*TVA!$E$26+U12*TVA!$F$26+U28*TVA!$C$14+U29*$AQ$29</f>
        <v>15011.464285714283</v>
      </c>
      <c r="V67" s="15">
        <f>V8*TVA!$C$26+V9*TVA!$D$26+V10*TVA!$E$26+V12*TVA!$F$26+V28*TVA!$C$14+V29*$AQ$29</f>
        <v>15011.464285714283</v>
      </c>
      <c r="W67" s="15">
        <f>W8*TVA!$C$26+W9*TVA!$D$26+W10*TVA!$E$26+W12*TVA!$F$26+W28*TVA!$C$14+W29*$AQ$29</f>
        <v>15011.464285714283</v>
      </c>
      <c r="X67" s="15">
        <f>X8*TVA!$C$26+X9*TVA!$D$26+X10*TVA!$E$26+X12*TVA!$F$26+X28*TVA!$C$14+X29*$AQ$29</f>
        <v>15011.464285714283</v>
      </c>
      <c r="Y67" s="15">
        <f>Y8*TVA!$C$26+Y9*TVA!$D$26+Y10*TVA!$E$26+Y12*TVA!$F$26+Y28*TVA!$C$14+Y29*$AQ$29</f>
        <v>15011.464285714283</v>
      </c>
      <c r="Z67" s="15">
        <f>Z8*TVA!$C$26+Z9*TVA!$D$26+Z10*TVA!$E$26+Z12*TVA!$F$26+Z28*TVA!$C$14+Z29*$AQ$29</f>
        <v>10912.142857142855</v>
      </c>
      <c r="AA67" s="15">
        <f>AA8*TVA!$C$26+AA9*TVA!$D$26+AA10*TVA!$E$26+AA12*TVA!$F$26+AA28*TVA!$C$14+AA29*$AQ$29</f>
        <v>15011.464285714283</v>
      </c>
      <c r="AB67" s="15">
        <f>AB8*TVA!$C$26+AB9*TVA!$D$26+AB10*TVA!$E$26+AB12*TVA!$F$26+AB28*TVA!$C$14+AB29*$AQ$29</f>
        <v>15011.464285714283</v>
      </c>
      <c r="AC67" s="15">
        <f>AC8*TVA!$C$26+AC9*TVA!$D$26+AC10*TVA!$E$26+AC12*TVA!$F$26+AC28*TVA!$C$14+AC29*$AQ$29</f>
        <v>30092.928571428565</v>
      </c>
      <c r="AD67" s="15">
        <f>AD8*TVA!$C$26+AD9*TVA!$D$26+AD10*TVA!$E$26+AD12*TVA!$F$26+AD28*TVA!$C$14+AD29*$AQ$29</f>
        <v>30092.928571428565</v>
      </c>
      <c r="AE67" s="15">
        <f>AE8*TVA!$C$26+AE9*TVA!$D$26+AE10*TVA!$E$26+AE12*TVA!$F$26+AE28*TVA!$C$14+AE29*$AQ$29</f>
        <v>30092.928571428565</v>
      </c>
      <c r="AF67" s="15">
        <f>AF8*TVA!$C$26+AF9*TVA!$D$26+AF10*TVA!$E$26+AF12*TVA!$F$26+AF28*TVA!$C$14+AF29*$AQ$29</f>
        <v>30092.928571428565</v>
      </c>
      <c r="AG67" s="15">
        <f>AG8*TVA!$C$26+AG9*TVA!$D$26+AG10*TVA!$E$26+AG12*TVA!$F$26+AG28*TVA!$C$14+AG29*$AQ$29</f>
        <v>30092.928571428565</v>
      </c>
      <c r="AH67" s="15">
        <f>AH8*TVA!$C$26+AH9*TVA!$D$26+AH10*TVA!$E$26+AH12*TVA!$F$26+AH28*TVA!$C$14+AH29*$AQ$29</f>
        <v>30092.928571428565</v>
      </c>
      <c r="AI67" s="15">
        <f>AI8*TVA!$C$26+AI9*TVA!$D$26+AI10*TVA!$E$26+AI12*TVA!$F$26+AI28*TVA!$C$14+AI29*$AQ$29</f>
        <v>30092.928571428565</v>
      </c>
      <c r="AJ67" s="15">
        <f>AJ8*TVA!$C$26+AJ9*TVA!$D$26+AJ10*TVA!$E$26+AJ12*TVA!$F$26+AJ28*TVA!$C$14+AJ29*$AQ$29</f>
        <v>30092.928571428565</v>
      </c>
      <c r="AK67" s="15">
        <f>AK8*TVA!$C$26+AK9*TVA!$D$26+AK10*TVA!$E$26+AK12*TVA!$F$26+AK28*TVA!$C$14+AK29*$AQ$29</f>
        <v>30092.928571428565</v>
      </c>
      <c r="AL67" s="15">
        <f>AL8*TVA!$C$26+AL9*TVA!$D$26+AL10*TVA!$E$26+AL12*TVA!$F$26+AL28*TVA!$C$14+AL29*$AQ$29</f>
        <v>21824.28571428571</v>
      </c>
      <c r="AM67" s="15">
        <f>AM8*TVA!$C$26+AM9*TVA!$D$26+AM10*TVA!$E$26+AM12*TVA!$F$26+AM28*TVA!$C$14+AM29*$AQ$29</f>
        <v>30092.928571428565</v>
      </c>
      <c r="AN67" s="15">
        <f>AN8*TVA!$C$26+AN9*TVA!$D$26+AN10*TVA!$E$26+AN12*TVA!$F$26+AN28*TVA!$C$14+AN29*$AQ$29</f>
        <v>30092.928571428565</v>
      </c>
      <c r="AQ67" s="55"/>
    </row>
    <row r="68" spans="1:43" ht="13" x14ac:dyDescent="0.3">
      <c r="A68" s="1" t="s">
        <v>262</v>
      </c>
      <c r="B68" s="16">
        <f>SUM(E68:P68)</f>
        <v>11208.5</v>
      </c>
      <c r="C68" s="16">
        <f>SUM(Q68:AB68)</f>
        <v>13692.500000000004</v>
      </c>
      <c r="D68" s="16">
        <f>SUM(AC68:AN68)</f>
        <v>24473.000000000004</v>
      </c>
      <c r="E68" s="15">
        <f t="shared" ref="E68:AN68" si="28">SUMPRODUCT(E39:E55,$AQ$39:$AQ$55)</f>
        <v>451</v>
      </c>
      <c r="F68" s="15">
        <f t="shared" si="28"/>
        <v>691</v>
      </c>
      <c r="G68" s="15">
        <f t="shared" si="28"/>
        <v>399.5</v>
      </c>
      <c r="H68" s="15">
        <f t="shared" si="28"/>
        <v>1399.5</v>
      </c>
      <c r="I68" s="15">
        <f t="shared" si="28"/>
        <v>3959.5</v>
      </c>
      <c r="J68" s="15">
        <f t="shared" si="28"/>
        <v>359.5</v>
      </c>
      <c r="K68" s="15">
        <f t="shared" si="28"/>
        <v>159.5</v>
      </c>
      <c r="L68" s="15">
        <f t="shared" si="28"/>
        <v>159.5</v>
      </c>
      <c r="M68" s="15">
        <f t="shared" si="28"/>
        <v>159.5</v>
      </c>
      <c r="N68" s="15">
        <f t="shared" si="28"/>
        <v>1151</v>
      </c>
      <c r="O68" s="15">
        <f t="shared" si="28"/>
        <v>1159.5</v>
      </c>
      <c r="P68" s="15">
        <f t="shared" si="28"/>
        <v>1159.5</v>
      </c>
      <c r="Q68" s="15">
        <f t="shared" si="28"/>
        <v>768.16666666666674</v>
      </c>
      <c r="R68" s="15">
        <f t="shared" si="28"/>
        <v>768.16666666666674</v>
      </c>
      <c r="S68" s="15">
        <f t="shared" si="28"/>
        <v>768.16666666666674</v>
      </c>
      <c r="T68" s="15">
        <f t="shared" si="28"/>
        <v>768.16666666666674</v>
      </c>
      <c r="U68" s="15">
        <f t="shared" si="28"/>
        <v>768.16666666666674</v>
      </c>
      <c r="V68" s="15">
        <f t="shared" si="28"/>
        <v>768.16666666666674</v>
      </c>
      <c r="W68" s="15">
        <f t="shared" si="28"/>
        <v>768.16666666666674</v>
      </c>
      <c r="X68" s="15">
        <f t="shared" si="28"/>
        <v>768.16666666666674</v>
      </c>
      <c r="Y68" s="15">
        <f t="shared" si="28"/>
        <v>768.16666666666674</v>
      </c>
      <c r="Z68" s="15">
        <f t="shared" si="28"/>
        <v>2242.666666666667</v>
      </c>
      <c r="AA68" s="15">
        <f t="shared" si="28"/>
        <v>2268.166666666667</v>
      </c>
      <c r="AB68" s="15">
        <f t="shared" si="28"/>
        <v>2268.166666666667</v>
      </c>
      <c r="AC68" s="15">
        <f t="shared" si="28"/>
        <v>2043.6666666666667</v>
      </c>
      <c r="AD68" s="15">
        <f t="shared" si="28"/>
        <v>2043.6666666666667</v>
      </c>
      <c r="AE68" s="15">
        <f t="shared" si="28"/>
        <v>2043.6666666666667</v>
      </c>
      <c r="AF68" s="15">
        <f t="shared" si="28"/>
        <v>2043.6666666666667</v>
      </c>
      <c r="AG68" s="15">
        <f t="shared" si="28"/>
        <v>2043.6666666666667</v>
      </c>
      <c r="AH68" s="15">
        <f t="shared" si="28"/>
        <v>2043.6666666666667</v>
      </c>
      <c r="AI68" s="15">
        <f t="shared" si="28"/>
        <v>2043.6666666666667</v>
      </c>
      <c r="AJ68" s="15">
        <f t="shared" si="28"/>
        <v>2043.6666666666667</v>
      </c>
      <c r="AK68" s="15">
        <f t="shared" si="28"/>
        <v>2043.6666666666667</v>
      </c>
      <c r="AL68" s="15">
        <f t="shared" si="28"/>
        <v>1992.6666666666667</v>
      </c>
      <c r="AM68" s="15">
        <f t="shared" si="28"/>
        <v>2043.6666666666667</v>
      </c>
      <c r="AN68" s="15">
        <f t="shared" si="28"/>
        <v>2043.6666666666667</v>
      </c>
      <c r="AQ68" s="55"/>
    </row>
    <row r="69" spans="1:43" ht="13" x14ac:dyDescent="0.3">
      <c r="A69" s="1" t="s">
        <v>261</v>
      </c>
      <c r="B69" s="16">
        <f>SUM(E69:P69)</f>
        <v>3600</v>
      </c>
      <c r="C69" s="16">
        <f>SUM(Q69:AB69)</f>
        <v>1000</v>
      </c>
      <c r="D69" s="16">
        <f>SUM(AC69:AN69)</f>
        <v>2000</v>
      </c>
      <c r="E69" s="15">
        <f t="shared" ref="E69:AN69" si="29">E62*$AQ$62+E63*$AQ$63</f>
        <v>3600</v>
      </c>
      <c r="F69" s="15">
        <f t="shared" si="29"/>
        <v>0</v>
      </c>
      <c r="G69" s="15">
        <f t="shared" si="29"/>
        <v>0</v>
      </c>
      <c r="H69" s="15">
        <f t="shared" si="29"/>
        <v>0</v>
      </c>
      <c r="I69" s="15">
        <f t="shared" si="29"/>
        <v>0</v>
      </c>
      <c r="J69" s="15">
        <f t="shared" si="29"/>
        <v>0</v>
      </c>
      <c r="K69" s="15">
        <f t="shared" si="29"/>
        <v>0</v>
      </c>
      <c r="L69" s="15">
        <f t="shared" si="29"/>
        <v>0</v>
      </c>
      <c r="M69" s="15">
        <f t="shared" si="29"/>
        <v>0</v>
      </c>
      <c r="N69" s="15">
        <f t="shared" si="29"/>
        <v>0</v>
      </c>
      <c r="O69" s="15">
        <f t="shared" si="29"/>
        <v>0</v>
      </c>
      <c r="P69" s="15">
        <f t="shared" si="29"/>
        <v>0</v>
      </c>
      <c r="Q69" s="15">
        <f t="shared" si="29"/>
        <v>1000</v>
      </c>
      <c r="R69" s="15">
        <f t="shared" si="29"/>
        <v>0</v>
      </c>
      <c r="S69" s="15">
        <f t="shared" si="29"/>
        <v>0</v>
      </c>
      <c r="T69" s="15">
        <f t="shared" si="29"/>
        <v>0</v>
      </c>
      <c r="U69" s="15">
        <f t="shared" si="29"/>
        <v>0</v>
      </c>
      <c r="V69" s="15">
        <f t="shared" si="29"/>
        <v>0</v>
      </c>
      <c r="W69" s="15">
        <f t="shared" si="29"/>
        <v>0</v>
      </c>
      <c r="X69" s="15">
        <f t="shared" si="29"/>
        <v>0</v>
      </c>
      <c r="Y69" s="15">
        <f t="shared" si="29"/>
        <v>0</v>
      </c>
      <c r="Z69" s="15">
        <f t="shared" si="29"/>
        <v>0</v>
      </c>
      <c r="AA69" s="15">
        <f t="shared" si="29"/>
        <v>0</v>
      </c>
      <c r="AB69" s="15">
        <f t="shared" si="29"/>
        <v>0</v>
      </c>
      <c r="AC69" s="15">
        <f t="shared" si="29"/>
        <v>2000</v>
      </c>
      <c r="AD69" s="15">
        <f t="shared" si="29"/>
        <v>0</v>
      </c>
      <c r="AE69" s="15">
        <f t="shared" si="29"/>
        <v>0</v>
      </c>
      <c r="AF69" s="15">
        <f t="shared" si="29"/>
        <v>0</v>
      </c>
      <c r="AG69" s="15">
        <f t="shared" si="29"/>
        <v>0</v>
      </c>
      <c r="AH69" s="15">
        <f t="shared" si="29"/>
        <v>0</v>
      </c>
      <c r="AI69" s="15">
        <f t="shared" si="29"/>
        <v>0</v>
      </c>
      <c r="AJ69" s="15">
        <f t="shared" si="29"/>
        <v>0</v>
      </c>
      <c r="AK69" s="15">
        <f t="shared" si="29"/>
        <v>0</v>
      </c>
      <c r="AL69" s="15">
        <f t="shared" si="29"/>
        <v>0</v>
      </c>
      <c r="AM69" s="15">
        <f t="shared" si="29"/>
        <v>0</v>
      </c>
      <c r="AN69" s="15">
        <f t="shared" si="29"/>
        <v>0</v>
      </c>
      <c r="AQ69" s="55"/>
    </row>
    <row r="70" spans="1:43" ht="13" x14ac:dyDescent="0.3">
      <c r="A70" s="1" t="s">
        <v>332</v>
      </c>
      <c r="B70" s="16">
        <f>SUM(E70:P70)</f>
        <v>-8318.8214285714275</v>
      </c>
      <c r="C70" s="16">
        <f>SUM(Q70:AB70)</f>
        <v>57519.250000000015</v>
      </c>
      <c r="D70" s="16">
        <f>SUM(AC70:AN70)</f>
        <v>117180.50000000001</v>
      </c>
      <c r="E70" s="15">
        <f t="shared" ref="E70:AN70" si="30">E66-E67-E68-E69</f>
        <v>-4051</v>
      </c>
      <c r="F70" s="15">
        <f t="shared" si="30"/>
        <v>-691</v>
      </c>
      <c r="G70" s="15">
        <f t="shared" si="30"/>
        <v>-238.35714285714312</v>
      </c>
      <c r="H70" s="15">
        <f t="shared" si="30"/>
        <v>-975.25</v>
      </c>
      <c r="I70" s="15">
        <f t="shared" si="30"/>
        <v>-3739.5</v>
      </c>
      <c r="J70" s="15">
        <f t="shared" si="30"/>
        <v>457.57142857142844</v>
      </c>
      <c r="K70" s="15">
        <f t="shared" si="30"/>
        <v>871.6785714285711</v>
      </c>
      <c r="L70" s="15">
        <f t="shared" si="30"/>
        <v>576.42857142857156</v>
      </c>
      <c r="M70" s="15">
        <f t="shared" si="30"/>
        <v>141.642857142857</v>
      </c>
      <c r="N70" s="15">
        <f t="shared" si="30"/>
        <v>-1151</v>
      </c>
      <c r="O70" s="15">
        <f t="shared" si="30"/>
        <v>387.60714285714312</v>
      </c>
      <c r="P70" s="15">
        <f t="shared" si="30"/>
        <v>92.357142857142662</v>
      </c>
      <c r="Q70" s="15">
        <f t="shared" si="30"/>
        <v>4327.5119047619055</v>
      </c>
      <c r="R70" s="15">
        <f t="shared" si="30"/>
        <v>5327.5119047619055</v>
      </c>
      <c r="S70" s="15">
        <f t="shared" si="30"/>
        <v>5327.5119047619055</v>
      </c>
      <c r="T70" s="15">
        <f t="shared" si="30"/>
        <v>5327.5119047619055</v>
      </c>
      <c r="U70" s="15">
        <f t="shared" si="30"/>
        <v>5327.5119047619055</v>
      </c>
      <c r="V70" s="15">
        <f t="shared" si="30"/>
        <v>5327.5119047619055</v>
      </c>
      <c r="W70" s="15">
        <f t="shared" si="30"/>
        <v>5327.5119047619055</v>
      </c>
      <c r="X70" s="15">
        <f t="shared" si="30"/>
        <v>5327.5119047619055</v>
      </c>
      <c r="Y70" s="15">
        <f t="shared" si="30"/>
        <v>5327.5119047619055</v>
      </c>
      <c r="Z70" s="15">
        <f t="shared" si="30"/>
        <v>2916.6190476190468</v>
      </c>
      <c r="AA70" s="15">
        <f t="shared" si="30"/>
        <v>3827.5119047619055</v>
      </c>
      <c r="AB70" s="15">
        <f t="shared" si="30"/>
        <v>3827.5119047619055</v>
      </c>
      <c r="AC70" s="15">
        <f t="shared" si="30"/>
        <v>8077.6904761904789</v>
      </c>
      <c r="AD70" s="15">
        <f t="shared" si="30"/>
        <v>10077.690476190479</v>
      </c>
      <c r="AE70" s="15">
        <f t="shared" si="30"/>
        <v>10077.690476190479</v>
      </c>
      <c r="AF70" s="15">
        <f t="shared" si="30"/>
        <v>10077.690476190479</v>
      </c>
      <c r="AG70" s="15">
        <f t="shared" si="30"/>
        <v>10077.690476190479</v>
      </c>
      <c r="AH70" s="15">
        <f t="shared" si="30"/>
        <v>10077.690476190479</v>
      </c>
      <c r="AI70" s="15">
        <f t="shared" si="30"/>
        <v>10077.690476190479</v>
      </c>
      <c r="AJ70" s="15">
        <f t="shared" si="30"/>
        <v>10077.690476190479</v>
      </c>
      <c r="AK70" s="15">
        <f t="shared" si="30"/>
        <v>10077.690476190479</v>
      </c>
      <c r="AL70" s="15">
        <f t="shared" si="30"/>
        <v>8325.9047619047615</v>
      </c>
      <c r="AM70" s="15">
        <f t="shared" si="30"/>
        <v>10077.690476190479</v>
      </c>
      <c r="AN70" s="15">
        <f t="shared" si="30"/>
        <v>10077.690476190479</v>
      </c>
    </row>
    <row r="71" spans="1:43" x14ac:dyDescent="0.25">
      <c r="A71" s="1" t="s">
        <v>260</v>
      </c>
      <c r="E71" s="15">
        <v>0</v>
      </c>
      <c r="F71" s="15">
        <f t="shared" ref="F71:AN71" si="31">E73</f>
        <v>4051</v>
      </c>
      <c r="G71" s="15">
        <f t="shared" si="31"/>
        <v>4742</v>
      </c>
      <c r="H71" s="15">
        <f t="shared" si="31"/>
        <v>4980.3571428571431</v>
      </c>
      <c r="I71" s="15">
        <f t="shared" si="31"/>
        <v>5955.6071428571431</v>
      </c>
      <c r="J71" s="15">
        <f t="shared" si="31"/>
        <v>9695.1071428571431</v>
      </c>
      <c r="K71" s="15">
        <f t="shared" si="31"/>
        <v>9237.5357142857138</v>
      </c>
      <c r="L71" s="15">
        <f t="shared" si="31"/>
        <v>8365.8571428571431</v>
      </c>
      <c r="M71" s="15">
        <f t="shared" si="31"/>
        <v>7789.4285714285716</v>
      </c>
      <c r="N71" s="15">
        <f t="shared" si="31"/>
        <v>7647.7857142857147</v>
      </c>
      <c r="O71" s="15">
        <f t="shared" si="31"/>
        <v>8798.7857142857138</v>
      </c>
      <c r="P71" s="15">
        <f t="shared" si="31"/>
        <v>8411.1785714285706</v>
      </c>
      <c r="Q71" s="15">
        <f t="shared" si="31"/>
        <v>8318.8214285714275</v>
      </c>
      <c r="R71" s="15">
        <f t="shared" si="31"/>
        <v>3991.309523809522</v>
      </c>
      <c r="S71" s="15">
        <f t="shared" si="31"/>
        <v>0</v>
      </c>
      <c r="T71" s="15">
        <f t="shared" si="31"/>
        <v>0</v>
      </c>
      <c r="U71" s="15">
        <f t="shared" si="31"/>
        <v>0</v>
      </c>
      <c r="V71" s="15">
        <f t="shared" si="31"/>
        <v>0</v>
      </c>
      <c r="W71" s="15">
        <f t="shared" si="31"/>
        <v>0</v>
      </c>
      <c r="X71" s="15">
        <f t="shared" si="31"/>
        <v>0</v>
      </c>
      <c r="Y71" s="15">
        <f t="shared" si="31"/>
        <v>0</v>
      </c>
      <c r="Z71" s="15">
        <f t="shared" si="31"/>
        <v>0</v>
      </c>
      <c r="AA71" s="15">
        <f t="shared" si="31"/>
        <v>0</v>
      </c>
      <c r="AB71" s="15">
        <f t="shared" si="31"/>
        <v>0</v>
      </c>
      <c r="AC71" s="15">
        <f t="shared" si="31"/>
        <v>0</v>
      </c>
      <c r="AD71" s="15">
        <f t="shared" si="31"/>
        <v>0</v>
      </c>
      <c r="AE71" s="15">
        <f t="shared" si="31"/>
        <v>0</v>
      </c>
      <c r="AF71" s="15">
        <f t="shared" si="31"/>
        <v>0</v>
      </c>
      <c r="AG71" s="15">
        <f t="shared" si="31"/>
        <v>0</v>
      </c>
      <c r="AH71" s="15">
        <f t="shared" si="31"/>
        <v>0</v>
      </c>
      <c r="AI71" s="15">
        <f t="shared" si="31"/>
        <v>0</v>
      </c>
      <c r="AJ71" s="15">
        <f t="shared" si="31"/>
        <v>0</v>
      </c>
      <c r="AK71" s="15">
        <f t="shared" si="31"/>
        <v>0</v>
      </c>
      <c r="AL71" s="15">
        <f t="shared" si="31"/>
        <v>0</v>
      </c>
      <c r="AM71" s="15">
        <f t="shared" si="31"/>
        <v>0</v>
      </c>
      <c r="AN71" s="15">
        <f t="shared" si="31"/>
        <v>0</v>
      </c>
    </row>
    <row r="72" spans="1:43" ht="13" x14ac:dyDescent="0.3">
      <c r="A72" s="1" t="s">
        <v>259</v>
      </c>
      <c r="B72" s="16">
        <f>SUM(E72:P72)</f>
        <v>0</v>
      </c>
      <c r="C72" s="16">
        <f>SUM(Q72:AB72)</f>
        <v>49200.428571428587</v>
      </c>
      <c r="D72" s="16">
        <f>SUM(AC72:AN72)</f>
        <v>117180.50000000001</v>
      </c>
      <c r="E72" s="15">
        <f t="shared" ref="E72:AN72" si="32">MAX(0,E70-E71)</f>
        <v>0</v>
      </c>
      <c r="F72" s="15">
        <f t="shared" si="32"/>
        <v>0</v>
      </c>
      <c r="G72" s="15">
        <f t="shared" si="32"/>
        <v>0</v>
      </c>
      <c r="H72" s="15">
        <f t="shared" si="32"/>
        <v>0</v>
      </c>
      <c r="I72" s="15">
        <f t="shared" si="32"/>
        <v>0</v>
      </c>
      <c r="J72" s="15">
        <f t="shared" si="32"/>
        <v>0</v>
      </c>
      <c r="K72" s="15">
        <f t="shared" si="32"/>
        <v>0</v>
      </c>
      <c r="L72" s="15">
        <f t="shared" si="32"/>
        <v>0</v>
      </c>
      <c r="M72" s="15">
        <f t="shared" si="32"/>
        <v>0</v>
      </c>
      <c r="N72" s="15">
        <f t="shared" si="32"/>
        <v>0</v>
      </c>
      <c r="O72" s="15">
        <f t="shared" si="32"/>
        <v>0</v>
      </c>
      <c r="P72" s="15">
        <f t="shared" si="32"/>
        <v>0</v>
      </c>
      <c r="Q72" s="15">
        <f t="shared" si="32"/>
        <v>0</v>
      </c>
      <c r="R72" s="15">
        <f t="shared" si="32"/>
        <v>1336.2023809523835</v>
      </c>
      <c r="S72" s="15">
        <f t="shared" si="32"/>
        <v>5327.5119047619055</v>
      </c>
      <c r="T72" s="15">
        <f t="shared" si="32"/>
        <v>5327.5119047619055</v>
      </c>
      <c r="U72" s="15">
        <f t="shared" si="32"/>
        <v>5327.5119047619055</v>
      </c>
      <c r="V72" s="15">
        <f t="shared" si="32"/>
        <v>5327.5119047619055</v>
      </c>
      <c r="W72" s="15">
        <f t="shared" si="32"/>
        <v>5327.5119047619055</v>
      </c>
      <c r="X72" s="15">
        <f t="shared" si="32"/>
        <v>5327.5119047619055</v>
      </c>
      <c r="Y72" s="15">
        <f t="shared" si="32"/>
        <v>5327.5119047619055</v>
      </c>
      <c r="Z72" s="15">
        <f t="shared" si="32"/>
        <v>2916.6190476190468</v>
      </c>
      <c r="AA72" s="15">
        <f t="shared" si="32"/>
        <v>3827.5119047619055</v>
      </c>
      <c r="AB72" s="15">
        <f t="shared" si="32"/>
        <v>3827.5119047619055</v>
      </c>
      <c r="AC72" s="15">
        <f t="shared" si="32"/>
        <v>8077.6904761904789</v>
      </c>
      <c r="AD72" s="15">
        <f t="shared" si="32"/>
        <v>10077.690476190479</v>
      </c>
      <c r="AE72" s="15">
        <f t="shared" si="32"/>
        <v>10077.690476190479</v>
      </c>
      <c r="AF72" s="15">
        <f t="shared" si="32"/>
        <v>10077.690476190479</v>
      </c>
      <c r="AG72" s="15">
        <f t="shared" si="32"/>
        <v>10077.690476190479</v>
      </c>
      <c r="AH72" s="15">
        <f t="shared" si="32"/>
        <v>10077.690476190479</v>
      </c>
      <c r="AI72" s="15">
        <f t="shared" si="32"/>
        <v>10077.690476190479</v>
      </c>
      <c r="AJ72" s="15">
        <f t="shared" si="32"/>
        <v>10077.690476190479</v>
      </c>
      <c r="AK72" s="15">
        <f t="shared" si="32"/>
        <v>10077.690476190479</v>
      </c>
      <c r="AL72" s="15">
        <f t="shared" si="32"/>
        <v>8325.9047619047615</v>
      </c>
      <c r="AM72" s="15">
        <f t="shared" si="32"/>
        <v>10077.690476190479</v>
      </c>
      <c r="AN72" s="15">
        <f t="shared" si="32"/>
        <v>10077.690476190479</v>
      </c>
    </row>
    <row r="73" spans="1:43" ht="13" x14ac:dyDescent="0.3">
      <c r="A73" s="1" t="s">
        <v>258</v>
      </c>
      <c r="B73" s="16">
        <f>P73</f>
        <v>8318.8214285714275</v>
      </c>
      <c r="C73" s="16">
        <f>AB73</f>
        <v>0</v>
      </c>
      <c r="D73" s="16">
        <f>AN73</f>
        <v>0</v>
      </c>
      <c r="E73" s="15">
        <f t="shared" ref="E73:AN73" si="33">MAX(0,E71-E70)</f>
        <v>4051</v>
      </c>
      <c r="F73" s="15">
        <f t="shared" si="33"/>
        <v>4742</v>
      </c>
      <c r="G73" s="15">
        <f t="shared" si="33"/>
        <v>4980.3571428571431</v>
      </c>
      <c r="H73" s="15">
        <f t="shared" si="33"/>
        <v>5955.6071428571431</v>
      </c>
      <c r="I73" s="15">
        <f t="shared" si="33"/>
        <v>9695.1071428571431</v>
      </c>
      <c r="J73" s="15">
        <f t="shared" si="33"/>
        <v>9237.5357142857138</v>
      </c>
      <c r="K73" s="15">
        <f t="shared" si="33"/>
        <v>8365.8571428571431</v>
      </c>
      <c r="L73" s="15">
        <f t="shared" si="33"/>
        <v>7789.4285714285716</v>
      </c>
      <c r="M73" s="15">
        <f t="shared" si="33"/>
        <v>7647.7857142857147</v>
      </c>
      <c r="N73" s="15">
        <f t="shared" si="33"/>
        <v>8798.7857142857138</v>
      </c>
      <c r="O73" s="15">
        <f t="shared" si="33"/>
        <v>8411.1785714285706</v>
      </c>
      <c r="P73" s="15">
        <f t="shared" si="33"/>
        <v>8318.8214285714275</v>
      </c>
      <c r="Q73" s="15">
        <f t="shared" si="33"/>
        <v>3991.309523809522</v>
      </c>
      <c r="R73" s="15">
        <f t="shared" si="33"/>
        <v>0</v>
      </c>
      <c r="S73" s="15">
        <f t="shared" si="33"/>
        <v>0</v>
      </c>
      <c r="T73" s="15">
        <f t="shared" si="33"/>
        <v>0</v>
      </c>
      <c r="U73" s="15">
        <f t="shared" si="33"/>
        <v>0</v>
      </c>
      <c r="V73" s="15">
        <f t="shared" si="33"/>
        <v>0</v>
      </c>
      <c r="W73" s="15">
        <f t="shared" si="33"/>
        <v>0</v>
      </c>
      <c r="X73" s="15">
        <f t="shared" si="33"/>
        <v>0</v>
      </c>
      <c r="Y73" s="15">
        <f t="shared" si="33"/>
        <v>0</v>
      </c>
      <c r="Z73" s="15">
        <f t="shared" si="33"/>
        <v>0</v>
      </c>
      <c r="AA73" s="15">
        <f t="shared" si="33"/>
        <v>0</v>
      </c>
      <c r="AB73" s="15">
        <f t="shared" si="33"/>
        <v>0</v>
      </c>
      <c r="AC73" s="15">
        <f t="shared" si="33"/>
        <v>0</v>
      </c>
      <c r="AD73" s="15">
        <f t="shared" si="33"/>
        <v>0</v>
      </c>
      <c r="AE73" s="15">
        <f t="shared" si="33"/>
        <v>0</v>
      </c>
      <c r="AF73" s="15">
        <f t="shared" si="33"/>
        <v>0</v>
      </c>
      <c r="AG73" s="15">
        <f t="shared" si="33"/>
        <v>0</v>
      </c>
      <c r="AH73" s="15">
        <f t="shared" si="33"/>
        <v>0</v>
      </c>
      <c r="AI73" s="15">
        <f t="shared" si="33"/>
        <v>0</v>
      </c>
      <c r="AJ73" s="15">
        <f t="shared" si="33"/>
        <v>0</v>
      </c>
      <c r="AK73" s="15">
        <f t="shared" si="33"/>
        <v>0</v>
      </c>
      <c r="AL73" s="15">
        <f t="shared" si="33"/>
        <v>0</v>
      </c>
      <c r="AM73" s="15">
        <f t="shared" si="33"/>
        <v>0</v>
      </c>
      <c r="AN73" s="15">
        <f t="shared" si="33"/>
        <v>0</v>
      </c>
    </row>
    <row r="74" spans="1:43" ht="13" x14ac:dyDescent="0.3">
      <c r="A74" s="1" t="s">
        <v>257</v>
      </c>
      <c r="B74" s="16">
        <f>SUM(E74:P74)</f>
        <v>0</v>
      </c>
      <c r="C74" s="16">
        <f>SUM(Q74:AB74)</f>
        <v>45372.916666666679</v>
      </c>
      <c r="D74" s="16">
        <f>SUM(AC74:AN74)</f>
        <v>110930.32142857145</v>
      </c>
      <c r="E74" s="15">
        <v>0</v>
      </c>
      <c r="F74" s="15">
        <f t="shared" ref="F74:AN74" si="34">E72</f>
        <v>0</v>
      </c>
      <c r="G74" s="15">
        <f t="shared" si="34"/>
        <v>0</v>
      </c>
      <c r="H74" s="15">
        <f t="shared" si="34"/>
        <v>0</v>
      </c>
      <c r="I74" s="15">
        <f t="shared" si="34"/>
        <v>0</v>
      </c>
      <c r="J74" s="15">
        <f t="shared" si="34"/>
        <v>0</v>
      </c>
      <c r="K74" s="15">
        <f t="shared" si="34"/>
        <v>0</v>
      </c>
      <c r="L74" s="15">
        <f t="shared" si="34"/>
        <v>0</v>
      </c>
      <c r="M74" s="15">
        <f t="shared" si="34"/>
        <v>0</v>
      </c>
      <c r="N74" s="15">
        <f t="shared" si="34"/>
        <v>0</v>
      </c>
      <c r="O74" s="15">
        <f t="shared" si="34"/>
        <v>0</v>
      </c>
      <c r="P74" s="15">
        <f t="shared" si="34"/>
        <v>0</v>
      </c>
      <c r="Q74" s="15">
        <f t="shared" si="34"/>
        <v>0</v>
      </c>
      <c r="R74" s="15">
        <f t="shared" si="34"/>
        <v>0</v>
      </c>
      <c r="S74" s="15">
        <f t="shared" si="34"/>
        <v>1336.2023809523835</v>
      </c>
      <c r="T74" s="15">
        <f t="shared" si="34"/>
        <v>5327.5119047619055</v>
      </c>
      <c r="U74" s="15">
        <f t="shared" si="34"/>
        <v>5327.5119047619055</v>
      </c>
      <c r="V74" s="15">
        <f t="shared" si="34"/>
        <v>5327.5119047619055</v>
      </c>
      <c r="W74" s="15">
        <f t="shared" si="34"/>
        <v>5327.5119047619055</v>
      </c>
      <c r="X74" s="15">
        <f t="shared" si="34"/>
        <v>5327.5119047619055</v>
      </c>
      <c r="Y74" s="15">
        <f t="shared" si="34"/>
        <v>5327.5119047619055</v>
      </c>
      <c r="Z74" s="15">
        <f t="shared" si="34"/>
        <v>5327.5119047619055</v>
      </c>
      <c r="AA74" s="15">
        <f t="shared" si="34"/>
        <v>2916.6190476190468</v>
      </c>
      <c r="AB74" s="15">
        <f t="shared" si="34"/>
        <v>3827.5119047619055</v>
      </c>
      <c r="AC74" s="15">
        <f t="shared" si="34"/>
        <v>3827.5119047619055</v>
      </c>
      <c r="AD74" s="15">
        <f t="shared" si="34"/>
        <v>8077.6904761904789</v>
      </c>
      <c r="AE74" s="15">
        <f t="shared" si="34"/>
        <v>10077.690476190479</v>
      </c>
      <c r="AF74" s="15">
        <f t="shared" si="34"/>
        <v>10077.690476190479</v>
      </c>
      <c r="AG74" s="15">
        <f t="shared" si="34"/>
        <v>10077.690476190479</v>
      </c>
      <c r="AH74" s="15">
        <f t="shared" si="34"/>
        <v>10077.690476190479</v>
      </c>
      <c r="AI74" s="15">
        <f t="shared" si="34"/>
        <v>10077.690476190479</v>
      </c>
      <c r="AJ74" s="15">
        <f t="shared" si="34"/>
        <v>10077.690476190479</v>
      </c>
      <c r="AK74" s="15">
        <f t="shared" si="34"/>
        <v>10077.690476190479</v>
      </c>
      <c r="AL74" s="15">
        <f t="shared" si="34"/>
        <v>10077.690476190479</v>
      </c>
      <c r="AM74" s="15">
        <f t="shared" si="34"/>
        <v>8325.9047619047615</v>
      </c>
      <c r="AN74" s="15">
        <f t="shared" si="34"/>
        <v>10077.690476190479</v>
      </c>
    </row>
    <row r="75" spans="1:43" ht="13" x14ac:dyDescent="0.3">
      <c r="A75" s="2" t="s">
        <v>263</v>
      </c>
      <c r="B75" s="16">
        <f>SUM(E75:P75)</f>
        <v>-8318.8214285714275</v>
      </c>
      <c r="C75" s="16">
        <f>SUM(Q75:AB75)</f>
        <v>12146.333333333332</v>
      </c>
      <c r="D75" s="16">
        <f>SUM(AC75:AN75)</f>
        <v>6250.1785714285734</v>
      </c>
      <c r="E75" s="16">
        <f t="shared" ref="E75:AN75" si="35">E66-E67-E68-E69-E74</f>
        <v>-4051</v>
      </c>
      <c r="F75" s="16">
        <f t="shared" si="35"/>
        <v>-691</v>
      </c>
      <c r="G75" s="16">
        <f t="shared" si="35"/>
        <v>-238.35714285714312</v>
      </c>
      <c r="H75" s="16">
        <f t="shared" si="35"/>
        <v>-975.25</v>
      </c>
      <c r="I75" s="16">
        <f t="shared" si="35"/>
        <v>-3739.5</v>
      </c>
      <c r="J75" s="16">
        <f t="shared" si="35"/>
        <v>457.57142857142844</v>
      </c>
      <c r="K75" s="16">
        <f t="shared" si="35"/>
        <v>871.6785714285711</v>
      </c>
      <c r="L75" s="16">
        <f t="shared" si="35"/>
        <v>576.42857142857156</v>
      </c>
      <c r="M75" s="16">
        <f t="shared" si="35"/>
        <v>141.642857142857</v>
      </c>
      <c r="N75" s="16">
        <f t="shared" si="35"/>
        <v>-1151</v>
      </c>
      <c r="O75" s="16">
        <f t="shared" si="35"/>
        <v>387.60714285714312</v>
      </c>
      <c r="P75" s="16">
        <f t="shared" si="35"/>
        <v>92.357142857142662</v>
      </c>
      <c r="Q75" s="16">
        <f t="shared" si="35"/>
        <v>4327.5119047619055</v>
      </c>
      <c r="R75" s="16">
        <f t="shared" si="35"/>
        <v>5327.5119047619055</v>
      </c>
      <c r="S75" s="16">
        <f t="shared" si="35"/>
        <v>3991.309523809522</v>
      </c>
      <c r="T75" s="16">
        <f t="shared" si="35"/>
        <v>0</v>
      </c>
      <c r="U75" s="16">
        <f t="shared" si="35"/>
        <v>0</v>
      </c>
      <c r="V75" s="16">
        <f t="shared" si="35"/>
        <v>0</v>
      </c>
      <c r="W75" s="16">
        <f t="shared" si="35"/>
        <v>0</v>
      </c>
      <c r="X75" s="16">
        <f t="shared" si="35"/>
        <v>0</v>
      </c>
      <c r="Y75" s="16">
        <f t="shared" si="35"/>
        <v>0</v>
      </c>
      <c r="Z75" s="16">
        <f t="shared" si="35"/>
        <v>-2410.8928571428587</v>
      </c>
      <c r="AA75" s="16">
        <f t="shared" si="35"/>
        <v>910.8928571428587</v>
      </c>
      <c r="AB75" s="16">
        <f t="shared" si="35"/>
        <v>0</v>
      </c>
      <c r="AC75" s="16">
        <f t="shared" si="35"/>
        <v>4250.1785714285734</v>
      </c>
      <c r="AD75" s="16">
        <f t="shared" si="35"/>
        <v>2000</v>
      </c>
      <c r="AE75" s="16">
        <f t="shared" si="35"/>
        <v>0</v>
      </c>
      <c r="AF75" s="16">
        <f t="shared" si="35"/>
        <v>0</v>
      </c>
      <c r="AG75" s="16">
        <f t="shared" si="35"/>
        <v>0</v>
      </c>
      <c r="AH75" s="16">
        <f t="shared" si="35"/>
        <v>0</v>
      </c>
      <c r="AI75" s="16">
        <f t="shared" si="35"/>
        <v>0</v>
      </c>
      <c r="AJ75" s="16">
        <f t="shared" si="35"/>
        <v>0</v>
      </c>
      <c r="AK75" s="16">
        <f t="shared" si="35"/>
        <v>0</v>
      </c>
      <c r="AL75" s="16">
        <f t="shared" si="35"/>
        <v>-1751.7857142857174</v>
      </c>
      <c r="AM75" s="16">
        <f t="shared" si="35"/>
        <v>1751.7857142857174</v>
      </c>
      <c r="AN75" s="16">
        <f t="shared" si="35"/>
        <v>0</v>
      </c>
    </row>
    <row r="76" spans="1:43" ht="13" x14ac:dyDescent="0.3">
      <c r="A76" s="10" t="s">
        <v>333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</row>
    <row r="77" spans="1:43" ht="13" x14ac:dyDescent="0.3">
      <c r="A77" s="1" t="s">
        <v>334</v>
      </c>
      <c r="B77" s="16">
        <f>SUM(E77:P77)</f>
        <v>47000</v>
      </c>
      <c r="C77" s="16">
        <f>SUM(Q77:AB77)</f>
        <v>47000</v>
      </c>
      <c r="D77" s="16">
        <f>SUM(AC77:AN77)</f>
        <v>0</v>
      </c>
      <c r="E77" s="15">
        <f>(F24-E24)*(1+'Prix et marges'!$C$12)</f>
        <v>0</v>
      </c>
      <c r="F77" s="15">
        <f>(G24-F24)*(1+'Prix et marges'!$C$12)</f>
        <v>11599.999999999998</v>
      </c>
      <c r="G77" s="15">
        <f>(H24-G24)*(1+'Prix et marges'!$C$12)</f>
        <v>9100</v>
      </c>
      <c r="H77" s="15">
        <f>(I24-H24)*(1+'Prix et marges'!$C$12)</f>
        <v>-6000</v>
      </c>
      <c r="I77" s="15">
        <f>(J24-I24)*(1+'Prix et marges'!$C$12)</f>
        <v>-3100.0000000000005</v>
      </c>
      <c r="J77" s="15">
        <f>(K24-J24)*(1+'Prix et marges'!$C$12)</f>
        <v>9100</v>
      </c>
      <c r="K77" s="15">
        <f>(L24-K24)*(1+'Prix et marges'!$C$12)</f>
        <v>-6000</v>
      </c>
      <c r="L77" s="15">
        <f>(M24-L24)*(1+'Prix et marges'!$C$12)</f>
        <v>-3100.0000000000005</v>
      </c>
      <c r="M77" s="15">
        <f>(N24-M24)*(1+'Prix et marges'!$C$12)</f>
        <v>-11599.999999999998</v>
      </c>
      <c r="N77" s="15">
        <f>(O24-N24)*(1+'Prix et marges'!$C$12)</f>
        <v>20700</v>
      </c>
      <c r="O77" s="15">
        <f>(P24-O24)*(1+'Prix et marges'!$C$12)</f>
        <v>-6000</v>
      </c>
      <c r="P77" s="15">
        <f>(Q24-P24)*(1+'Prix et marges'!$C$12)</f>
        <v>32300</v>
      </c>
      <c r="Q77" s="15">
        <f>(R24-Q24)*(1+'Prix et marges'!$C$12)</f>
        <v>0</v>
      </c>
      <c r="R77" s="15">
        <f>(S24-R24)*(1+'Prix et marges'!$C$12)</f>
        <v>0</v>
      </c>
      <c r="S77" s="15">
        <f>(T24-S24)*(1+'Prix et marges'!$C$12)</f>
        <v>0</v>
      </c>
      <c r="T77" s="15">
        <f>(U24-T24)*(1+'Prix et marges'!$C$12)</f>
        <v>0</v>
      </c>
      <c r="U77" s="15">
        <f>(V24-U24)*(1+'Prix et marges'!$C$12)</f>
        <v>0</v>
      </c>
      <c r="V77" s="15">
        <f>(W24-V24)*(1+'Prix et marges'!$C$12)</f>
        <v>0</v>
      </c>
      <c r="W77" s="15">
        <f>(X24-W24)*(1+'Prix et marges'!$C$12)</f>
        <v>0</v>
      </c>
      <c r="X77" s="15">
        <f>(Y24-X24)*(1+'Prix et marges'!$C$12)</f>
        <v>0</v>
      </c>
      <c r="Y77" s="15">
        <f>(Z24-Y24)*(1+'Prix et marges'!$C$12)</f>
        <v>-47000</v>
      </c>
      <c r="Z77" s="15">
        <f>(AA24-Z24)*(1+'Prix et marges'!$C$12)</f>
        <v>47000</v>
      </c>
      <c r="AA77" s="15">
        <f>(AB24-AA24)*(1+'Prix et marges'!$C$12)</f>
        <v>0</v>
      </c>
      <c r="AB77" s="15">
        <f>(AC24-AB24)*(1+'Prix et marges'!$C$12)</f>
        <v>47000</v>
      </c>
      <c r="AC77" s="15">
        <f>(AD24-AC24)*(1+'Prix et marges'!$C$12)</f>
        <v>0</v>
      </c>
      <c r="AD77" s="15">
        <f>(AE24-AD24)*(1+'Prix et marges'!$C$12)</f>
        <v>0</v>
      </c>
      <c r="AE77" s="15">
        <f>(AF24-AE24)*(1+'Prix et marges'!$C$12)</f>
        <v>0</v>
      </c>
      <c r="AF77" s="15">
        <f>(AG24-AF24)*(1+'Prix et marges'!$C$12)</f>
        <v>0</v>
      </c>
      <c r="AG77" s="15">
        <f>(AH24-AG24)*(1+'Prix et marges'!$C$12)</f>
        <v>0</v>
      </c>
      <c r="AH77" s="15">
        <f>(AI24-AH24)*(1+'Prix et marges'!$C$12)</f>
        <v>0</v>
      </c>
      <c r="AI77" s="15">
        <f>(AJ24-AI24)*(1+'Prix et marges'!$C$12)</f>
        <v>0</v>
      </c>
      <c r="AJ77" s="15">
        <f>(AK24-AJ24)*(1+'Prix et marges'!$C$12)</f>
        <v>0</v>
      </c>
      <c r="AK77" s="15">
        <f>(AL24-AK24)*(1+'Prix et marges'!$C$12)</f>
        <v>-94000</v>
      </c>
      <c r="AL77" s="15">
        <f>(AM24-AL24)*(1+'Prix et marges'!$C$12)</f>
        <v>94000</v>
      </c>
      <c r="AM77" s="15">
        <f>(AN24-AM24)*(1+'Prix et marges'!$C$12)</f>
        <v>0</v>
      </c>
      <c r="AN77" s="15">
        <v>0</v>
      </c>
      <c r="AO77" s="1" t="s">
        <v>82</v>
      </c>
      <c r="AP77" s="1" t="s">
        <v>335</v>
      </c>
    </row>
    <row r="78" spans="1:43" ht="13" x14ac:dyDescent="0.3">
      <c r="A78" s="1" t="s">
        <v>336</v>
      </c>
      <c r="B78" s="16">
        <v>70000</v>
      </c>
      <c r="C78" s="16">
        <f>SUM(Q78:AB78)</f>
        <v>0</v>
      </c>
      <c r="D78" s="16">
        <f>SUM(AC78:AN78)</f>
        <v>0</v>
      </c>
      <c r="E78" s="14">
        <v>70000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" t="s">
        <v>82</v>
      </c>
      <c r="AP78" s="1" t="s">
        <v>337</v>
      </c>
    </row>
    <row r="79" spans="1:43" ht="13" x14ac:dyDescent="0.3">
      <c r="A79" s="1" t="s">
        <v>338</v>
      </c>
      <c r="B79" s="16">
        <f>SUM(E79:P79)</f>
        <v>54448.821428571413</v>
      </c>
      <c r="C79" s="16">
        <f>SUM(Q79:AB79)</f>
        <v>441904.67504761915</v>
      </c>
      <c r="D79" s="16">
        <f>SUM(AC79:AN79)</f>
        <v>375106.86200000008</v>
      </c>
      <c r="E79" s="15">
        <f t="shared" ref="E79:AN79" si="36">E59-E64+E75+E77+E78</f>
        <v>45237</v>
      </c>
      <c r="F79" s="15">
        <f t="shared" si="36"/>
        <v>6248.9999999999982</v>
      </c>
      <c r="G79" s="15">
        <f t="shared" si="36"/>
        <v>8497.3571428571413</v>
      </c>
      <c r="H79" s="15">
        <f t="shared" si="36"/>
        <v>-10979.000000000002</v>
      </c>
      <c r="I79" s="15">
        <f t="shared" si="36"/>
        <v>-38933.25</v>
      </c>
      <c r="J79" s="15">
        <f t="shared" si="36"/>
        <v>14289.714285714283</v>
      </c>
      <c r="K79" s="15">
        <f t="shared" si="36"/>
        <v>1719.3571428571395</v>
      </c>
      <c r="L79" s="15">
        <f t="shared" si="36"/>
        <v>2579.1071428571381</v>
      </c>
      <c r="M79" s="15">
        <f t="shared" si="36"/>
        <v>-9922.6428571428569</v>
      </c>
      <c r="N79" s="15">
        <f t="shared" si="36"/>
        <v>8589</v>
      </c>
      <c r="O79" s="15">
        <f t="shared" si="36"/>
        <v>-4568.2857142857174</v>
      </c>
      <c r="P79" s="15">
        <f t="shared" si="36"/>
        <v>31691.464285714283</v>
      </c>
      <c r="Q79" s="15">
        <f t="shared" si="36"/>
        <v>35996.80823809524</v>
      </c>
      <c r="R79" s="15">
        <f t="shared" si="36"/>
        <v>41696.80823809524</v>
      </c>
      <c r="S79" s="15">
        <f t="shared" si="36"/>
        <v>40660.605857142851</v>
      </c>
      <c r="T79" s="15">
        <f t="shared" si="36"/>
        <v>36669.296333333332</v>
      </c>
      <c r="U79" s="15">
        <f t="shared" si="36"/>
        <v>36669.296333333332</v>
      </c>
      <c r="V79" s="15">
        <f t="shared" si="36"/>
        <v>36669.296333333332</v>
      </c>
      <c r="W79" s="15">
        <f t="shared" si="36"/>
        <v>36669.296333333332</v>
      </c>
      <c r="X79" s="15">
        <f t="shared" si="36"/>
        <v>36669.296333333332</v>
      </c>
      <c r="Y79" s="15">
        <f t="shared" si="36"/>
        <v>-10330.703666666668</v>
      </c>
      <c r="Z79" s="15">
        <f t="shared" si="36"/>
        <v>59285.189190476187</v>
      </c>
      <c r="AA79" s="15">
        <f t="shared" si="36"/>
        <v>22580.189190476194</v>
      </c>
      <c r="AB79" s="15">
        <f t="shared" si="36"/>
        <v>68669.296333333332</v>
      </c>
      <c r="AC79" s="15">
        <f t="shared" si="36"/>
        <v>26975.437904761908</v>
      </c>
      <c r="AD79" s="15">
        <f t="shared" si="36"/>
        <v>34125.259333333335</v>
      </c>
      <c r="AE79" s="15">
        <f t="shared" si="36"/>
        <v>32725.259333333335</v>
      </c>
      <c r="AF79" s="15">
        <f t="shared" si="36"/>
        <v>32725.259333333335</v>
      </c>
      <c r="AG79" s="15">
        <f t="shared" si="36"/>
        <v>32725.259333333335</v>
      </c>
      <c r="AH79" s="15">
        <f t="shared" si="36"/>
        <v>32725.259333333335</v>
      </c>
      <c r="AI79" s="15">
        <f t="shared" si="36"/>
        <v>32725.259333333335</v>
      </c>
      <c r="AJ79" s="15">
        <f t="shared" si="36"/>
        <v>32725.259333333335</v>
      </c>
      <c r="AK79" s="15">
        <f t="shared" si="36"/>
        <v>-61274.740666666665</v>
      </c>
      <c r="AL79" s="15">
        <f t="shared" si="36"/>
        <v>111727.04504761906</v>
      </c>
      <c r="AM79" s="15">
        <f t="shared" si="36"/>
        <v>34477.045047619053</v>
      </c>
      <c r="AN79" s="15">
        <f t="shared" si="36"/>
        <v>32725.259333333335</v>
      </c>
      <c r="AP79" s="1" t="s">
        <v>339</v>
      </c>
    </row>
    <row r="80" spans="1:43" ht="13" x14ac:dyDescent="0.3">
      <c r="A80" s="2" t="s">
        <v>340</v>
      </c>
      <c r="B80" s="16">
        <f>P80</f>
        <v>54448.821428571413</v>
      </c>
      <c r="C80" s="16">
        <f>AB80</f>
        <v>496353.49647619051</v>
      </c>
      <c r="D80" s="16">
        <f>AN80</f>
        <v>871460.35847619059</v>
      </c>
      <c r="E80" s="16">
        <f>E79</f>
        <v>45237</v>
      </c>
      <c r="F80" s="16">
        <f t="shared" ref="F80:AN80" si="37">E80+F79</f>
        <v>51486</v>
      </c>
      <c r="G80" s="16">
        <f t="shared" si="37"/>
        <v>59983.357142857145</v>
      </c>
      <c r="H80" s="16">
        <f t="shared" si="37"/>
        <v>49004.357142857145</v>
      </c>
      <c r="I80" s="16">
        <f t="shared" si="37"/>
        <v>10071.107142857145</v>
      </c>
      <c r="J80" s="16">
        <f t="shared" si="37"/>
        <v>24360.821428571428</v>
      </c>
      <c r="K80" s="16">
        <f t="shared" si="37"/>
        <v>26080.178571428565</v>
      </c>
      <c r="L80" s="16">
        <f t="shared" si="37"/>
        <v>28659.285714285703</v>
      </c>
      <c r="M80" s="16">
        <f t="shared" si="37"/>
        <v>18736.642857142848</v>
      </c>
      <c r="N80" s="16">
        <f t="shared" si="37"/>
        <v>27325.642857142848</v>
      </c>
      <c r="O80" s="16">
        <f t="shared" si="37"/>
        <v>22757.35714285713</v>
      </c>
      <c r="P80" s="16">
        <f t="shared" si="37"/>
        <v>54448.821428571413</v>
      </c>
      <c r="Q80" s="16">
        <f t="shared" si="37"/>
        <v>90445.629666666646</v>
      </c>
      <c r="R80" s="16">
        <f t="shared" si="37"/>
        <v>132142.43790476187</v>
      </c>
      <c r="S80" s="16">
        <f t="shared" si="37"/>
        <v>172803.04376190473</v>
      </c>
      <c r="T80" s="16">
        <f t="shared" si="37"/>
        <v>209472.34009523806</v>
      </c>
      <c r="U80" s="16">
        <f t="shared" si="37"/>
        <v>246141.63642857139</v>
      </c>
      <c r="V80" s="16">
        <f t="shared" si="37"/>
        <v>282810.93276190473</v>
      </c>
      <c r="W80" s="16">
        <f t="shared" si="37"/>
        <v>319480.22909523803</v>
      </c>
      <c r="X80" s="16">
        <f t="shared" si="37"/>
        <v>356149.52542857139</v>
      </c>
      <c r="Y80" s="16">
        <f t="shared" si="37"/>
        <v>345818.82176190475</v>
      </c>
      <c r="Z80" s="16">
        <f t="shared" si="37"/>
        <v>405104.01095238095</v>
      </c>
      <c r="AA80" s="16">
        <f t="shared" si="37"/>
        <v>427684.20014285715</v>
      </c>
      <c r="AB80" s="16">
        <f t="shared" si="37"/>
        <v>496353.49647619051</v>
      </c>
      <c r="AC80" s="16">
        <f t="shared" si="37"/>
        <v>523328.93438095244</v>
      </c>
      <c r="AD80" s="16">
        <f t="shared" si="37"/>
        <v>557454.19371428574</v>
      </c>
      <c r="AE80" s="16">
        <f t="shared" si="37"/>
        <v>590179.45304761908</v>
      </c>
      <c r="AF80" s="16">
        <f t="shared" si="37"/>
        <v>622904.71238095243</v>
      </c>
      <c r="AG80" s="16">
        <f t="shared" si="37"/>
        <v>655629.97171428578</v>
      </c>
      <c r="AH80" s="16">
        <f t="shared" si="37"/>
        <v>688355.23104761913</v>
      </c>
      <c r="AI80" s="16">
        <f t="shared" si="37"/>
        <v>721080.49038095248</v>
      </c>
      <c r="AJ80" s="16">
        <f t="shared" si="37"/>
        <v>753805.74971428583</v>
      </c>
      <c r="AK80" s="16">
        <f t="shared" si="37"/>
        <v>692531.00904761918</v>
      </c>
      <c r="AL80" s="16">
        <f t="shared" si="37"/>
        <v>804258.05409523821</v>
      </c>
      <c r="AM80" s="16">
        <f t="shared" si="37"/>
        <v>838735.09914285725</v>
      </c>
      <c r="AN80" s="16">
        <f t="shared" si="37"/>
        <v>871460.35847619059</v>
      </c>
    </row>
    <row r="82" spans="1:43" ht="13" x14ac:dyDescent="0.3">
      <c r="A82" s="10" t="s">
        <v>341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</row>
    <row r="83" spans="1:43" ht="26" x14ac:dyDescent="0.25">
      <c r="A83" s="6" t="s">
        <v>204</v>
      </c>
      <c r="B83" s="6" t="s">
        <v>342</v>
      </c>
      <c r="C83" s="6"/>
      <c r="D83" s="6"/>
      <c r="E83" s="6" t="s">
        <v>343</v>
      </c>
    </row>
    <row r="84" spans="1:43" x14ac:dyDescent="0.25">
      <c r="A84" s="1" t="s">
        <v>344</v>
      </c>
      <c r="B84" s="14">
        <v>300</v>
      </c>
      <c r="E84" s="1" t="s">
        <v>345</v>
      </c>
    </row>
    <row r="85" spans="1:43" x14ac:dyDescent="0.25">
      <c r="A85" s="1" t="s">
        <v>346</v>
      </c>
      <c r="B85" s="14">
        <v>700</v>
      </c>
      <c r="E85" s="1" t="s">
        <v>347</v>
      </c>
    </row>
    <row r="86" spans="1:43" x14ac:dyDescent="0.25">
      <c r="A86" s="1" t="s">
        <v>348</v>
      </c>
      <c r="B86" s="14">
        <v>15000</v>
      </c>
      <c r="E86" s="1" t="s">
        <v>349</v>
      </c>
    </row>
    <row r="87" spans="1:43" x14ac:dyDescent="0.25">
      <c r="A87" s="1" t="s">
        <v>350</v>
      </c>
      <c r="B87" s="14">
        <v>15000</v>
      </c>
      <c r="E87" s="1" t="s">
        <v>351</v>
      </c>
    </row>
    <row r="88" spans="1:43" x14ac:dyDescent="0.25">
      <c r="A88" s="1" t="s">
        <v>352</v>
      </c>
      <c r="B88" s="11">
        <v>1</v>
      </c>
      <c r="E88" s="1" t="s">
        <v>353</v>
      </c>
    </row>
    <row r="89" spans="1:43" x14ac:dyDescent="0.25">
      <c r="A89" s="1" t="s">
        <v>354</v>
      </c>
      <c r="B89" s="41">
        <v>0.02</v>
      </c>
      <c r="E89" s="1" t="s">
        <v>355</v>
      </c>
    </row>
    <row r="90" spans="1:43" x14ac:dyDescent="0.25">
      <c r="A90" s="1" t="s">
        <v>425</v>
      </c>
      <c r="B90" s="71">
        <v>40</v>
      </c>
      <c r="E90" s="1" t="s">
        <v>426</v>
      </c>
    </row>
    <row r="91" spans="1:43" x14ac:dyDescent="0.25">
      <c r="A91" s="1" t="s">
        <v>458</v>
      </c>
      <c r="B91" s="71">
        <v>300</v>
      </c>
      <c r="E91" s="1" t="s">
        <v>459</v>
      </c>
    </row>
    <row r="92" spans="1:43" x14ac:dyDescent="0.25">
      <c r="A92" s="1" t="s">
        <v>460</v>
      </c>
      <c r="B92" s="71">
        <v>80</v>
      </c>
      <c r="E92" s="1" t="s">
        <v>461</v>
      </c>
    </row>
    <row r="93" spans="1:43" x14ac:dyDescent="0.25">
      <c r="A93" s="1" t="s">
        <v>462</v>
      </c>
      <c r="B93" s="71">
        <v>50</v>
      </c>
      <c r="E93" s="1" t="s">
        <v>463</v>
      </c>
    </row>
    <row r="95" spans="1:43" ht="26" x14ac:dyDescent="0.25">
      <c r="A95" s="6" t="s">
        <v>356</v>
      </c>
      <c r="B95" s="6" t="s">
        <v>357</v>
      </c>
      <c r="C95" s="6" t="s">
        <v>358</v>
      </c>
      <c r="D95" s="6"/>
      <c r="E95" s="6" t="s">
        <v>343</v>
      </c>
    </row>
    <row r="96" spans="1:43" x14ac:dyDescent="0.25">
      <c r="A96" s="1" t="s">
        <v>359</v>
      </c>
      <c r="B96" s="1" t="s">
        <v>360</v>
      </c>
      <c r="C96" s="52">
        <f>EDATE($B$3,2)</f>
        <v>46388</v>
      </c>
      <c r="E96" s="1" t="s">
        <v>361</v>
      </c>
    </row>
    <row r="97" spans="1:5" x14ac:dyDescent="0.25">
      <c r="A97" s="1" t="s">
        <v>362</v>
      </c>
      <c r="B97" s="1" t="s">
        <v>360</v>
      </c>
      <c r="C97" s="52">
        <f>EDATE($B$3,12)</f>
        <v>46692</v>
      </c>
      <c r="E97" s="1" t="s">
        <v>434</v>
      </c>
    </row>
    <row r="98" spans="1:5" x14ac:dyDescent="0.25">
      <c r="A98" s="1" t="s">
        <v>473</v>
      </c>
      <c r="B98" s="1" t="s">
        <v>471</v>
      </c>
      <c r="C98" s="52">
        <f>EDATE($B$3,12)</f>
        <v>46692</v>
      </c>
      <c r="E98" s="1" t="s">
        <v>434</v>
      </c>
    </row>
    <row r="99" spans="1:5" x14ac:dyDescent="0.25">
      <c r="A99" s="1" t="s">
        <v>474</v>
      </c>
      <c r="B99" s="1" t="s">
        <v>472</v>
      </c>
      <c r="C99" s="52">
        <f>EDATE($B$3,24)</f>
        <v>47058</v>
      </c>
      <c r="E99" s="1" t="s">
        <v>434</v>
      </c>
    </row>
    <row r="100" spans="1:5" x14ac:dyDescent="0.25">
      <c r="A100" s="1" t="s">
        <v>364</v>
      </c>
      <c r="B100" s="1" t="s">
        <v>363</v>
      </c>
      <c r="C100" s="52">
        <f>EDATE($B$3,24)</f>
        <v>47058</v>
      </c>
      <c r="E100" s="1" t="s">
        <v>434</v>
      </c>
    </row>
    <row r="101" spans="1:5" x14ac:dyDescent="0.25">
      <c r="A101" s="1" t="s">
        <v>365</v>
      </c>
      <c r="B101" s="1" t="s">
        <v>363</v>
      </c>
      <c r="C101" s="52">
        <f>EDATE($B$3,24)</f>
        <v>47058</v>
      </c>
      <c r="E101" s="1" t="s">
        <v>434</v>
      </c>
    </row>
    <row r="103" spans="1:5" ht="13" x14ac:dyDescent="0.3">
      <c r="A103" s="4" t="s">
        <v>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33A9-AD53-45CF-A6E8-3A1C7CC9CABA}">
  <dimension ref="A1:N60"/>
  <sheetViews>
    <sheetView workbookViewId="0"/>
  </sheetViews>
  <sheetFormatPr baseColWidth="10" defaultRowHeight="12.5" x14ac:dyDescent="0.25"/>
  <cols>
    <col min="1" max="1" width="44.6328125" style="1" customWidth="1"/>
    <col min="2" max="2" width="24.6328125" style="1" customWidth="1"/>
    <col min="3" max="6" width="13.6328125" style="1" customWidth="1"/>
    <col min="7" max="14" width="12.6328125" style="1" customWidth="1"/>
    <col min="15" max="16384" width="10.90625" style="1"/>
  </cols>
  <sheetData>
    <row r="1" spans="1:5" ht="18" x14ac:dyDescent="0.4">
      <c r="A1" s="3" t="s">
        <v>370</v>
      </c>
    </row>
    <row r="2" spans="1:5" ht="13" x14ac:dyDescent="0.3">
      <c r="A2" s="4" t="s">
        <v>203</v>
      </c>
    </row>
    <row r="4" spans="1:5" ht="26" x14ac:dyDescent="0.25">
      <c r="A4" s="6" t="s">
        <v>204</v>
      </c>
      <c r="B4" s="6" t="s">
        <v>205</v>
      </c>
      <c r="C4" s="6"/>
      <c r="D4" s="6" t="s">
        <v>32</v>
      </c>
      <c r="E4" s="6" t="s">
        <v>206</v>
      </c>
    </row>
    <row r="5" spans="1:5" x14ac:dyDescent="0.25">
      <c r="A5" s="1" t="s">
        <v>207</v>
      </c>
      <c r="B5" s="1" t="s">
        <v>208</v>
      </c>
      <c r="D5" s="1" t="s">
        <v>82</v>
      </c>
      <c r="E5" s="1" t="s">
        <v>209</v>
      </c>
    </row>
    <row r="6" spans="1:5" x14ac:dyDescent="0.25">
      <c r="A6" s="1" t="s">
        <v>210</v>
      </c>
      <c r="B6" s="1" t="s">
        <v>211</v>
      </c>
      <c r="D6" s="1" t="s">
        <v>82</v>
      </c>
      <c r="E6" s="1" t="s">
        <v>212</v>
      </c>
    </row>
    <row r="7" spans="1:5" x14ac:dyDescent="0.25">
      <c r="A7" s="1" t="s">
        <v>213</v>
      </c>
      <c r="B7" s="1" t="s">
        <v>214</v>
      </c>
      <c r="D7" s="1" t="s">
        <v>82</v>
      </c>
      <c r="E7" s="1" t="s">
        <v>215</v>
      </c>
    </row>
    <row r="9" spans="1:5" ht="26" x14ac:dyDescent="0.25">
      <c r="A9" s="6" t="s">
        <v>216</v>
      </c>
      <c r="B9" s="6" t="s">
        <v>217</v>
      </c>
      <c r="C9" s="6" t="s">
        <v>218</v>
      </c>
      <c r="D9" s="6" t="s">
        <v>32</v>
      </c>
      <c r="E9" s="6" t="s">
        <v>206</v>
      </c>
    </row>
    <row r="10" spans="1:5" x14ac:dyDescent="0.25">
      <c r="A10" s="1" t="s">
        <v>219</v>
      </c>
      <c r="B10" s="1">
        <v>19</v>
      </c>
      <c r="C10" s="41">
        <v>0.2</v>
      </c>
      <c r="D10" s="1" t="s">
        <v>82</v>
      </c>
      <c r="E10" s="1" t="s">
        <v>220</v>
      </c>
    </row>
    <row r="11" spans="1:5" x14ac:dyDescent="0.25">
      <c r="A11" s="1" t="s">
        <v>221</v>
      </c>
      <c r="B11" s="1">
        <v>22</v>
      </c>
      <c r="C11" s="41">
        <v>0</v>
      </c>
      <c r="D11" s="1" t="s">
        <v>82</v>
      </c>
      <c r="E11" s="1" t="s">
        <v>222</v>
      </c>
    </row>
    <row r="12" spans="1:5" x14ac:dyDescent="0.25">
      <c r="A12" s="1" t="s">
        <v>223</v>
      </c>
      <c r="B12" s="1" t="s">
        <v>224</v>
      </c>
      <c r="C12" s="41">
        <v>5.5E-2</v>
      </c>
      <c r="D12" s="1" t="s">
        <v>82</v>
      </c>
      <c r="E12" s="1" t="s">
        <v>225</v>
      </c>
    </row>
    <row r="13" spans="1:5" x14ac:dyDescent="0.25">
      <c r="A13" s="1" t="s">
        <v>226</v>
      </c>
      <c r="B13" s="1" t="s">
        <v>227</v>
      </c>
      <c r="C13" s="41">
        <v>0.2</v>
      </c>
      <c r="D13" s="1" t="s">
        <v>82</v>
      </c>
      <c r="E13" s="1" t="s">
        <v>228</v>
      </c>
    </row>
    <row r="14" spans="1:5" x14ac:dyDescent="0.25">
      <c r="A14" s="1" t="s">
        <v>229</v>
      </c>
      <c r="B14" s="1" t="s">
        <v>230</v>
      </c>
      <c r="C14" s="41">
        <v>0.2</v>
      </c>
      <c r="D14" s="1" t="s">
        <v>82</v>
      </c>
      <c r="E14" s="1" t="s">
        <v>231</v>
      </c>
    </row>
    <row r="15" spans="1:5" x14ac:dyDescent="0.25">
      <c r="A15" s="1" t="s">
        <v>232</v>
      </c>
      <c r="B15" s="1">
        <v>27</v>
      </c>
      <c r="C15" s="41">
        <v>0.2</v>
      </c>
      <c r="D15" s="1" t="s">
        <v>82</v>
      </c>
      <c r="E15" s="1" t="s">
        <v>82</v>
      </c>
    </row>
    <row r="16" spans="1:5" x14ac:dyDescent="0.25">
      <c r="A16" s="1" t="s">
        <v>65</v>
      </c>
      <c r="B16" s="1">
        <v>28</v>
      </c>
      <c r="C16" s="41">
        <v>0</v>
      </c>
      <c r="D16" s="1" t="s">
        <v>82</v>
      </c>
      <c r="E16" s="1" t="s">
        <v>233</v>
      </c>
    </row>
    <row r="17" spans="1:6" x14ac:dyDescent="0.25">
      <c r="A17" s="1" t="s">
        <v>234</v>
      </c>
      <c r="B17" s="1">
        <v>29</v>
      </c>
      <c r="C17" s="41">
        <v>0.2</v>
      </c>
      <c r="D17" s="1" t="s">
        <v>82</v>
      </c>
      <c r="E17" s="1" t="s">
        <v>82</v>
      </c>
    </row>
    <row r="18" spans="1:6" x14ac:dyDescent="0.25">
      <c r="A18" s="1" t="s">
        <v>67</v>
      </c>
      <c r="B18" s="1" t="s">
        <v>235</v>
      </c>
      <c r="C18" s="41">
        <v>0</v>
      </c>
      <c r="D18" s="1" t="s">
        <v>82</v>
      </c>
      <c r="E18" s="1" t="s">
        <v>236</v>
      </c>
    </row>
    <row r="19" spans="1:6" x14ac:dyDescent="0.25">
      <c r="A19" s="1" t="s">
        <v>237</v>
      </c>
      <c r="B19" s="1" t="s">
        <v>238</v>
      </c>
      <c r="C19" s="41">
        <v>0.2</v>
      </c>
      <c r="D19" s="1" t="s">
        <v>82</v>
      </c>
      <c r="E19" s="1" t="s">
        <v>82</v>
      </c>
    </row>
    <row r="20" spans="1:6" x14ac:dyDescent="0.25">
      <c r="A20" s="1" t="s">
        <v>382</v>
      </c>
      <c r="B20" s="1">
        <v>33</v>
      </c>
      <c r="C20" s="41">
        <v>0.2</v>
      </c>
      <c r="D20" s="1" t="s">
        <v>82</v>
      </c>
      <c r="E20" s="1" t="s">
        <v>239</v>
      </c>
    </row>
    <row r="22" spans="1:6" ht="26" x14ac:dyDescent="0.25">
      <c r="A22" s="6" t="s">
        <v>240</v>
      </c>
      <c r="B22" s="6"/>
      <c r="C22" s="6" t="s">
        <v>104</v>
      </c>
      <c r="D22" s="6" t="s">
        <v>105</v>
      </c>
      <c r="E22" s="6" t="s">
        <v>106</v>
      </c>
      <c r="F22" s="6" t="s">
        <v>241</v>
      </c>
    </row>
    <row r="23" spans="1:6" x14ac:dyDescent="0.25">
      <c r="A23" s="1" t="s">
        <v>242</v>
      </c>
      <c r="C23" s="15">
        <f>'Prix et marges'!C17</f>
        <v>10357.142857142855</v>
      </c>
      <c r="D23" s="15">
        <f>'Prix et marges'!D17</f>
        <v>13124.999999999998</v>
      </c>
      <c r="E23" s="15">
        <f>'Prix et marges'!E17</f>
        <v>18482.142857142855</v>
      </c>
      <c r="F23" s="15">
        <f>'Prix et marges'!F17</f>
        <v>13392.857142857141</v>
      </c>
    </row>
    <row r="24" spans="1:6" x14ac:dyDescent="0.25">
      <c r="A24" s="1" t="s">
        <v>243</v>
      </c>
      <c r="C24" s="50">
        <f>'Prix et marges'!C12</f>
        <v>0.12</v>
      </c>
      <c r="D24" s="50">
        <f>'Prix et marges'!D12</f>
        <v>0.12</v>
      </c>
      <c r="E24" s="50">
        <f>'Prix et marges'!E12</f>
        <v>0.12</v>
      </c>
      <c r="F24" s="50">
        <f>'Prix et marges'!F12</f>
        <v>0.12</v>
      </c>
    </row>
    <row r="25" spans="1:6" x14ac:dyDescent="0.25">
      <c r="A25" s="1" t="s">
        <v>244</v>
      </c>
      <c r="C25" s="15">
        <f>C23*C24</f>
        <v>1242.8571428571427</v>
      </c>
      <c r="D25" s="15">
        <f>D23*D24</f>
        <v>1574.9999999999998</v>
      </c>
      <c r="E25" s="15">
        <f>E23*E24</f>
        <v>2217.8571428571427</v>
      </c>
      <c r="F25" s="15">
        <f>F23*F24</f>
        <v>1607.1428571428569</v>
      </c>
    </row>
    <row r="26" spans="1:6" x14ac:dyDescent="0.25">
      <c r="A26" s="1" t="s">
        <v>245</v>
      </c>
      <c r="C26" s="15">
        <f>'Prix et marges'!C19*$C$10+'Prix et marges'!C22*$C$11+'Prix et marges'!C9*'Prix et marges'!C23*$C$12+'Prix et marges'!C9*'Prix et marges'!C24*$C$13+'Prix et marges'!C26*$C$14+'Prix et marges'!C27*$C$15+'Prix et marges'!C28*$C$16+'Prix et marges'!C29*$C$17+'Prix et marges'!C30*'Prix et marges'!C17*$C$18+'Prix et marges'!C31*'Prix et marges'!C17*$C$19+'Prix et marges'!C33*$C$20</f>
        <v>941.71428571428567</v>
      </c>
      <c r="D26" s="15">
        <f>'Prix et marges'!D19*$C$10+'Prix et marges'!D22*$C$11+'Prix et marges'!D9*'Prix et marges'!D23*$C$12+'Prix et marges'!D9*'Prix et marges'!D24*$C$13+'Prix et marges'!D26*$C$14+'Prix et marges'!D27*$C$15+'Prix et marges'!D28*$C$16+'Prix et marges'!D29*$C$17+'Prix et marges'!D30*'Prix et marges'!D17*$C$18+'Prix et marges'!D31*'Prix et marges'!D17*$C$19+'Prix et marges'!D33*$C$20</f>
        <v>1355</v>
      </c>
      <c r="E26" s="15">
        <f>'Prix et marges'!E19*$C$10+'Prix et marges'!E22*$C$11+'Prix et marges'!E9*'Prix et marges'!E23*$C$12+'Prix et marges'!E9*'Prix et marges'!E24*$C$13+'Prix et marges'!E26*$C$14+'Prix et marges'!E27*$C$15+'Prix et marges'!E28*$C$16+'Prix et marges'!E29*$C$17+'Prix et marges'!E30*'Prix et marges'!E17*$C$18+'Prix et marges'!E31*'Prix et marges'!E17*$C$19+'Prix et marges'!E33*$C$20</f>
        <v>1702.6071428571427</v>
      </c>
      <c r="F26" s="15">
        <f>'Prix et marges'!F19*$C$10+'Prix et marges'!F22*$C$11+'Prix et marges'!F9*'Prix et marges'!F23*$C$12+'Prix et marges'!F9*'Prix et marges'!F24*$C$13+'Prix et marges'!F26*$C$14+'Prix et marges'!F27*$C$15+'Prix et marges'!F28*$C$16+'Prix et marges'!F29*$C$17+'Prix et marges'!F30*'Prix et marges'!F17*$C$18+'Prix et marges'!F31*'Prix et marges'!F17*$C$19+'Prix et marges'!F33*$C$20</f>
        <v>1091.2142857142856</v>
      </c>
    </row>
    <row r="27" spans="1:6" x14ac:dyDescent="0.25">
      <c r="A27" s="1" t="s">
        <v>246</v>
      </c>
      <c r="C27" s="15">
        <f>C25-C26</f>
        <v>301.142857142857</v>
      </c>
      <c r="D27" s="15">
        <f>D25-D26</f>
        <v>219.99999999999977</v>
      </c>
      <c r="E27" s="15">
        <f>E25-E26</f>
        <v>515.25</v>
      </c>
      <c r="F27" s="15">
        <f>F25-F26</f>
        <v>515.92857142857133</v>
      </c>
    </row>
    <row r="29" spans="1:6" ht="26" x14ac:dyDescent="0.25">
      <c r="A29" s="6" t="s">
        <v>247</v>
      </c>
      <c r="B29" s="6" t="s">
        <v>248</v>
      </c>
      <c r="C29" s="6" t="s">
        <v>218</v>
      </c>
      <c r="D29" s="6" t="s">
        <v>32</v>
      </c>
      <c r="E29" s="6" t="s">
        <v>206</v>
      </c>
    </row>
    <row r="30" spans="1:6" x14ac:dyDescent="0.25">
      <c r="A30" s="1" t="s">
        <v>249</v>
      </c>
      <c r="B30" s="1" t="s">
        <v>380</v>
      </c>
      <c r="C30" s="41">
        <v>0.2</v>
      </c>
      <c r="D30" s="1" t="s">
        <v>82</v>
      </c>
      <c r="E30" s="1" t="s">
        <v>82</v>
      </c>
    </row>
    <row r="31" spans="1:6" x14ac:dyDescent="0.25">
      <c r="A31" s="1" t="s">
        <v>250</v>
      </c>
      <c r="B31" s="1" t="s">
        <v>379</v>
      </c>
      <c r="C31" s="41">
        <v>0.2</v>
      </c>
      <c r="D31" s="1" t="s">
        <v>82</v>
      </c>
      <c r="E31" s="1" t="s">
        <v>82</v>
      </c>
    </row>
    <row r="32" spans="1:6" x14ac:dyDescent="0.25">
      <c r="A32" s="1" t="s">
        <v>110</v>
      </c>
      <c r="B32" s="1" t="s">
        <v>378</v>
      </c>
      <c r="C32" s="41">
        <v>0.2</v>
      </c>
      <c r="D32" s="1" t="s">
        <v>82</v>
      </c>
      <c r="E32" s="1" t="s">
        <v>251</v>
      </c>
    </row>
    <row r="33" spans="1:14" x14ac:dyDescent="0.25">
      <c r="A33" s="1" t="s">
        <v>371</v>
      </c>
      <c r="B33" s="1" t="s">
        <v>372</v>
      </c>
      <c r="C33" s="41">
        <v>0</v>
      </c>
      <c r="D33" s="1" t="s">
        <v>82</v>
      </c>
      <c r="E33" s="1" t="s">
        <v>252</v>
      </c>
    </row>
    <row r="34" spans="1:14" x14ac:dyDescent="0.25">
      <c r="A34" s="1" t="s">
        <v>253</v>
      </c>
      <c r="B34" s="1" t="s">
        <v>377</v>
      </c>
      <c r="C34" s="41">
        <v>0.2</v>
      </c>
      <c r="D34" s="1" t="s">
        <v>82</v>
      </c>
      <c r="E34" s="1" t="s">
        <v>82</v>
      </c>
    </row>
    <row r="35" spans="1:14" x14ac:dyDescent="0.25">
      <c r="A35" s="1" t="s">
        <v>112</v>
      </c>
      <c r="B35" s="1" t="s">
        <v>376</v>
      </c>
      <c r="C35" s="41">
        <v>0</v>
      </c>
      <c r="D35" s="1" t="s">
        <v>82</v>
      </c>
      <c r="E35" s="1" t="s">
        <v>254</v>
      </c>
    </row>
    <row r="36" spans="1:14" x14ac:dyDescent="0.25">
      <c r="A36" s="1" t="s">
        <v>113</v>
      </c>
      <c r="B36" s="1" t="s">
        <v>375</v>
      </c>
      <c r="C36" s="41">
        <v>0.1</v>
      </c>
      <c r="D36" s="1" t="s">
        <v>82</v>
      </c>
      <c r="E36" s="1" t="s">
        <v>255</v>
      </c>
    </row>
    <row r="37" spans="1:14" x14ac:dyDescent="0.25">
      <c r="A37" s="1" t="s">
        <v>114</v>
      </c>
      <c r="B37" s="1" t="s">
        <v>374</v>
      </c>
      <c r="C37" s="41">
        <v>0</v>
      </c>
      <c r="D37" s="1" t="s">
        <v>82</v>
      </c>
      <c r="E37" s="1" t="s">
        <v>256</v>
      </c>
    </row>
    <row r="38" spans="1:14" x14ac:dyDescent="0.25">
      <c r="A38" s="1" t="s">
        <v>381</v>
      </c>
      <c r="B38" s="1" t="s">
        <v>373</v>
      </c>
      <c r="C38" s="41">
        <v>0.2</v>
      </c>
      <c r="D38" s="1" t="s">
        <v>82</v>
      </c>
      <c r="E38" s="1" t="s">
        <v>82</v>
      </c>
    </row>
    <row r="40" spans="1:14" ht="14.5" x14ac:dyDescent="0.35">
      <c r="A40" s="60" t="s">
        <v>369</v>
      </c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ht="14.5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ht="14.5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ht="14.5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ht="14.5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ht="14.5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ht="14.5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4" ht="14.5" x14ac:dyDescent="0.35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 ht="14.5" x14ac:dyDescent="0.35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4" ht="14.5" x14ac:dyDescent="0.35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 ht="14.5" x14ac:dyDescent="0.35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 ht="14.5" x14ac:dyDescent="0.35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 ht="14.5" x14ac:dyDescent="0.35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1:14" ht="14.5" x14ac:dyDescent="0.35">
      <c r="A53"/>
      <c r="B53"/>
      <c r="C53"/>
      <c r="D53"/>
      <c r="E53"/>
      <c r="F53"/>
      <c r="G53"/>
      <c r="H53"/>
      <c r="I53"/>
      <c r="J53"/>
      <c r="K53"/>
      <c r="L53"/>
      <c r="M53"/>
      <c r="N53"/>
    </row>
    <row r="54" spans="1:14" ht="14.5" x14ac:dyDescent="0.35">
      <c r="A54"/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1:14" ht="14.5" x14ac:dyDescent="0.35">
      <c r="A55"/>
      <c r="B55"/>
      <c r="C55"/>
      <c r="D55"/>
      <c r="E55"/>
      <c r="F55"/>
      <c r="G55"/>
      <c r="H55"/>
      <c r="I55"/>
      <c r="J55"/>
      <c r="K55"/>
      <c r="L55"/>
      <c r="M55"/>
      <c r="N55"/>
    </row>
    <row r="56" spans="1:14" ht="14.5" x14ac:dyDescent="0.35">
      <c r="A56"/>
      <c r="B56"/>
      <c r="C56"/>
      <c r="D56"/>
      <c r="E56"/>
      <c r="F56"/>
      <c r="G56"/>
      <c r="H56"/>
      <c r="I56"/>
      <c r="J56"/>
      <c r="K56"/>
      <c r="L56"/>
      <c r="M56"/>
      <c r="N56"/>
    </row>
    <row r="57" spans="1:14" ht="14.5" x14ac:dyDescent="0.35">
      <c r="A57"/>
      <c r="B57"/>
      <c r="C57"/>
      <c r="D57"/>
      <c r="E57"/>
      <c r="F57"/>
      <c r="G57"/>
      <c r="H57"/>
      <c r="I57"/>
      <c r="J57"/>
      <c r="K57"/>
      <c r="L57"/>
      <c r="M57"/>
      <c r="N57"/>
    </row>
    <row r="58" spans="1:14" ht="14.5" x14ac:dyDescent="0.35">
      <c r="A58"/>
      <c r="B58"/>
      <c r="C58"/>
      <c r="D58"/>
      <c r="E58"/>
      <c r="F58"/>
      <c r="G58"/>
      <c r="H58"/>
      <c r="I58"/>
      <c r="J58"/>
      <c r="K58"/>
      <c r="L58"/>
      <c r="M58"/>
      <c r="N58"/>
    </row>
    <row r="59" spans="1:14" ht="14.5" x14ac:dyDescent="0.35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ht="14.5" x14ac:dyDescent="0.35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98DBE-F173-4946-8908-F62FA6ACEF06}">
  <dimension ref="A1:N27"/>
  <sheetViews>
    <sheetView zoomScaleNormal="100" workbookViewId="0">
      <pane xSplit="2" ySplit="5" topLeftCell="C6" activePane="bottomRight" state="frozenSplit"/>
      <selection pane="topRight" activeCell="C1" sqref="C1"/>
      <selection pane="bottomLeft" activeCell="A6" sqref="A6"/>
      <selection pane="bottomRight" activeCell="A34" sqref="A34"/>
    </sheetView>
  </sheetViews>
  <sheetFormatPr baseColWidth="10" defaultRowHeight="12.5" x14ac:dyDescent="0.25"/>
  <cols>
    <col min="1" max="1" width="36.6328125" style="1" customWidth="1"/>
    <col min="2" max="2" width="14.6328125" style="1" customWidth="1"/>
    <col min="3" max="14" width="12.6328125" style="1" customWidth="1"/>
    <col min="15" max="16384" width="10.90625" style="1"/>
  </cols>
  <sheetData>
    <row r="1" spans="1:14" ht="18" x14ac:dyDescent="0.4">
      <c r="A1" s="3" t="s">
        <v>383</v>
      </c>
    </row>
    <row r="2" spans="1:14" ht="13" x14ac:dyDescent="0.3">
      <c r="A2" s="4" t="s">
        <v>384</v>
      </c>
    </row>
    <row r="5" spans="1:14" ht="13" x14ac:dyDescent="0.3">
      <c r="A5" s="5" t="s">
        <v>118</v>
      </c>
      <c r="B5" s="5" t="s">
        <v>103</v>
      </c>
      <c r="C5" s="31">
        <f>'Budget 36 mois'!E5</f>
        <v>46327</v>
      </c>
      <c r="D5" s="31">
        <f>'Budget 36 mois'!F5</f>
        <v>46357</v>
      </c>
      <c r="E5" s="31">
        <f>'Budget 36 mois'!G5</f>
        <v>46388</v>
      </c>
      <c r="F5" s="31">
        <f>'Budget 36 mois'!H5</f>
        <v>46419</v>
      </c>
      <c r="G5" s="31">
        <f>'Budget 36 mois'!I5</f>
        <v>46447</v>
      </c>
      <c r="H5" s="31">
        <f>'Budget 36 mois'!J5</f>
        <v>46478</v>
      </c>
      <c r="I5" s="31">
        <f>'Budget 36 mois'!K5</f>
        <v>46508</v>
      </c>
      <c r="J5" s="31">
        <f>'Budget 36 mois'!L5</f>
        <v>46539</v>
      </c>
      <c r="K5" s="31">
        <f>'Budget 36 mois'!M5</f>
        <v>46569</v>
      </c>
      <c r="L5" s="31">
        <f>'Budget 36 mois'!N5</f>
        <v>46600</v>
      </c>
      <c r="M5" s="31">
        <f>'Budget 36 mois'!O5</f>
        <v>46631</v>
      </c>
      <c r="N5" s="31">
        <f>'Budget 36 mois'!P5</f>
        <v>46661</v>
      </c>
    </row>
    <row r="6" spans="1:14" ht="13" x14ac:dyDescent="0.3">
      <c r="A6" s="10" t="s">
        <v>119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5">
      <c r="A7" s="1" t="s">
        <v>120</v>
      </c>
      <c r="B7" s="12">
        <f>SUM(C7:N7)</f>
        <v>16</v>
      </c>
      <c r="C7" s="32">
        <f>'Budget 36 mois'!E13</f>
        <v>0</v>
      </c>
      <c r="D7" s="32">
        <f>'Budget 36 mois'!F13</f>
        <v>0</v>
      </c>
      <c r="E7" s="32">
        <f>'Budget 36 mois'!G13</f>
        <v>1</v>
      </c>
      <c r="F7" s="32">
        <f>'Budget 36 mois'!H13</f>
        <v>1</v>
      </c>
      <c r="G7" s="32">
        <f>'Budget 36 mois'!I13</f>
        <v>1</v>
      </c>
      <c r="H7" s="32">
        <f>'Budget 36 mois'!J13</f>
        <v>2</v>
      </c>
      <c r="I7" s="32">
        <f>'Budget 36 mois'!K13</f>
        <v>2</v>
      </c>
      <c r="J7" s="32">
        <f>'Budget 36 mois'!L13</f>
        <v>2</v>
      </c>
      <c r="K7" s="32">
        <f>'Budget 36 mois'!M13</f>
        <v>1</v>
      </c>
      <c r="L7" s="32">
        <f>'Budget 36 mois'!N13</f>
        <v>0</v>
      </c>
      <c r="M7" s="32">
        <f>'Budget 36 mois'!O13</f>
        <v>3</v>
      </c>
      <c r="N7" s="32">
        <f>'Budget 36 mois'!P13</f>
        <v>3</v>
      </c>
    </row>
    <row r="8" spans="1:14" x14ac:dyDescent="0.25">
      <c r="A8" s="1" t="s">
        <v>121</v>
      </c>
      <c r="B8" s="12">
        <f>SUM(C8:N8)</f>
        <v>0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 ht="13" x14ac:dyDescent="0.3">
      <c r="A9" s="2" t="s">
        <v>122</v>
      </c>
      <c r="B9" s="13">
        <f>SUM(C9:N9)</f>
        <v>0</v>
      </c>
      <c r="C9" s="13">
        <f t="shared" ref="C9:N9" si="0">IF(C8="",0,C8-C7)</f>
        <v>0</v>
      </c>
      <c r="D9" s="13">
        <f t="shared" si="0"/>
        <v>0</v>
      </c>
      <c r="E9" s="13">
        <f t="shared" si="0"/>
        <v>0</v>
      </c>
      <c r="F9" s="13">
        <f t="shared" si="0"/>
        <v>0</v>
      </c>
      <c r="G9" s="13">
        <f t="shared" si="0"/>
        <v>0</v>
      </c>
      <c r="H9" s="13">
        <f t="shared" si="0"/>
        <v>0</v>
      </c>
      <c r="I9" s="13">
        <f t="shared" si="0"/>
        <v>0</v>
      </c>
      <c r="J9" s="13">
        <f t="shared" si="0"/>
        <v>0</v>
      </c>
      <c r="K9" s="13">
        <f t="shared" si="0"/>
        <v>0</v>
      </c>
      <c r="L9" s="13">
        <f t="shared" si="0"/>
        <v>0</v>
      </c>
      <c r="M9" s="13">
        <f t="shared" si="0"/>
        <v>0</v>
      </c>
      <c r="N9" s="13">
        <f t="shared" si="0"/>
        <v>0</v>
      </c>
    </row>
    <row r="11" spans="1:14" ht="13" x14ac:dyDescent="0.3">
      <c r="A11" s="10" t="s">
        <v>108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x14ac:dyDescent="0.25">
      <c r="A12" s="1" t="s">
        <v>120</v>
      </c>
      <c r="B12" s="15">
        <f>SUM(C12:N12)</f>
        <v>219642.8571428571</v>
      </c>
      <c r="C12" s="33">
        <f>'Budget 36 mois'!E26</f>
        <v>0</v>
      </c>
      <c r="D12" s="33">
        <f>'Budget 36 mois'!F26</f>
        <v>0</v>
      </c>
      <c r="E12" s="33">
        <f>'Budget 36 mois'!G26</f>
        <v>10357.142857142855</v>
      </c>
      <c r="F12" s="33">
        <f>'Budget 36 mois'!H26</f>
        <v>18482.142857142855</v>
      </c>
      <c r="G12" s="33">
        <f>'Budget 36 mois'!I26</f>
        <v>13124.999999999998</v>
      </c>
      <c r="H12" s="33">
        <f>'Budget 36 mois'!J26</f>
        <v>23749.999999999996</v>
      </c>
      <c r="I12" s="33">
        <f>'Budget 36 mois'!K26</f>
        <v>31874.999999999996</v>
      </c>
      <c r="J12" s="33">
        <f>'Budget 36 mois'!L26</f>
        <v>26517.857142857138</v>
      </c>
      <c r="K12" s="33">
        <f>'Budget 36 mois'!M26</f>
        <v>10357.142857142855</v>
      </c>
      <c r="L12" s="33">
        <f>'Budget 36 mois'!N26</f>
        <v>0</v>
      </c>
      <c r="M12" s="33">
        <f>'Budget 36 mois'!O26</f>
        <v>45267.857142857138</v>
      </c>
      <c r="N12" s="33">
        <f>'Budget 36 mois'!P26</f>
        <v>39910.714285714283</v>
      </c>
    </row>
    <row r="13" spans="1:14" x14ac:dyDescent="0.25">
      <c r="A13" s="1" t="s">
        <v>121</v>
      </c>
      <c r="B13" s="15">
        <f>SUM(C13:N13)</f>
        <v>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spans="1:14" ht="13" x14ac:dyDescent="0.3">
      <c r="A14" s="2" t="s">
        <v>122</v>
      </c>
      <c r="B14" s="16">
        <f>SUM(C14:N14)</f>
        <v>0</v>
      </c>
      <c r="C14" s="16">
        <f t="shared" ref="C14:N14" si="1">IF(C13="",0,C13-C12)</f>
        <v>0</v>
      </c>
      <c r="D14" s="16">
        <f t="shared" si="1"/>
        <v>0</v>
      </c>
      <c r="E14" s="16">
        <f t="shared" si="1"/>
        <v>0</v>
      </c>
      <c r="F14" s="16">
        <f t="shared" si="1"/>
        <v>0</v>
      </c>
      <c r="G14" s="16">
        <f t="shared" si="1"/>
        <v>0</v>
      </c>
      <c r="H14" s="16">
        <f t="shared" si="1"/>
        <v>0</v>
      </c>
      <c r="I14" s="16">
        <f t="shared" si="1"/>
        <v>0</v>
      </c>
      <c r="J14" s="16">
        <f t="shared" si="1"/>
        <v>0</v>
      </c>
      <c r="K14" s="16">
        <f t="shared" si="1"/>
        <v>0</v>
      </c>
      <c r="L14" s="16">
        <f t="shared" si="1"/>
        <v>0</v>
      </c>
      <c r="M14" s="16">
        <f t="shared" si="1"/>
        <v>0</v>
      </c>
      <c r="N14" s="16">
        <f t="shared" si="1"/>
        <v>0</v>
      </c>
    </row>
    <row r="16" spans="1:14" ht="13" x14ac:dyDescent="0.3">
      <c r="A16" s="10" t="s">
        <v>136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x14ac:dyDescent="0.25">
      <c r="A17" s="1" t="s">
        <v>120</v>
      </c>
      <c r="B17" s="15">
        <f>SUM(C17:N17)</f>
        <v>93529.857142857145</v>
      </c>
      <c r="C17" s="33">
        <f>'Budget 36 mois'!E57</f>
        <v>2712</v>
      </c>
      <c r="D17" s="33">
        <f>'Budget 36 mois'!F57</f>
        <v>4660</v>
      </c>
      <c r="E17" s="33">
        <f>'Budget 36 mois'!G57</f>
        <v>2452.1428571428569</v>
      </c>
      <c r="F17" s="33">
        <f>'Budget 36 mois'!H57</f>
        <v>7614.6428571428569</v>
      </c>
      <c r="G17" s="33">
        <f>'Budget 36 mois'!I57</f>
        <v>34307.5</v>
      </c>
      <c r="H17" s="33">
        <f>'Budget 36 mois'!J57</f>
        <v>2520</v>
      </c>
      <c r="I17" s="33">
        <f>'Budget 36 mois'!K57</f>
        <v>1682.5</v>
      </c>
      <c r="J17" s="33">
        <f>'Budget 36 mois'!L57</f>
        <v>1575.3571428571427</v>
      </c>
      <c r="K17" s="33">
        <f>'Budget 36 mois'!M57</f>
        <v>1252.1428571428571</v>
      </c>
      <c r="L17" s="33">
        <f>'Budget 36 mois'!N57</f>
        <v>10960</v>
      </c>
      <c r="M17" s="33">
        <f>'Budget 36 mois'!O57</f>
        <v>11950.357142857143</v>
      </c>
      <c r="N17" s="33">
        <f>'Budget 36 mois'!P57</f>
        <v>11843.214285714286</v>
      </c>
    </row>
    <row r="18" spans="1:14" x14ac:dyDescent="0.25">
      <c r="A18" s="1" t="s">
        <v>121</v>
      </c>
      <c r="B18" s="15">
        <f>SUM(C18:N18)</f>
        <v>0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ht="13" x14ac:dyDescent="0.3">
      <c r="A19" s="2" t="s">
        <v>122</v>
      </c>
      <c r="B19" s="16">
        <f>SUM(C19:N19)</f>
        <v>0</v>
      </c>
      <c r="C19" s="16">
        <f t="shared" ref="C19:N19" si="2">IF(C18="",0,C18-C17)</f>
        <v>0</v>
      </c>
      <c r="D19" s="16">
        <f t="shared" si="2"/>
        <v>0</v>
      </c>
      <c r="E19" s="16">
        <f t="shared" si="2"/>
        <v>0</v>
      </c>
      <c r="F19" s="16">
        <f t="shared" si="2"/>
        <v>0</v>
      </c>
      <c r="G19" s="16">
        <f t="shared" si="2"/>
        <v>0</v>
      </c>
      <c r="H19" s="16">
        <f t="shared" si="2"/>
        <v>0</v>
      </c>
      <c r="I19" s="16">
        <f t="shared" si="2"/>
        <v>0</v>
      </c>
      <c r="J19" s="16">
        <f t="shared" si="2"/>
        <v>0</v>
      </c>
      <c r="K19" s="16">
        <f t="shared" si="2"/>
        <v>0</v>
      </c>
      <c r="L19" s="16">
        <f t="shared" si="2"/>
        <v>0</v>
      </c>
      <c r="M19" s="16">
        <f t="shared" si="2"/>
        <v>0</v>
      </c>
      <c r="N19" s="16">
        <f t="shared" si="2"/>
        <v>0</v>
      </c>
    </row>
    <row r="21" spans="1:14" ht="13" x14ac:dyDescent="0.3">
      <c r="A21" s="10" t="s">
        <v>123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4" x14ac:dyDescent="0.25">
      <c r="A22" s="1" t="s">
        <v>120</v>
      </c>
      <c r="B22" s="15">
        <f>SUM(C22:N22)</f>
        <v>-36232.357142857159</v>
      </c>
      <c r="C22" s="33">
        <f>'Budget 36 mois'!E59</f>
        <v>-2712</v>
      </c>
      <c r="D22" s="33">
        <f>'Budget 36 mois'!F59</f>
        <v>-4660</v>
      </c>
      <c r="E22" s="33">
        <f>'Budget 36 mois'!G59</f>
        <v>-364.28571428571558</v>
      </c>
      <c r="F22" s="33">
        <f>'Budget 36 mois'!H59</f>
        <v>-4003.7500000000018</v>
      </c>
      <c r="G22" s="33">
        <f>'Budget 36 mois'!I59</f>
        <v>-32093.75</v>
      </c>
      <c r="H22" s="33">
        <f>'Budget 36 mois'!J59</f>
        <v>4732.1428571428551</v>
      </c>
      <c r="I22" s="33">
        <f>'Budget 36 mois'!K59</f>
        <v>6847.6785714285688</v>
      </c>
      <c r="J22" s="33">
        <f>'Budget 36 mois'!L59</f>
        <v>5102.678571428567</v>
      </c>
      <c r="K22" s="33">
        <f>'Budget 36 mois'!M59</f>
        <v>1535.7142857142842</v>
      </c>
      <c r="L22" s="33">
        <f>'Budget 36 mois'!N59</f>
        <v>-10960</v>
      </c>
      <c r="M22" s="33">
        <f>'Budget 36 mois'!O59</f>
        <v>1044.1071428571395</v>
      </c>
      <c r="N22" s="33">
        <f>'Budget 36 mois'!P59</f>
        <v>-700.8928571428587</v>
      </c>
    </row>
    <row r="23" spans="1:14" x14ac:dyDescent="0.25">
      <c r="A23" s="1" t="s">
        <v>121</v>
      </c>
      <c r="B23" s="15">
        <f>SUM(C23:N23)</f>
        <v>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3" x14ac:dyDescent="0.3">
      <c r="A24" s="2" t="s">
        <v>122</v>
      </c>
      <c r="B24" s="16">
        <f>SUM(C24:N24)</f>
        <v>0</v>
      </c>
      <c r="C24" s="16">
        <f t="shared" ref="C24:N24" si="3">IF(C23="",0,C23-C22)</f>
        <v>0</v>
      </c>
      <c r="D24" s="16">
        <f t="shared" si="3"/>
        <v>0</v>
      </c>
      <c r="E24" s="16">
        <f t="shared" si="3"/>
        <v>0</v>
      </c>
      <c r="F24" s="16">
        <f t="shared" si="3"/>
        <v>0</v>
      </c>
      <c r="G24" s="16">
        <f t="shared" si="3"/>
        <v>0</v>
      </c>
      <c r="H24" s="16">
        <f t="shared" si="3"/>
        <v>0</v>
      </c>
      <c r="I24" s="16">
        <f t="shared" si="3"/>
        <v>0</v>
      </c>
      <c r="J24" s="16">
        <f t="shared" si="3"/>
        <v>0</v>
      </c>
      <c r="K24" s="16">
        <f t="shared" si="3"/>
        <v>0</v>
      </c>
      <c r="L24" s="16">
        <f t="shared" si="3"/>
        <v>0</v>
      </c>
      <c r="M24" s="16">
        <f t="shared" si="3"/>
        <v>0</v>
      </c>
      <c r="N24" s="16">
        <f t="shared" si="3"/>
        <v>0</v>
      </c>
    </row>
    <row r="26" spans="1:14" ht="13" x14ac:dyDescent="0.3">
      <c r="A26" s="10" t="s">
        <v>124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45" customHeight="1" x14ac:dyDescent="0.25">
      <c r="A27" s="7" t="s">
        <v>125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B26B6-A531-4D48-8F04-B3463A220999}">
  <dimension ref="A1:J60"/>
  <sheetViews>
    <sheetView zoomScaleNormal="100" workbookViewId="0">
      <selection activeCell="C11" sqref="C11"/>
    </sheetView>
  </sheetViews>
  <sheetFormatPr baseColWidth="10" defaultRowHeight="12.5" x14ac:dyDescent="0.25"/>
  <cols>
    <col min="1" max="1" width="62.6328125" style="1" customWidth="1"/>
    <col min="2" max="5" width="14.6328125" style="1" customWidth="1"/>
    <col min="6" max="7" width="70.6328125" style="1" customWidth="1"/>
    <col min="8" max="16384" width="10.90625" style="1"/>
  </cols>
  <sheetData>
    <row r="1" spans="1:10" ht="18.5" x14ac:dyDescent="0.45">
      <c r="A1" s="59" t="s">
        <v>385</v>
      </c>
      <c r="B1"/>
      <c r="C1"/>
      <c r="D1"/>
      <c r="E1"/>
      <c r="F1"/>
      <c r="G1"/>
      <c r="H1"/>
      <c r="I1"/>
      <c r="J1"/>
    </row>
    <row r="2" spans="1:10" ht="14.5" x14ac:dyDescent="0.35">
      <c r="A2" s="60" t="s">
        <v>386</v>
      </c>
      <c r="B2"/>
      <c r="C2"/>
      <c r="D2"/>
      <c r="E2"/>
      <c r="F2"/>
      <c r="G2"/>
      <c r="H2"/>
      <c r="I2"/>
      <c r="J2"/>
    </row>
    <row r="3" spans="1:10" ht="14.5" x14ac:dyDescent="0.35">
      <c r="A3"/>
      <c r="B3"/>
      <c r="C3"/>
      <c r="D3"/>
      <c r="E3"/>
      <c r="F3"/>
      <c r="G3"/>
      <c r="H3"/>
      <c r="I3"/>
      <c r="J3"/>
    </row>
    <row r="4" spans="1:10" ht="14.5" x14ac:dyDescent="0.35">
      <c r="A4"/>
      <c r="B4"/>
      <c r="C4"/>
      <c r="D4"/>
      <c r="E4"/>
      <c r="F4"/>
      <c r="G4"/>
      <c r="H4"/>
      <c r="I4"/>
      <c r="J4"/>
    </row>
    <row r="5" spans="1:10" ht="14.5" x14ac:dyDescent="0.35">
      <c r="A5" s="62" t="s">
        <v>26</v>
      </c>
      <c r="B5" s="62" t="s">
        <v>27</v>
      </c>
      <c r="C5" s="62" t="s">
        <v>126</v>
      </c>
      <c r="D5" s="62" t="s">
        <v>127</v>
      </c>
      <c r="E5" s="62" t="s">
        <v>128</v>
      </c>
      <c r="F5" s="62" t="s">
        <v>343</v>
      </c>
      <c r="G5"/>
      <c r="H5"/>
      <c r="I5"/>
      <c r="J5"/>
    </row>
    <row r="6" spans="1:10" ht="14.5" x14ac:dyDescent="0.35">
      <c r="A6" s="37" t="s">
        <v>129</v>
      </c>
      <c r="B6" s="37"/>
      <c r="C6" s="37"/>
      <c r="D6" s="37"/>
      <c r="E6" s="37"/>
      <c r="F6" s="37"/>
      <c r="G6"/>
      <c r="H6"/>
      <c r="I6"/>
      <c r="J6"/>
    </row>
    <row r="7" spans="1:10" ht="14.5" x14ac:dyDescent="0.35">
      <c r="A7" t="s">
        <v>438</v>
      </c>
      <c r="B7" t="s">
        <v>387</v>
      </c>
      <c r="C7" s="66">
        <f>'Budget 36 mois'!B7</f>
        <v>1</v>
      </c>
      <c r="D7" s="66">
        <f>'Budget 36 mois'!C7</f>
        <v>3</v>
      </c>
      <c r="E7" s="66">
        <f>'Budget 36 mois'!D7</f>
        <v>6</v>
      </c>
      <c r="F7" t="s">
        <v>439</v>
      </c>
      <c r="G7"/>
      <c r="H7"/>
      <c r="I7"/>
      <c r="J7"/>
    </row>
    <row r="8" spans="1:10" ht="14.5" x14ac:dyDescent="0.35">
      <c r="A8" t="s">
        <v>388</v>
      </c>
      <c r="B8" t="s">
        <v>389</v>
      </c>
      <c r="C8" s="66">
        <f>'Budget 36 mois'!B11</f>
        <v>9</v>
      </c>
      <c r="D8" s="66">
        <f>'Budget 36 mois'!C11</f>
        <v>33</v>
      </c>
      <c r="E8" s="66">
        <f>'Budget 36 mois'!D11</f>
        <v>66</v>
      </c>
      <c r="F8" t="s">
        <v>390</v>
      </c>
      <c r="G8"/>
      <c r="H8"/>
      <c r="I8"/>
      <c r="J8"/>
    </row>
    <row r="9" spans="1:10" ht="14.5" x14ac:dyDescent="0.35">
      <c r="A9" t="s">
        <v>391</v>
      </c>
      <c r="B9" t="s">
        <v>389</v>
      </c>
      <c r="C9" s="66">
        <f>'Budget 36 mois'!B8</f>
        <v>3</v>
      </c>
      <c r="D9" s="66">
        <f>'Budget 36 mois'!C8</f>
        <v>11</v>
      </c>
      <c r="E9" s="66">
        <f>'Budget 36 mois'!D8</f>
        <v>22</v>
      </c>
      <c r="F9"/>
      <c r="G9"/>
      <c r="H9"/>
      <c r="I9"/>
      <c r="J9"/>
    </row>
    <row r="10" spans="1:10" ht="14.5" x14ac:dyDescent="0.35">
      <c r="A10" t="s">
        <v>392</v>
      </c>
      <c r="B10" t="s">
        <v>389</v>
      </c>
      <c r="C10" s="66">
        <f>'Budget 36 mois'!B9</f>
        <v>3</v>
      </c>
      <c r="D10" s="66">
        <f>'Budget 36 mois'!C9</f>
        <v>11</v>
      </c>
      <c r="E10" s="66">
        <f>'Budget 36 mois'!D9</f>
        <v>22</v>
      </c>
      <c r="F10"/>
      <c r="G10"/>
      <c r="H10"/>
      <c r="I10"/>
      <c r="J10"/>
    </row>
    <row r="11" spans="1:10" ht="14.5" x14ac:dyDescent="0.35">
      <c r="A11" t="s">
        <v>393</v>
      </c>
      <c r="B11" t="s">
        <v>389</v>
      </c>
      <c r="C11" s="66">
        <f>'Budget 36 mois'!B10</f>
        <v>3</v>
      </c>
      <c r="D11" s="66">
        <f>'Budget 36 mois'!C10</f>
        <v>11</v>
      </c>
      <c r="E11" s="66">
        <f>'Budget 36 mois'!D10</f>
        <v>22</v>
      </c>
      <c r="F11"/>
      <c r="G11"/>
      <c r="H11"/>
      <c r="I11"/>
      <c r="J11"/>
    </row>
    <row r="12" spans="1:10" ht="14.5" x14ac:dyDescent="0.35">
      <c r="A12" t="s">
        <v>394</v>
      </c>
      <c r="B12" t="s">
        <v>389</v>
      </c>
      <c r="C12" s="66">
        <f>'Budget 36 mois'!B12</f>
        <v>7</v>
      </c>
      <c r="D12" s="66">
        <f>3*40</f>
        <v>120</v>
      </c>
      <c r="E12" s="66">
        <f>6*40</f>
        <v>240</v>
      </c>
      <c r="F12" t="s">
        <v>395</v>
      </c>
      <c r="G12"/>
      <c r="H12"/>
      <c r="I12"/>
      <c r="J12"/>
    </row>
    <row r="13" spans="1:10" ht="14.5" x14ac:dyDescent="0.35">
      <c r="A13" s="38" t="s">
        <v>107</v>
      </c>
      <c r="B13" s="38" t="s">
        <v>389</v>
      </c>
      <c r="C13" s="69">
        <f>'Budget 36 mois'!B13</f>
        <v>16</v>
      </c>
      <c r="D13" s="69">
        <f>'Budget 36 mois'!C13</f>
        <v>153</v>
      </c>
      <c r="E13" s="69">
        <f>'Budget 36 mois'!D13</f>
        <v>306</v>
      </c>
      <c r="F13"/>
      <c r="G13"/>
      <c r="H13"/>
      <c r="I13"/>
      <c r="J13"/>
    </row>
    <row r="14" spans="1:10" ht="14.5" x14ac:dyDescent="0.35">
      <c r="A14" s="37" t="s">
        <v>131</v>
      </c>
      <c r="B14" s="37"/>
      <c r="C14" s="37"/>
      <c r="D14" s="37"/>
      <c r="E14" s="37"/>
      <c r="F14" s="37"/>
      <c r="G14"/>
      <c r="H14"/>
      <c r="I14"/>
      <c r="J14"/>
    </row>
    <row r="15" spans="1:10" ht="14.5" x14ac:dyDescent="0.35">
      <c r="A15" s="38" t="s">
        <v>108</v>
      </c>
      <c r="B15" s="38" t="s">
        <v>51</v>
      </c>
      <c r="C15" s="36">
        <f>'Budget 36 mois'!B26</f>
        <v>219642.8571428571</v>
      </c>
      <c r="D15" s="36">
        <f>'Budget 36 mois'!C26</f>
        <v>2068749.9999999993</v>
      </c>
      <c r="E15" s="36">
        <f>'Budget 36 mois'!D26</f>
        <v>4137499.9999999986</v>
      </c>
      <c r="F15"/>
      <c r="G15"/>
      <c r="H15"/>
      <c r="I15"/>
      <c r="J15"/>
    </row>
    <row r="16" spans="1:10" ht="14.5" x14ac:dyDescent="0.35">
      <c r="A16" t="s">
        <v>396</v>
      </c>
      <c r="B16" t="s">
        <v>51</v>
      </c>
      <c r="C16" s="64">
        <f>'Budget 36 mois'!B30</f>
        <v>162345.3571428571</v>
      </c>
      <c r="D16" s="64">
        <f>'Budget 36 mois'!C30</f>
        <v>1444293.2142857141</v>
      </c>
      <c r="E16" s="64">
        <f>'Budget 36 mois'!D30</f>
        <v>2896286.4285714282</v>
      </c>
      <c r="F16"/>
      <c r="G16"/>
      <c r="H16"/>
      <c r="I16"/>
      <c r="J16"/>
    </row>
    <row r="17" spans="1:10" customFormat="1" ht="14.5" x14ac:dyDescent="0.35">
      <c r="A17" s="38" t="s">
        <v>72</v>
      </c>
      <c r="B17" s="38" t="s">
        <v>51</v>
      </c>
      <c r="C17" s="36">
        <f>'Budget 36 mois'!B31</f>
        <v>57297.499999999985</v>
      </c>
      <c r="D17" s="36">
        <f>'Budget 36 mois'!C31</f>
        <v>624456.7857142858</v>
      </c>
      <c r="E17" s="36">
        <f>'Budget 36 mois'!D31</f>
        <v>1241213.5714285716</v>
      </c>
    </row>
    <row r="18" spans="1:10" customFormat="1" ht="14.5" x14ac:dyDescent="0.35">
      <c r="A18" t="s">
        <v>73</v>
      </c>
      <c r="B18" t="s">
        <v>59</v>
      </c>
      <c r="C18" s="67">
        <f>IF(C15&gt;0,C17/C15,0)</f>
        <v>0.26086666666666664</v>
      </c>
      <c r="D18" s="67">
        <f>IF(D15&gt;0,D17/D15,0)</f>
        <v>0.30185222270176965</v>
      </c>
      <c r="E18" s="67">
        <f>IF(E15&gt;0,E17/E15,0)</f>
        <v>0.29999119551143733</v>
      </c>
    </row>
    <row r="19" spans="1:10" ht="14.5" x14ac:dyDescent="0.35">
      <c r="A19" t="s">
        <v>397</v>
      </c>
      <c r="B19" t="s">
        <v>51</v>
      </c>
      <c r="C19" s="64">
        <f>'Budget 36 mois'!B37</f>
        <v>0</v>
      </c>
      <c r="D19" s="64">
        <f>'Budget 36 mois'!C37</f>
        <v>97458.443999999974</v>
      </c>
      <c r="E19" s="64">
        <f>'Budget 36 mois'!D37</f>
        <v>643836.88800000015</v>
      </c>
      <c r="F19" t="s">
        <v>398</v>
      </c>
      <c r="G19"/>
      <c r="H19"/>
      <c r="I19"/>
      <c r="J19"/>
    </row>
    <row r="20" spans="1:10" ht="14.5" x14ac:dyDescent="0.35">
      <c r="A20" t="s">
        <v>298</v>
      </c>
      <c r="B20" t="s">
        <v>51</v>
      </c>
      <c r="C20" s="64">
        <f>'Budget 36 mois'!B41</f>
        <v>7200</v>
      </c>
      <c r="D20" s="64">
        <f>'Budget 36 mois'!C41</f>
        <v>15000</v>
      </c>
      <c r="E20" s="64">
        <f>'Budget 36 mois'!D41</f>
        <v>30000</v>
      </c>
      <c r="F20"/>
      <c r="G20"/>
      <c r="H20"/>
      <c r="I20"/>
      <c r="J20"/>
    </row>
    <row r="21" spans="1:10" ht="14.5" x14ac:dyDescent="0.35">
      <c r="A21" t="s">
        <v>399</v>
      </c>
      <c r="B21" t="s">
        <v>51</v>
      </c>
      <c r="C21" s="64">
        <f>'Budget 36 mois'!B42+'Budget 36 mois'!B43</f>
        <v>38000</v>
      </c>
      <c r="D21" s="64">
        <f>'Budget 36 mois'!C42+'Budget 36 mois'!C43</f>
        <v>0</v>
      </c>
      <c r="E21" s="64">
        <f>'Budget 36 mois'!D42+'Budget 36 mois'!D43</f>
        <v>0</v>
      </c>
      <c r="F21" t="s">
        <v>400</v>
      </c>
      <c r="G21"/>
      <c r="H21"/>
      <c r="I21"/>
      <c r="J21"/>
    </row>
    <row r="22" spans="1:10" ht="14.5" x14ac:dyDescent="0.35">
      <c r="A22" t="s">
        <v>401</v>
      </c>
      <c r="B22" t="s">
        <v>51</v>
      </c>
      <c r="C22" s="64">
        <f>SUM('Budget 36 mois'!B44:B47)</f>
        <v>8065</v>
      </c>
      <c r="D22" s="64">
        <f>SUM('Budget 36 mois'!C44:C47)</f>
        <v>17405.000000000004</v>
      </c>
      <c r="E22" s="64">
        <f>SUM('Budget 36 mois'!D44:D47)</f>
        <v>29210.000000000004</v>
      </c>
      <c r="F22" t="s">
        <v>402</v>
      </c>
      <c r="G22"/>
      <c r="H22"/>
      <c r="I22"/>
      <c r="J22"/>
    </row>
    <row r="23" spans="1:10" ht="14.5" x14ac:dyDescent="0.35">
      <c r="A23" t="s">
        <v>371</v>
      </c>
      <c r="B23" t="s">
        <v>51</v>
      </c>
      <c r="C23" s="64">
        <f>'Budget 36 mois'!B48</f>
        <v>4392.8571428571422</v>
      </c>
      <c r="D23" s="64">
        <f>'Budget 36 mois'!C48</f>
        <v>41375</v>
      </c>
      <c r="E23" s="64">
        <f>'Budget 36 mois'!D48</f>
        <v>82750</v>
      </c>
      <c r="F23"/>
      <c r="G23"/>
      <c r="H23"/>
      <c r="I23"/>
      <c r="J23"/>
    </row>
    <row r="24" spans="1:10" ht="14.5" x14ac:dyDescent="0.35">
      <c r="A24" t="s">
        <v>314</v>
      </c>
      <c r="B24" t="s">
        <v>51</v>
      </c>
      <c r="C24" s="64">
        <f>'Budget 36 mois'!B52</f>
        <v>30000</v>
      </c>
      <c r="D24" s="64">
        <f>'Budget 36 mois'!C52</f>
        <v>45000</v>
      </c>
      <c r="E24" s="64">
        <f>'Budget 36 mois'!D52</f>
        <v>0</v>
      </c>
      <c r="F24"/>
      <c r="G24"/>
      <c r="H24"/>
      <c r="I24"/>
      <c r="J24"/>
    </row>
    <row r="25" spans="1:10" ht="14.5" x14ac:dyDescent="0.35">
      <c r="A25" t="s">
        <v>403</v>
      </c>
      <c r="B25" t="s">
        <v>51</v>
      </c>
      <c r="C25" s="64">
        <f>'Budget 36 mois'!B56-C20-C21-C22-C23-C24</f>
        <v>5872</v>
      </c>
      <c r="D25" s="64">
        <f>'Budget 36 mois'!C56-D20-D21-D22-D23-D24</f>
        <v>20460</v>
      </c>
      <c r="E25" s="64">
        <f>'Budget 36 mois'!D56-E20-E21-E22-E23-E24</f>
        <v>76559.999999999971</v>
      </c>
      <c r="F25" t="s">
        <v>404</v>
      </c>
      <c r="G25"/>
      <c r="H25"/>
      <c r="I25"/>
      <c r="J25"/>
    </row>
    <row r="26" spans="1:10" ht="14.5" x14ac:dyDescent="0.35">
      <c r="A26" s="38" t="s">
        <v>136</v>
      </c>
      <c r="B26" s="38" t="s">
        <v>51</v>
      </c>
      <c r="C26" s="36">
        <f>'Budget 36 mois'!B57</f>
        <v>93529.857142857145</v>
      </c>
      <c r="D26" s="36">
        <f>'Budget 36 mois'!C57</f>
        <v>236698.44399999999</v>
      </c>
      <c r="E26" s="36">
        <f>'Budget 36 mois'!D57</f>
        <v>862356.88800000004</v>
      </c>
      <c r="F26"/>
      <c r="G26"/>
      <c r="H26"/>
      <c r="I26"/>
      <c r="J26"/>
    </row>
    <row r="27" spans="1:10" ht="14.5" x14ac:dyDescent="0.35">
      <c r="A27" s="38" t="s">
        <v>123</v>
      </c>
      <c r="B27" s="38" t="s">
        <v>51</v>
      </c>
      <c r="C27" s="36">
        <f>'Budget 36 mois'!B59</f>
        <v>-36232.357142857159</v>
      </c>
      <c r="D27" s="36">
        <f>'Budget 36 mois'!C59</f>
        <v>387758.34171428578</v>
      </c>
      <c r="E27" s="36">
        <f>'Budget 36 mois'!D59</f>
        <v>378856.68342857156</v>
      </c>
      <c r="F27"/>
      <c r="G27"/>
      <c r="H27"/>
      <c r="I27"/>
      <c r="J27"/>
    </row>
    <row r="28" spans="1:10" ht="14.5" x14ac:dyDescent="0.35">
      <c r="A28" s="37" t="s">
        <v>405</v>
      </c>
      <c r="B28" s="37"/>
      <c r="C28" s="37"/>
      <c r="D28" s="37"/>
      <c r="E28" s="37"/>
      <c r="F28" s="37"/>
      <c r="G28"/>
      <c r="H28"/>
      <c r="I28"/>
      <c r="J28"/>
    </row>
    <row r="29" spans="1:10" ht="14.5" x14ac:dyDescent="0.35">
      <c r="A29" t="s">
        <v>406</v>
      </c>
      <c r="B29" t="s">
        <v>51</v>
      </c>
      <c r="C29" s="64">
        <f>'Budget 36 mois'!B64</f>
        <v>18000</v>
      </c>
      <c r="D29" s="64">
        <f>'Budget 36 mois'!C64</f>
        <v>5000</v>
      </c>
      <c r="E29" s="64">
        <f>'Budget 36 mois'!D64</f>
        <v>10000</v>
      </c>
      <c r="F29"/>
      <c r="G29"/>
      <c r="H29"/>
      <c r="I29"/>
      <c r="J29"/>
    </row>
    <row r="30" spans="1:10" ht="14.5" x14ac:dyDescent="0.35">
      <c r="A30" t="s">
        <v>407</v>
      </c>
      <c r="B30" t="s">
        <v>132</v>
      </c>
      <c r="C30" s="64">
        <f>C27-C29</f>
        <v>-54232.357142857159</v>
      </c>
      <c r="D30" s="64">
        <f>D27-D29</f>
        <v>382758.34171428578</v>
      </c>
      <c r="E30" s="64">
        <f>E27-E29</f>
        <v>368856.68342857156</v>
      </c>
      <c r="F30"/>
      <c r="G30"/>
      <c r="H30"/>
      <c r="I30"/>
      <c r="J30"/>
    </row>
    <row r="31" spans="1:10" ht="14.5" x14ac:dyDescent="0.35">
      <c r="A31" s="38" t="s">
        <v>133</v>
      </c>
      <c r="B31" s="38" t="s">
        <v>132</v>
      </c>
      <c r="C31" s="36">
        <f>C30</f>
        <v>-54232.357142857159</v>
      </c>
      <c r="D31" s="36">
        <f>C31+D30</f>
        <v>328525.98457142862</v>
      </c>
      <c r="E31" s="36">
        <f>D31+E30</f>
        <v>697382.66800000018</v>
      </c>
      <c r="F31"/>
      <c r="G31"/>
      <c r="H31"/>
      <c r="I31"/>
      <c r="J31"/>
    </row>
    <row r="32" spans="1:10" ht="14.5" x14ac:dyDescent="0.35">
      <c r="A32" t="s">
        <v>134</v>
      </c>
      <c r="B32" t="s">
        <v>130</v>
      </c>
      <c r="C32" s="68">
        <f>IF(C17&gt;0,C26/(C17/C13),0)</f>
        <v>26.117679031122034</v>
      </c>
      <c r="D32" s="68">
        <f>IF(D17&gt;0,D26/(D17/D13),0)</f>
        <v>57.994184322259507</v>
      </c>
      <c r="E32" s="68">
        <f>IF(E17&gt;0,E26/(E17/E13),0)</f>
        <v>212.59935743716258</v>
      </c>
      <c r="F32" t="s">
        <v>408</v>
      </c>
      <c r="G32"/>
      <c r="H32"/>
      <c r="I32"/>
      <c r="J32"/>
    </row>
    <row r="33" spans="1:10" ht="14.5" x14ac:dyDescent="0.35">
      <c r="A33"/>
      <c r="B33"/>
      <c r="C33"/>
      <c r="D33"/>
      <c r="E33"/>
      <c r="F33"/>
      <c r="G33"/>
      <c r="H33"/>
      <c r="I33"/>
      <c r="J33"/>
    </row>
    <row r="34" spans="1:10" ht="14.5" x14ac:dyDescent="0.35">
      <c r="A34" s="37" t="s">
        <v>409</v>
      </c>
      <c r="B34" s="37"/>
      <c r="C34" s="37"/>
      <c r="D34" s="37"/>
      <c r="E34" s="37"/>
      <c r="F34" s="37"/>
      <c r="G34"/>
      <c r="H34"/>
      <c r="I34"/>
      <c r="J34"/>
    </row>
    <row r="35" spans="1:10" ht="14.5" x14ac:dyDescent="0.35">
      <c r="A35" s="38" t="s">
        <v>410</v>
      </c>
      <c r="B35" s="38" t="s">
        <v>132</v>
      </c>
      <c r="C35" s="36">
        <f>MAX(0,-MIN(C31:E31))</f>
        <v>54232.357142857159</v>
      </c>
      <c r="D35" s="64"/>
      <c r="E35" s="64"/>
      <c r="F35"/>
      <c r="G35"/>
      <c r="H35"/>
      <c r="I35"/>
      <c r="J35"/>
    </row>
    <row r="36" spans="1:10" ht="14.5" x14ac:dyDescent="0.35">
      <c r="A36" s="38" t="s">
        <v>411</v>
      </c>
      <c r="B36" s="38" t="s">
        <v>132</v>
      </c>
      <c r="C36" s="36">
        <f>MIN('Budget 36 mois'!E80:AN80)</f>
        <v>10071.107142857145</v>
      </c>
      <c r="D36" s="64"/>
      <c r="E36" s="64"/>
      <c r="F36"/>
      <c r="G36"/>
      <c r="H36"/>
      <c r="I36"/>
      <c r="J36"/>
    </row>
    <row r="37" spans="1:10" ht="14.5" x14ac:dyDescent="0.35">
      <c r="A37" t="s">
        <v>412</v>
      </c>
      <c r="B37"/>
      <c r="C37" s="70">
        <f>INDEX('Budget 36 mois'!E5:AN5,MATCH(C36,'Budget 36 mois'!E80:AN80,0))</f>
        <v>46447</v>
      </c>
      <c r="D37" s="63"/>
      <c r="E37" s="63"/>
      <c r="F37"/>
      <c r="G37"/>
      <c r="H37"/>
      <c r="I37"/>
      <c r="J37"/>
    </row>
    <row r="38" spans="1:10" ht="14.5" x14ac:dyDescent="0.35">
      <c r="A38" t="s">
        <v>413</v>
      </c>
      <c r="B38" t="s">
        <v>132</v>
      </c>
      <c r="C38" s="64">
        <f>'Budget 36 mois'!P80</f>
        <v>54448.821428571413</v>
      </c>
      <c r="D38" s="64">
        <f>'Budget 36 mois'!AB80</f>
        <v>496353.49647619051</v>
      </c>
      <c r="E38" s="64">
        <f>'Budget 36 mois'!AN80</f>
        <v>871460.35847619059</v>
      </c>
      <c r="F38"/>
      <c r="G38"/>
      <c r="H38"/>
      <c r="I38"/>
      <c r="J38"/>
    </row>
    <row r="39" spans="1:10" ht="14.5" x14ac:dyDescent="0.35">
      <c r="A39" t="s">
        <v>414</v>
      </c>
      <c r="B39" t="s">
        <v>132</v>
      </c>
      <c r="C39" s="64">
        <f>'Budget 36 mois'!B73</f>
        <v>8318.8214285714275</v>
      </c>
      <c r="D39" s="64">
        <f>'Budget 36 mois'!C73</f>
        <v>0</v>
      </c>
      <c r="E39" s="64">
        <f>'Budget 36 mois'!D73</f>
        <v>0</v>
      </c>
      <c r="F39"/>
      <c r="G39"/>
      <c r="H39"/>
      <c r="I39"/>
      <c r="J39"/>
    </row>
    <row r="40" spans="1:10" ht="14.5" x14ac:dyDescent="0.35">
      <c r="A40"/>
      <c r="B40"/>
      <c r="C40"/>
      <c r="D40"/>
      <c r="E40"/>
      <c r="F40"/>
      <c r="G40"/>
      <c r="H40"/>
      <c r="I40"/>
      <c r="J40"/>
    </row>
    <row r="41" spans="1:10" ht="14.5" x14ac:dyDescent="0.35">
      <c r="A41" s="60" t="s">
        <v>415</v>
      </c>
      <c r="B41"/>
      <c r="C41"/>
      <c r="D41"/>
      <c r="E41"/>
      <c r="F41"/>
      <c r="G41"/>
      <c r="H41"/>
      <c r="I41"/>
      <c r="J41"/>
    </row>
    <row r="42" spans="1:10" ht="14.5" x14ac:dyDescent="0.35">
      <c r="A42"/>
      <c r="B42"/>
      <c r="C42"/>
      <c r="D42"/>
      <c r="E42"/>
      <c r="F42"/>
      <c r="G42"/>
      <c r="H42"/>
      <c r="I42"/>
      <c r="J42"/>
    </row>
    <row r="43" spans="1:10" ht="14.5" x14ac:dyDescent="0.35">
      <c r="A43"/>
      <c r="B43"/>
      <c r="C43"/>
      <c r="D43"/>
      <c r="E43"/>
      <c r="F43"/>
      <c r="G43"/>
      <c r="H43"/>
      <c r="I43"/>
      <c r="J43"/>
    </row>
    <row r="44" spans="1:10" ht="14.5" x14ac:dyDescent="0.35">
      <c r="A44"/>
      <c r="B44"/>
      <c r="C44"/>
      <c r="D44"/>
      <c r="E44"/>
      <c r="F44"/>
      <c r="G44"/>
      <c r="H44"/>
      <c r="I44"/>
      <c r="J44"/>
    </row>
    <row r="45" spans="1:10" ht="14.5" x14ac:dyDescent="0.35">
      <c r="A45"/>
      <c r="B45"/>
      <c r="C45"/>
      <c r="D45"/>
      <c r="E45"/>
      <c r="F45"/>
      <c r="G45"/>
      <c r="H45"/>
      <c r="I45"/>
      <c r="J45"/>
    </row>
    <row r="46" spans="1:10" ht="14.5" x14ac:dyDescent="0.35">
      <c r="A46"/>
      <c r="B46"/>
      <c r="C46"/>
      <c r="D46"/>
      <c r="E46"/>
      <c r="F46"/>
      <c r="G46"/>
      <c r="H46"/>
      <c r="I46"/>
      <c r="J46"/>
    </row>
    <row r="47" spans="1:10" ht="14.5" x14ac:dyDescent="0.35">
      <c r="A47"/>
      <c r="B47"/>
      <c r="C47"/>
      <c r="D47"/>
      <c r="E47"/>
      <c r="F47"/>
      <c r="G47"/>
      <c r="H47"/>
      <c r="I47"/>
      <c r="J47"/>
    </row>
    <row r="48" spans="1:10" ht="14.5" x14ac:dyDescent="0.35">
      <c r="A48"/>
      <c r="B48"/>
      <c r="C48"/>
      <c r="D48"/>
      <c r="E48"/>
      <c r="F48"/>
      <c r="G48"/>
      <c r="H48"/>
      <c r="I48"/>
      <c r="J48"/>
    </row>
    <row r="49" spans="1:10" ht="14.5" x14ac:dyDescent="0.35">
      <c r="A49"/>
      <c r="B49"/>
      <c r="C49"/>
      <c r="D49"/>
      <c r="E49"/>
      <c r="F49"/>
      <c r="G49"/>
      <c r="H49"/>
      <c r="I49"/>
      <c r="J49"/>
    </row>
    <row r="50" spans="1:10" ht="14.5" x14ac:dyDescent="0.35">
      <c r="A50"/>
      <c r="B50"/>
      <c r="C50"/>
      <c r="D50"/>
      <c r="E50"/>
      <c r="F50"/>
      <c r="G50"/>
      <c r="H50"/>
      <c r="I50"/>
      <c r="J50"/>
    </row>
    <row r="51" spans="1:10" ht="14.5" x14ac:dyDescent="0.35">
      <c r="A51"/>
      <c r="B51"/>
      <c r="C51"/>
      <c r="D51"/>
      <c r="E51"/>
      <c r="F51"/>
      <c r="G51"/>
      <c r="H51"/>
      <c r="I51"/>
      <c r="J51"/>
    </row>
    <row r="52" spans="1:10" ht="14.5" x14ac:dyDescent="0.35">
      <c r="A52"/>
      <c r="B52"/>
      <c r="C52"/>
      <c r="D52"/>
      <c r="E52"/>
      <c r="F52"/>
      <c r="G52"/>
      <c r="H52"/>
      <c r="I52"/>
      <c r="J52"/>
    </row>
    <row r="53" spans="1:10" ht="14.5" x14ac:dyDescent="0.35">
      <c r="A53"/>
      <c r="B53"/>
      <c r="C53"/>
      <c r="D53"/>
      <c r="E53"/>
      <c r="F53"/>
      <c r="G53"/>
      <c r="H53"/>
      <c r="I53"/>
      <c r="J53"/>
    </row>
    <row r="54" spans="1:10" ht="14.5" x14ac:dyDescent="0.35">
      <c r="A54"/>
      <c r="B54"/>
      <c r="C54"/>
      <c r="D54"/>
      <c r="E54"/>
      <c r="F54"/>
      <c r="G54"/>
      <c r="H54"/>
      <c r="I54"/>
      <c r="J54"/>
    </row>
    <row r="55" spans="1:10" ht="14.5" x14ac:dyDescent="0.35">
      <c r="A55"/>
      <c r="B55"/>
      <c r="C55"/>
      <c r="D55"/>
      <c r="E55"/>
      <c r="F55"/>
      <c r="G55"/>
      <c r="H55"/>
      <c r="I55"/>
      <c r="J55"/>
    </row>
    <row r="56" spans="1:10" ht="14.5" x14ac:dyDescent="0.35">
      <c r="A56"/>
      <c r="B56"/>
      <c r="C56"/>
      <c r="D56"/>
      <c r="E56"/>
      <c r="F56"/>
      <c r="G56"/>
      <c r="H56"/>
      <c r="I56"/>
      <c r="J56"/>
    </row>
    <row r="57" spans="1:10" ht="14.5" x14ac:dyDescent="0.35">
      <c r="A57"/>
      <c r="B57"/>
      <c r="C57"/>
      <c r="D57"/>
      <c r="E57"/>
      <c r="F57"/>
      <c r="G57"/>
      <c r="H57"/>
      <c r="I57"/>
      <c r="J57"/>
    </row>
    <row r="58" spans="1:10" ht="14.5" x14ac:dyDescent="0.35">
      <c r="A58"/>
      <c r="B58"/>
      <c r="C58"/>
      <c r="D58"/>
      <c r="E58"/>
      <c r="F58"/>
      <c r="G58"/>
      <c r="H58"/>
      <c r="I58"/>
      <c r="J58"/>
    </row>
    <row r="59" spans="1:10" ht="14.5" x14ac:dyDescent="0.35">
      <c r="A59"/>
      <c r="B59"/>
      <c r="C59"/>
      <c r="D59"/>
      <c r="E59"/>
      <c r="F59"/>
      <c r="G59"/>
      <c r="H59"/>
      <c r="I59"/>
      <c r="J59"/>
    </row>
    <row r="60" spans="1:10" ht="14.5" x14ac:dyDescent="0.35">
      <c r="A60"/>
      <c r="B60"/>
      <c r="C60"/>
      <c r="D60"/>
      <c r="E60"/>
      <c r="F60"/>
      <c r="G60"/>
      <c r="H60"/>
      <c r="I60"/>
      <c r="J6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99EF4-2BFD-4A30-9CB8-0FD18304D49C}">
  <dimension ref="A1:I14"/>
  <sheetViews>
    <sheetView workbookViewId="0">
      <selection activeCell="B11" sqref="B11"/>
    </sheetView>
  </sheetViews>
  <sheetFormatPr baseColWidth="10" defaultRowHeight="14.5" x14ac:dyDescent="0.35"/>
  <cols>
    <col min="1" max="1" width="40.6328125" customWidth="1"/>
    <col min="2" max="2" width="10.6328125" customWidth="1"/>
    <col min="3" max="7" width="16.6328125" customWidth="1"/>
    <col min="8" max="8" width="8.6328125" customWidth="1"/>
    <col min="9" max="9" width="90.6328125" customWidth="1"/>
  </cols>
  <sheetData>
    <row r="1" spans="1:9" ht="18.5" x14ac:dyDescent="0.45">
      <c r="A1" s="59" t="s">
        <v>366</v>
      </c>
    </row>
    <row r="2" spans="1:9" x14ac:dyDescent="0.35">
      <c r="A2" s="60" t="s">
        <v>467</v>
      </c>
    </row>
    <row r="4" spans="1:9" x14ac:dyDescent="0.35">
      <c r="A4" t="s">
        <v>137</v>
      </c>
      <c r="C4" s="61">
        <v>0.45</v>
      </c>
      <c r="D4" t="s">
        <v>138</v>
      </c>
    </row>
    <row r="5" spans="1:9" x14ac:dyDescent="0.35">
      <c r="A5" t="s">
        <v>440</v>
      </c>
      <c r="C5" s="74">
        <v>1</v>
      </c>
      <c r="D5" t="s">
        <v>441</v>
      </c>
    </row>
    <row r="6" spans="1:9" x14ac:dyDescent="0.35">
      <c r="A6" t="s">
        <v>442</v>
      </c>
      <c r="C6" s="74">
        <v>1</v>
      </c>
      <c r="D6" t="s">
        <v>443</v>
      </c>
    </row>
    <row r="7" spans="1:9" ht="42" customHeight="1" x14ac:dyDescent="0.35">
      <c r="A7" s="62" t="s">
        <v>26</v>
      </c>
      <c r="B7" s="62" t="s">
        <v>450</v>
      </c>
      <c r="C7" s="62" t="s">
        <v>139</v>
      </c>
      <c r="D7" s="62" t="s">
        <v>367</v>
      </c>
      <c r="E7" s="62" t="s">
        <v>368</v>
      </c>
      <c r="F7" s="62" t="s">
        <v>140</v>
      </c>
      <c r="G7" s="62" t="s">
        <v>141</v>
      </c>
      <c r="H7" s="62" t="s">
        <v>32</v>
      </c>
      <c r="I7" s="62" t="s">
        <v>33</v>
      </c>
    </row>
    <row r="8" spans="1:9" x14ac:dyDescent="0.35">
      <c r="A8" s="34" t="s">
        <v>142</v>
      </c>
      <c r="B8" s="34">
        <v>2</v>
      </c>
      <c r="C8" s="35">
        <v>2500</v>
      </c>
      <c r="D8" s="34">
        <v>25</v>
      </c>
      <c r="E8" s="64">
        <f>'Budget 36 mois'!B33</f>
        <v>0</v>
      </c>
      <c r="F8" s="64">
        <f>'Budget 36 mois'!C33</f>
        <v>0</v>
      </c>
      <c r="G8" s="64">
        <f>'Budget 36 mois'!D33</f>
        <v>87000</v>
      </c>
      <c r="H8" t="s">
        <v>82</v>
      </c>
      <c r="I8" t="s">
        <v>143</v>
      </c>
    </row>
    <row r="9" spans="1:9" x14ac:dyDescent="0.35">
      <c r="A9" s="34" t="s">
        <v>144</v>
      </c>
      <c r="B9" s="76">
        <f>MAX('Budget 36 mois'!E20:AN20)</f>
        <v>6</v>
      </c>
      <c r="C9" s="35">
        <v>1867.02</v>
      </c>
      <c r="D9" s="34">
        <v>13</v>
      </c>
      <c r="E9" s="64">
        <f>'Budget 36 mois'!B34</f>
        <v>0</v>
      </c>
      <c r="F9" s="64">
        <f>'Budget 36 mois'!C34</f>
        <v>97458.443999999974</v>
      </c>
      <c r="G9" s="64">
        <f>'Budget 36 mois'!D34</f>
        <v>194916.88799999995</v>
      </c>
      <c r="H9" t="s">
        <v>82</v>
      </c>
      <c r="I9" t="s">
        <v>451</v>
      </c>
    </row>
    <row r="10" spans="1:9" x14ac:dyDescent="0.35">
      <c r="A10" s="34" t="s">
        <v>145</v>
      </c>
      <c r="B10" s="76">
        <f>MAX('Budget 36 mois'!E21:AN21)</f>
        <v>6</v>
      </c>
      <c r="C10" s="35">
        <v>2800</v>
      </c>
      <c r="D10" s="34">
        <v>25</v>
      </c>
      <c r="E10" s="64">
        <f>'Budget 36 mois'!B35</f>
        <v>0</v>
      </c>
      <c r="F10" s="64">
        <f>'Budget 36 mois'!C35</f>
        <v>0</v>
      </c>
      <c r="G10" s="64">
        <f>'Budget 36 mois'!D35</f>
        <v>292320</v>
      </c>
      <c r="H10" t="s">
        <v>82</v>
      </c>
      <c r="I10" t="s">
        <v>452</v>
      </c>
    </row>
    <row r="11" spans="1:9" x14ac:dyDescent="0.35">
      <c r="A11" s="34" t="s">
        <v>453</v>
      </c>
      <c r="B11" s="34">
        <v>1</v>
      </c>
      <c r="C11" s="77">
        <v>4000</v>
      </c>
      <c r="D11" s="34">
        <v>25</v>
      </c>
      <c r="E11" s="64">
        <f>'Budget 36 mois'!B36</f>
        <v>0</v>
      </c>
      <c r="F11" s="64">
        <f>'Budget 36 mois'!C36</f>
        <v>0</v>
      </c>
      <c r="G11" s="64">
        <f>'Budget 36 mois'!D36</f>
        <v>69600</v>
      </c>
      <c r="H11" t="s">
        <v>82</v>
      </c>
      <c r="I11" t="s">
        <v>454</v>
      </c>
    </row>
    <row r="12" spans="1:9" x14ac:dyDescent="0.35">
      <c r="A12" s="38" t="s">
        <v>135</v>
      </c>
      <c r="B12" s="38">
        <f>SUM(B8:B11)</f>
        <v>15</v>
      </c>
      <c r="C12" s="38"/>
      <c r="D12" s="38"/>
      <c r="E12" s="65">
        <f>SUM(E8:E11)</f>
        <v>0</v>
      </c>
      <c r="F12" s="65">
        <f>SUM(F8:F11)</f>
        <v>97458.443999999974</v>
      </c>
      <c r="G12" s="65">
        <f>SUM(G8:G11)</f>
        <v>643836.88799999992</v>
      </c>
    </row>
    <row r="14" spans="1:9" x14ac:dyDescent="0.35">
      <c r="A14" s="60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Mode d'emploi</vt:lpstr>
      <vt:lpstr>Prix et marges</vt:lpstr>
      <vt:lpstr>Staffing</vt:lpstr>
      <vt:lpstr>Budget 36 mois</vt:lpstr>
      <vt:lpstr>TVA</vt:lpstr>
      <vt:lpstr>Prévu et réel</vt:lpstr>
      <vt:lpstr>Plan financier 3 ans</vt:lpstr>
      <vt:lpstr>Ressources humaines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vianney vautier</dc:creator>
  <cp:lastModifiedBy>vianney vautier</cp:lastModifiedBy>
  <dcterms:created xsi:type="dcterms:W3CDTF">2026-10-27T22:12:38Z</dcterms:created>
  <dcterms:modified xsi:type="dcterms:W3CDTF">2026-10-29T09:24:49Z</dcterms:modified>
</cp:coreProperties>
</file>