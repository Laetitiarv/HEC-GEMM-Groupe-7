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ans\Documents\Claude\Projects\HEC-GEMM-Groupe-7\2 FINANCE\TRESORERIE\"/>
    </mc:Choice>
  </mc:AlternateContent>
  <xr:revisionPtr revIDLastSave="0" documentId="13_ncr:1_{C3A440C5-4377-4CF4-9871-ACC2F192D277}" xr6:coauthVersionLast="47" xr6:coauthVersionMax="47" xr10:uidLastSave="{00000000-0000-0000-0000-000000000000}"/>
  <bookViews>
    <workbookView xWindow="-110" yWindow="-110" windowWidth="25820" windowHeight="13900" xr2:uid="{2D54D8BB-BD50-4D46-AD8E-735E0D6561AC}"/>
  </bookViews>
  <sheets>
    <sheet name="Mode d'emploi" sheetId="1" r:id="rId1"/>
    <sheet name="États de trésorerie" sheetId="2" r:id="rId2"/>
    <sheet name="Suivi mensuel" sheetId="3" r:id="rId3"/>
    <sheet name="Mois de survi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5" i="3" l="1"/>
  <c r="B24" i="3"/>
  <c r="B23" i="3"/>
  <c r="B22" i="3"/>
  <c r="B21" i="3"/>
  <c r="B20" i="3"/>
  <c r="B19" i="3"/>
  <c r="B18" i="3"/>
  <c r="B17" i="3"/>
  <c r="B14" i="3"/>
  <c r="B13" i="3"/>
  <c r="B12" i="3"/>
  <c r="B11" i="3"/>
  <c r="B10" i="3"/>
  <c r="B9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AL26" i="3"/>
  <c r="AL34" i="3" s="1"/>
  <c r="AL35" i="3" s="1"/>
  <c r="AK26" i="3"/>
  <c r="AK34" i="3" s="1"/>
  <c r="AK35" i="3" s="1"/>
  <c r="AJ26" i="3"/>
  <c r="AJ34" i="3" s="1"/>
  <c r="AJ35" i="3" s="1"/>
  <c r="AI26" i="3"/>
  <c r="AI34" i="3" s="1"/>
  <c r="AH26" i="3"/>
  <c r="AH34" i="3" s="1"/>
  <c r="AH35" i="3" s="1"/>
  <c r="AG26" i="3"/>
  <c r="AG34" i="3" s="1"/>
  <c r="AG35" i="3" s="1"/>
  <c r="AF26" i="3"/>
  <c r="AF34" i="3" s="1"/>
  <c r="AF35" i="3" s="1"/>
  <c r="AE26" i="3"/>
  <c r="AE34" i="3" s="1"/>
  <c r="AE35" i="3" s="1"/>
  <c r="AD26" i="3"/>
  <c r="AD34" i="3" s="1"/>
  <c r="AD35" i="3" s="1"/>
  <c r="AC26" i="3"/>
  <c r="AC34" i="3" s="1"/>
  <c r="AC35" i="3" s="1"/>
  <c r="AB26" i="3"/>
  <c r="AB34" i="3" s="1"/>
  <c r="AB35" i="3" s="1"/>
  <c r="AA26" i="3"/>
  <c r="AA34" i="3" s="1"/>
  <c r="AA35" i="3" s="1"/>
  <c r="Z26" i="3"/>
  <c r="Z34" i="3" s="1"/>
  <c r="Z35" i="3" s="1"/>
  <c r="Y26" i="3"/>
  <c r="Y34" i="3" s="1"/>
  <c r="Y35" i="3" s="1"/>
  <c r="X26" i="3"/>
  <c r="X34" i="3" s="1"/>
  <c r="X35" i="3" s="1"/>
  <c r="W26" i="3"/>
  <c r="W34" i="3" s="1"/>
  <c r="V26" i="3"/>
  <c r="V34" i="3" s="1"/>
  <c r="V35" i="3" s="1"/>
  <c r="U26" i="3"/>
  <c r="U34" i="3" s="1"/>
  <c r="U35" i="3" s="1"/>
  <c r="T26" i="3"/>
  <c r="T34" i="3" s="1"/>
  <c r="T35" i="3" s="1"/>
  <c r="S26" i="3"/>
  <c r="S34" i="3" s="1"/>
  <c r="S35" i="3" s="1"/>
  <c r="R26" i="3"/>
  <c r="R34" i="3" s="1"/>
  <c r="R35" i="3" s="1"/>
  <c r="Q26" i="3"/>
  <c r="Q34" i="3" s="1"/>
  <c r="Q35" i="3" s="1"/>
  <c r="P26" i="3"/>
  <c r="P34" i="3" s="1"/>
  <c r="P35" i="3" s="1"/>
  <c r="O26" i="3"/>
  <c r="O34" i="3" s="1"/>
  <c r="O35" i="3" s="1"/>
  <c r="AL15" i="3"/>
  <c r="AL28" i="3" s="1"/>
  <c r="AK15" i="3"/>
  <c r="AK28" i="3" s="1"/>
  <c r="AJ15" i="3"/>
  <c r="AI15" i="3"/>
  <c r="AH15" i="3"/>
  <c r="AG15" i="3"/>
  <c r="AF15" i="3"/>
  <c r="AE15" i="3"/>
  <c r="AD15" i="3"/>
  <c r="AC15" i="3"/>
  <c r="AB15" i="3"/>
  <c r="AA15" i="3"/>
  <c r="Z15" i="3"/>
  <c r="Y15" i="3"/>
  <c r="Y28" i="3" s="1"/>
  <c r="X15" i="3"/>
  <c r="W15" i="3"/>
  <c r="V15" i="3"/>
  <c r="U15" i="3"/>
  <c r="T15" i="3"/>
  <c r="S15" i="3"/>
  <c r="R15" i="3"/>
  <c r="Q15" i="3"/>
  <c r="P15" i="3"/>
  <c r="O1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B5" i="4"/>
  <c r="B6" i="4" s="1"/>
  <c r="B10" i="4" s="1"/>
  <c r="B7" i="3"/>
  <c r="C31" i="3"/>
  <c r="D31" i="3"/>
  <c r="E31" i="3"/>
  <c r="F31" i="3"/>
  <c r="G31" i="3"/>
  <c r="H31" i="3"/>
  <c r="I31" i="3"/>
  <c r="J31" i="3"/>
  <c r="K31" i="3"/>
  <c r="L31" i="3"/>
  <c r="M31" i="3"/>
  <c r="N31" i="3"/>
  <c r="C26" i="3"/>
  <c r="D26" i="3"/>
  <c r="D34" i="3" s="1"/>
  <c r="E26" i="3"/>
  <c r="E34" i="3" s="1"/>
  <c r="F26" i="3"/>
  <c r="F34" i="3" s="1"/>
  <c r="G26" i="3"/>
  <c r="G34" i="3" s="1"/>
  <c r="H26" i="3"/>
  <c r="H34" i="3" s="1"/>
  <c r="I26" i="3"/>
  <c r="I34" i="3" s="1"/>
  <c r="J26" i="3"/>
  <c r="J34" i="3" s="1"/>
  <c r="K26" i="3"/>
  <c r="K34" i="3" s="1"/>
  <c r="L26" i="3"/>
  <c r="L34" i="3" s="1"/>
  <c r="M26" i="3"/>
  <c r="M34" i="3" s="1"/>
  <c r="N26" i="3"/>
  <c r="N34" i="3" s="1"/>
  <c r="C15" i="3"/>
  <c r="D15" i="3"/>
  <c r="E15" i="3"/>
  <c r="F15" i="3"/>
  <c r="G15" i="3"/>
  <c r="H15" i="3"/>
  <c r="I15" i="3"/>
  <c r="J15" i="3"/>
  <c r="K15" i="3"/>
  <c r="L15" i="3"/>
  <c r="M15" i="3"/>
  <c r="N15" i="3"/>
  <c r="C5" i="3"/>
  <c r="D5" i="3"/>
  <c r="E5" i="3"/>
  <c r="F5" i="3"/>
  <c r="G5" i="3"/>
  <c r="H5" i="3"/>
  <c r="I5" i="3"/>
  <c r="J5" i="3"/>
  <c r="K5" i="3"/>
  <c r="L5" i="3"/>
  <c r="M5" i="3"/>
  <c r="N5" i="3"/>
  <c r="AJ28" i="3" l="1"/>
  <c r="AI28" i="3"/>
  <c r="AH28" i="3"/>
  <c r="AG28" i="3"/>
  <c r="AF28" i="3"/>
  <c r="AE28" i="3"/>
  <c r="AD28" i="3"/>
  <c r="AC28" i="3"/>
  <c r="AB28" i="3"/>
  <c r="AA28" i="3"/>
  <c r="Z28" i="3"/>
  <c r="X28" i="3"/>
  <c r="W28" i="3"/>
  <c r="V28" i="3"/>
  <c r="U28" i="3"/>
  <c r="T28" i="3"/>
  <c r="S28" i="3"/>
  <c r="R28" i="3"/>
  <c r="Q28" i="3"/>
  <c r="P28" i="3"/>
  <c r="O28" i="3"/>
  <c r="B26" i="3"/>
  <c r="B15" i="3"/>
  <c r="I28" i="3"/>
  <c r="H28" i="3"/>
  <c r="F28" i="3"/>
  <c r="N28" i="3"/>
  <c r="M28" i="3"/>
  <c r="L28" i="3"/>
  <c r="K28" i="3"/>
  <c r="J28" i="3"/>
  <c r="G28" i="3"/>
  <c r="E28" i="3"/>
  <c r="D28" i="3"/>
  <c r="B11" i="4"/>
  <c r="C34" i="3"/>
  <c r="C28" i="3"/>
  <c r="B34" i="3" l="1"/>
  <c r="B9" i="4"/>
  <c r="B28" i="3"/>
  <c r="C29" i="3"/>
  <c r="D7" i="3" l="1"/>
  <c r="D29" i="3" s="1"/>
  <c r="C35" i="3"/>
  <c r="E7" i="3" l="1"/>
  <c r="E29" i="3" s="1"/>
  <c r="D35" i="3"/>
  <c r="F7" i="3" l="1"/>
  <c r="F29" i="3" s="1"/>
  <c r="E35" i="3"/>
  <c r="G7" i="3" l="1"/>
  <c r="G29" i="3" s="1"/>
  <c r="F35" i="3"/>
  <c r="H7" i="3" l="1"/>
  <c r="H29" i="3" s="1"/>
  <c r="G35" i="3"/>
  <c r="I7" i="3" l="1"/>
  <c r="I29" i="3" s="1"/>
  <c r="H35" i="3"/>
  <c r="J7" i="3" l="1"/>
  <c r="J29" i="3" s="1"/>
  <c r="I35" i="3"/>
  <c r="K7" i="3" l="1"/>
  <c r="K29" i="3" s="1"/>
  <c r="J35" i="3"/>
  <c r="L7" i="3" l="1"/>
  <c r="L29" i="3" s="1"/>
  <c r="K35" i="3"/>
  <c r="M7" i="3" l="1"/>
  <c r="M29" i="3" s="1"/>
  <c r="L35" i="3"/>
  <c r="N7" i="3" l="1"/>
  <c r="N29" i="3" s="1"/>
  <c r="O7" i="3" s="1"/>
  <c r="O29" i="3" s="1"/>
  <c r="P7" i="3" s="1"/>
  <c r="P29" i="3" s="1"/>
  <c r="Q7" i="3" s="1"/>
  <c r="Q29" i="3" s="1"/>
  <c r="R7" i="3" s="1"/>
  <c r="R29" i="3" s="1"/>
  <c r="S7" i="3" s="1"/>
  <c r="S29" i="3" s="1"/>
  <c r="T7" i="3" s="1"/>
  <c r="T29" i="3" s="1"/>
  <c r="U7" i="3" s="1"/>
  <c r="U29" i="3" s="1"/>
  <c r="V7" i="3" s="1"/>
  <c r="V29" i="3" s="1"/>
  <c r="W7" i="3" s="1"/>
  <c r="W29" i="3" s="1"/>
  <c r="M35" i="3"/>
  <c r="X7" i="3" l="1"/>
  <c r="X29" i="3" s="1"/>
  <c r="Y7" i="3" s="1"/>
  <c r="Y29" i="3" s="1"/>
  <c r="Z7" i="3" s="1"/>
  <c r="Z29" i="3" s="1"/>
  <c r="AA7" i="3" s="1"/>
  <c r="AA29" i="3" s="1"/>
  <c r="AB7" i="3" s="1"/>
  <c r="AB29" i="3" s="1"/>
  <c r="AC7" i="3" s="1"/>
  <c r="AC29" i="3" s="1"/>
  <c r="AD7" i="3" s="1"/>
  <c r="AD29" i="3" s="1"/>
  <c r="AE7" i="3" s="1"/>
  <c r="AE29" i="3" s="1"/>
  <c r="AF7" i="3" s="1"/>
  <c r="AF29" i="3" s="1"/>
  <c r="AG7" i="3" s="1"/>
  <c r="AG29" i="3" s="1"/>
  <c r="AH7" i="3" s="1"/>
  <c r="AH29" i="3" s="1"/>
  <c r="AI7" i="3" s="1"/>
  <c r="AI29" i="3" s="1"/>
  <c r="W35" i="3"/>
  <c r="N35" i="3"/>
  <c r="AJ7" i="3" l="1"/>
  <c r="AJ29" i="3" s="1"/>
  <c r="AK7" i="3" s="1"/>
  <c r="AK29" i="3" s="1"/>
  <c r="AL7" i="3" s="1"/>
  <c r="AL29" i="3" s="1"/>
  <c r="B29" i="3" s="1"/>
  <c r="AI35" i="3"/>
</calcChain>
</file>

<file path=xl/sharedStrings.xml><?xml version="1.0" encoding="utf-8"?>
<sst xmlns="http://schemas.openxmlformats.org/spreadsheetml/2006/main" count="104" uniqueCount="103">
  <si>
    <t>Trésorerie — trésorerie disponible, consommation mensuelle, mois de survie</t>
  </si>
  <si>
    <t>Rubrique</t>
  </si>
  <si>
    <t>Contenu</t>
  </si>
  <si>
    <t>Objet</t>
  </si>
  <si>
    <t>Trésorerie disponible, consommation mensuelle, mois de survie (2 FINANCE/TRESORERIE/LISEZ-MOI.md).</t>
  </si>
  <si>
    <t>Onglets</t>
  </si>
  <si>
    <t>« États de trésorerie » : les soldes constatés, compte par compte, chacun daté et sourcé. « Suivi mensuel » : encaissements et décaissements de chaque mois, trésorerie de fin de mois rapprochée du relevé. « Mois de survie » : le calcul à la date du dernier état.</t>
  </si>
  <si>
    <t>États datés et sourcés</t>
  </si>
  <si>
    <t>Chaque état de trésorerie est daté et cite sa source (relevé bancaire, date). Un solde sans pièce n'est pas un état : le noter H.</t>
  </si>
  <si>
    <t>Mois de survie</t>
  </si>
  <si>
    <t>Mois de survie = trésorerie disponible ÷ consommation mensuelle. Citer les deux chiffres et leur source (2 FINANCE/AGENT.md).</t>
  </si>
  <si>
    <t>Consommation mensuelle</t>
  </si>
  <si>
    <t>Décaissements du mois moins encaissements d'activité (ventes, partenariats, autres). Les apports, levées, prêts et subventions n'en sont pas déduits : ils augmentent la trésorerie, pas l'activité.</t>
  </si>
  <si>
    <t>Prévu et encaissé</t>
  </si>
  <si>
    <t>Un montant prévu n'est pas un montant encaissé : le suivi mensuel ne reçoit que des montants constatés. Les prévisions sont dans 2 FINANCE/PREVISIONS.</t>
  </si>
  <si>
    <t>Légende des cellules</t>
  </si>
  <si>
    <t>Cellule jaune, texte bleu : donnée à saisir. Cellule grise : formule, ne pas modifier. Texte vert : valeur reprise d'un autre onglet. Ligne verte « Exemple » : montre le format attendu, à remplacer ou supprimer.</t>
  </si>
  <si>
    <t>Colonne « Nature »</t>
  </si>
  <si>
    <t>F = fait constaté dans une pièce citée · I = inférence · P = proposition · H = hypothèse à valider (voir RULES.md). Si la pièce ne dit pas le chiffre : « non établi par les sources ».</t>
  </si>
  <si>
    <t>Colonne « Source »</t>
  </si>
  <si>
    <t>La pièce et l'endroit exact (ex. : S04, § Contexte, ou le nom de la note du dépôt). Signaler un chiffre tiré d'un argumentaire (plan d'affaires, présentation) plutôt que d'un document de gestion (facture, relevé, procès-verbal).</t>
  </si>
  <si>
    <t>Unités</t>
  </si>
  <si>
    <t>Montants en euros hors taxes, sauf mention contraire. Pourcentages saisis en % (ex. : 15 %).</t>
  </si>
  <si>
    <t>Cadre du projet</t>
  </si>
  <si>
    <t>Références</t>
  </si>
  <si>
    <t>2 FINANCE/TRESORERIE/LISEZ-MOI.md · 2 FINANCE/AGENT.md (règles propres à la finance) · RULES.md</t>
  </si>
  <si>
    <t>États de trésorerie</t>
  </si>
  <si>
    <t>Un solde par compte et par date. Plusieurs comptes à la même date : une ligne chacun.</t>
  </si>
  <si>
    <t>Date de l'état</t>
  </si>
  <si>
    <t>Compte (banque, caisse)</t>
  </si>
  <si>
    <t>Solde (€)</t>
  </si>
  <si>
    <t>Pièce (relevé, date)</t>
  </si>
  <si>
    <t>Nature</t>
  </si>
  <si>
    <t>Remarques</t>
  </si>
  <si>
    <t>jj/mm/aaaa</t>
  </si>
  <si>
    <t>Compte courant (exemple)</t>
  </si>
  <si>
    <t>montant en €</t>
  </si>
  <si>
    <t>Relevé bancaire du jj/mm/aaaa</t>
  </si>
  <si>
    <t>F</t>
  </si>
  <si>
    <t>Ligne d'exemple : à remplacer</t>
  </si>
  <si>
    <t>Premier mois suivi (date) :</t>
  </si>
  <si>
    <t>Poste</t>
  </si>
  <si>
    <t>Total</t>
  </si>
  <si>
    <t>Trésorerie</t>
  </si>
  <si>
    <t>Trésorerie en début de mois</t>
  </si>
  <si>
    <t>Encaissements</t>
  </si>
  <si>
    <t>Ventes d'événements</t>
  </si>
  <si>
    <t>Partenariats et revenus complémentaires</t>
  </si>
  <si>
    <t>Apports des associés et levées de fonds</t>
  </si>
  <si>
    <t>Prêts reçus</t>
  </si>
  <si>
    <t>Subventions</t>
  </si>
  <si>
    <t>Autres encaissements</t>
  </si>
  <si>
    <t>Total des encaissements</t>
  </si>
  <si>
    <t>Décaissements</t>
  </si>
  <si>
    <t>Lieux (mise à disposition)</t>
  </si>
  <si>
    <t>Chefs</t>
  </si>
  <si>
    <t>Matières, boissons et personnel d'extra</t>
  </si>
  <si>
    <t>Salaires et charges sociales</t>
  </si>
  <si>
    <t>Charges fixes (locaux, outils, assurances, honoraires)</t>
  </si>
  <si>
    <t>Marketing</t>
  </si>
  <si>
    <t>Remboursements d'emprunts</t>
  </si>
  <si>
    <t>Impôts et TVA</t>
  </si>
  <si>
    <t>Autres décaissements</t>
  </si>
  <si>
    <t>Total des décaissements</t>
  </si>
  <si>
    <t>Solde et rapprochement</t>
  </si>
  <si>
    <t>Flux net du mois</t>
  </si>
  <si>
    <t>Trésorerie en fin de mois (calculée)</t>
  </si>
  <si>
    <t>Trésorerie en fin de mois selon relevé</t>
  </si>
  <si>
    <t>Écart calculé − relevé</t>
  </si>
  <si>
    <t>Pièce (relevé bancaire, date)</t>
  </si>
  <si>
    <t>Consommation et mois de survie</t>
  </si>
  <si>
    <t>Consommation mensuelle (décaissements − encaissements d'activité)</t>
  </si>
  <si>
    <t>Mois de survie en fin de mois</t>
  </si>
  <si>
    <t>Colonne « Total » : somme des mois ; trésorerie de début = premier mois, de fin = dernier mois. Mois de survie « - » : consommation nulle ou négative (le mois a dégagé de la trésorerie).</t>
  </si>
  <si>
    <t>Mois de survie à la date du dernier état</t>
  </si>
  <si>
    <t>Mois de survie = trésorerie disponible ÷ consommation mensuelle. Citer les deux chiffres et leur source.</t>
  </si>
  <si>
    <t>Élément</t>
  </si>
  <si>
    <t>Valeur</t>
  </si>
  <si>
    <t>Source ou méthode</t>
  </si>
  <si>
    <t>Date du dernier état de trésorerie</t>
  </si>
  <si>
    <t>Date la plus récente de l'onglet États de trésorerie</t>
  </si>
  <si>
    <t>Trésorerie disponible à cette date (€)</t>
  </si>
  <si>
    <t>Somme des soldes de tous les comptes à cette date</t>
  </si>
  <si>
    <t>Pièce(s) de la trésorerie disponible</t>
  </si>
  <si>
    <t>Consommation mensuelle retenue (€ par mois)</t>
  </si>
  <si>
    <t>Aide : consommation moyenne des mois suivis (€ par mois)</t>
  </si>
  <si>
    <t>Moyenne des mois à consommation positive de l'onglet Suivi mensuel ; à reprendre ou non dans la ligne 8, en citant la méthode</t>
  </si>
  <si>
    <t>Ligne 6 ÷ ligne 8</t>
  </si>
  <si>
    <t>Date estimée d'épuisement de la trésorerie</t>
  </si>
  <si>
    <t>Date du dernier état + mois de survie (arrondi au mois inférieur)</t>
  </si>
  <si>
    <t>Phrase type à reprendre : « Au [date], la trésorerie disponible est de [ligne 6] € ([pièce]) ; la consommation mensuelle est de [ligne 8] € ([source]) ; soit [ligne 10] mois de survie. »</t>
  </si>
  <si>
    <t>État du fichier</t>
  </si>
  <si>
    <t>Compte professionnel à ouvrir (apports en capital)</t>
  </si>
  <si>
    <t>Aucune : société non créée, hypothèse temporaire</t>
  </si>
  <si>
    <t>H</t>
  </si>
  <si>
    <t>Apport envisagé (2 FINANCE/FINANCEMENT, ligne 1)</t>
  </si>
  <si>
    <t>Aucune : apport envisagé, société non créée (H)</t>
  </si>
  <si>
    <t>Suivi mensuel de la trésorerie (36 mois)</t>
  </si>
  <si>
    <t>SIMULATION mise à jour le 29/10/2026, avant levée de fonds : flux repris du modèle Pop Tables (onglet « Budget 36 mois », référence décidée D-21), selon les décisions D-02 à D-26. Ventes encaissées TTC : places à l'unité en pré-vente le mois qui précède la soirée (D-04), privatisations le mois de la soirée (H). TVA payée aux fournisseurs et reversée à l'État dans « Impôts et TVA ». Investissements (site D-19, matériel) et frais d'ouverture des villes dans « Autres décaissements ». Impôt sur les sociétés non compté. Seul financement compté : la love money de 70 000 € en novembre 2026 (D-26), ligne « Apports ». À remplacer par les montants constatés.</t>
  </si>
  <si>
    <t>H : moyenne des mois à consommation positive de la simulation sur 36 mois (ligne 9), à remplacer par la consommation constatée</t>
  </si>
  <si>
    <t>Pop Tables · Pôle Finance · Version du 28/10/2026 (soir), 36 mois. Remplace le modèle du 27/10 (rangé dans 2 FINANCE/OLD).</t>
  </si>
  <si>
    <t>Pop Tables : soirées gastronomiques éphémères sur le segment du luxe ; places à l'unité en pré-vente et privatisations de salle. Sources : 1 DIRECTION/STRATEGIE/2026 1028 Pop Tables - Cadre de référence (D-02 à D-19) et Business Model Canvas V5 (D-20).</t>
  </si>
  <si>
    <t>Mis à jour le 29/10/2026 : simulation sur 36 mois reprise du budget Pop Tables (D-21), villes selon D-25, love money de 70 000 € (D-26) ; la société n'est pas créée, aucun relevé n'existe. Tous les montants sont des hypothèses (H).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</si>
</sst>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;\-#,##0.00\ &quot;€&quot;;&quot;-&quot;"/>
    <numFmt numFmtId="165" formatCode="mmm\ yyyy"/>
    <numFmt numFmtId="166" formatCode="#,##0\ &quot;€&quot;;\-#,##0\ &quot;€&quot;;&quot;-&quot;"/>
    <numFmt numFmtId="167" formatCode="#,##0.0;\-#,##0.0;&quot;-&quot;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i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6" fillId="3" borderId="0" xfId="0" applyFont="1" applyFill="1"/>
    <xf numFmtId="0" fontId="7" fillId="4" borderId="1" xfId="0" applyFont="1" applyFill="1" applyBorder="1"/>
    <xf numFmtId="14" fontId="7" fillId="4" borderId="1" xfId="0" applyNumberFormat="1" applyFont="1" applyFill="1" applyBorder="1"/>
    <xf numFmtId="164" fontId="7" fillId="4" borderId="1" xfId="0" applyNumberFormat="1" applyFont="1" applyFill="1" applyBorder="1"/>
    <xf numFmtId="165" fontId="7" fillId="4" borderId="1" xfId="0" applyNumberFormat="1" applyFont="1" applyFill="1" applyBorder="1"/>
    <xf numFmtId="165" fontId="5" fillId="2" borderId="0" xfId="0" applyNumberFormat="1" applyFont="1" applyFill="1" applyAlignment="1">
      <alignment horizontal="right"/>
    </xf>
    <xf numFmtId="0" fontId="2" fillId="5" borderId="0" xfId="0" applyFont="1" applyFill="1"/>
    <xf numFmtId="166" fontId="7" fillId="4" borderId="1" xfId="0" applyNumberFormat="1" applyFont="1" applyFill="1" applyBorder="1"/>
    <xf numFmtId="166" fontId="8" fillId="6" borderId="1" xfId="0" applyNumberFormat="1" applyFont="1" applyFill="1" applyBorder="1"/>
    <xf numFmtId="166" fontId="9" fillId="6" borderId="1" xfId="0" applyNumberFormat="1" applyFont="1" applyFill="1" applyBorder="1"/>
    <xf numFmtId="0" fontId="7" fillId="4" borderId="1" xfId="0" applyFont="1" applyFill="1" applyBorder="1" applyAlignment="1">
      <alignment wrapText="1"/>
    </xf>
    <xf numFmtId="167" fontId="9" fillId="6" borderId="1" xfId="0" applyNumberFormat="1" applyFont="1" applyFill="1" applyBorder="1"/>
    <xf numFmtId="0" fontId="2" fillId="5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top"/>
    </xf>
    <xf numFmtId="14" fontId="6" fillId="6" borderId="1" xfId="0" applyNumberFormat="1" applyFont="1" applyFill="1" applyBorder="1" applyAlignment="1">
      <alignment vertical="top"/>
    </xf>
    <xf numFmtId="166" fontId="6" fillId="6" borderId="1" xfId="0" applyNumberFormat="1" applyFont="1" applyFill="1" applyBorder="1" applyAlignment="1">
      <alignment vertical="top"/>
    </xf>
    <xf numFmtId="166" fontId="7" fillId="4" borderId="1" xfId="0" applyNumberFormat="1" applyFont="1" applyFill="1" applyBorder="1" applyAlignment="1">
      <alignment vertical="top"/>
    </xf>
    <xf numFmtId="0" fontId="7" fillId="4" borderId="1" xfId="0" applyFont="1" applyFill="1" applyBorder="1" applyAlignment="1">
      <alignment vertical="top" wrapText="1"/>
    </xf>
    <xf numFmtId="167" fontId="9" fillId="6" borderId="1" xfId="0" applyNumberFormat="1" applyFont="1" applyFill="1" applyBorder="1" applyAlignment="1">
      <alignment vertical="top"/>
    </xf>
    <xf numFmtId="14" fontId="8" fillId="6" borderId="1" xfId="0" applyNumberFormat="1" applyFont="1" applyFill="1" applyBorder="1" applyAlignment="1">
      <alignment vertical="top"/>
    </xf>
    <xf numFmtId="0" fontId="10" fillId="0" borderId="0" xfId="0" applyFont="1"/>
    <xf numFmtId="0" fontId="7" fillId="4" borderId="2" xfId="0" applyFont="1" applyFill="1" applyBorder="1" applyAlignment="1">
      <alignment vertical="top"/>
    </xf>
    <xf numFmtId="0" fontId="7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9264-03D7-4A56-BBF2-4B1A5EDDE9D5}">
  <dimension ref="A1:B17"/>
  <sheetViews>
    <sheetView tabSelected="1" zoomScaleNormal="100" workbookViewId="0"/>
  </sheetViews>
  <sheetFormatPr baseColWidth="10" defaultRowHeight="12.5" x14ac:dyDescent="0.25"/>
  <cols>
    <col min="1" max="1" width="26.6328125" style="1" customWidth="1"/>
    <col min="2" max="2" width="110.6328125" style="1" customWidth="1"/>
    <col min="3" max="16384" width="10.90625" style="1"/>
  </cols>
  <sheetData>
    <row r="1" spans="1:2" ht="18" x14ac:dyDescent="0.4">
      <c r="A1" s="3" t="s">
        <v>0</v>
      </c>
    </row>
    <row r="2" spans="1:2" ht="13" x14ac:dyDescent="0.3">
      <c r="A2" s="4" t="s">
        <v>100</v>
      </c>
    </row>
    <row r="4" spans="1:2" ht="13" x14ac:dyDescent="0.25">
      <c r="A4" s="6" t="s">
        <v>1</v>
      </c>
      <c r="B4" s="6" t="s">
        <v>2</v>
      </c>
    </row>
    <row r="5" spans="1:2" ht="13" x14ac:dyDescent="0.25">
      <c r="A5" s="8" t="s">
        <v>3</v>
      </c>
      <c r="B5" s="9" t="s">
        <v>4</v>
      </c>
    </row>
    <row r="6" spans="1:2" ht="25" x14ac:dyDescent="0.25">
      <c r="A6" s="8" t="s">
        <v>5</v>
      </c>
      <c r="B6" s="9" t="s">
        <v>6</v>
      </c>
    </row>
    <row r="7" spans="1:2" ht="13" x14ac:dyDescent="0.25">
      <c r="A7" s="8" t="s">
        <v>7</v>
      </c>
      <c r="B7" s="9" t="s">
        <v>8</v>
      </c>
    </row>
    <row r="8" spans="1:2" ht="13" x14ac:dyDescent="0.25">
      <c r="A8" s="8" t="s">
        <v>9</v>
      </c>
      <c r="B8" s="9" t="s">
        <v>10</v>
      </c>
    </row>
    <row r="9" spans="1:2" ht="25" x14ac:dyDescent="0.25">
      <c r="A9" s="8" t="s">
        <v>11</v>
      </c>
      <c r="B9" s="9" t="s">
        <v>12</v>
      </c>
    </row>
    <row r="10" spans="1:2" ht="25" x14ac:dyDescent="0.25">
      <c r="A10" s="8" t="s">
        <v>13</v>
      </c>
      <c r="B10" s="9" t="s">
        <v>14</v>
      </c>
    </row>
    <row r="11" spans="1:2" ht="25" x14ac:dyDescent="0.25">
      <c r="A11" s="8" t="s">
        <v>15</v>
      </c>
      <c r="B11" s="9" t="s">
        <v>16</v>
      </c>
    </row>
    <row r="12" spans="1:2" ht="25" x14ac:dyDescent="0.25">
      <c r="A12" s="8" t="s">
        <v>17</v>
      </c>
      <c r="B12" s="9" t="s">
        <v>18</v>
      </c>
    </row>
    <row r="13" spans="1:2" ht="25" x14ac:dyDescent="0.25">
      <c r="A13" s="8" t="s">
        <v>19</v>
      </c>
      <c r="B13" s="9" t="s">
        <v>20</v>
      </c>
    </row>
    <row r="14" spans="1:2" ht="13" x14ac:dyDescent="0.25">
      <c r="A14" s="8" t="s">
        <v>21</v>
      </c>
      <c r="B14" s="9" t="s">
        <v>22</v>
      </c>
    </row>
    <row r="15" spans="1:2" ht="37.5" x14ac:dyDescent="0.25">
      <c r="A15" s="8" t="s">
        <v>23</v>
      </c>
      <c r="B15" s="9" t="s">
        <v>101</v>
      </c>
    </row>
    <row r="16" spans="1:2" ht="13" x14ac:dyDescent="0.25">
      <c r="A16" s="8" t="s">
        <v>24</v>
      </c>
      <c r="B16" s="9" t="s">
        <v>25</v>
      </c>
    </row>
    <row r="17" spans="1:2" ht="25" x14ac:dyDescent="0.25">
      <c r="A17" s="8" t="s">
        <v>91</v>
      </c>
      <c r="B17" s="9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369F-120D-412E-8D56-3601141B8C3C}">
  <dimension ref="A1:F35"/>
  <sheetViews>
    <sheetView zoomScaleNormal="100" workbookViewId="0">
      <pane ySplit="4" topLeftCell="A5" activePane="bottomLeft" state="frozenSplit"/>
      <selection pane="bottomLeft"/>
    </sheetView>
  </sheetViews>
  <sheetFormatPr baseColWidth="10" defaultRowHeight="12.5" x14ac:dyDescent="0.25"/>
  <cols>
    <col min="1" max="1" width="14.6328125" style="1" customWidth="1"/>
    <col min="2" max="2" width="30.6328125" style="1" customWidth="1"/>
    <col min="3" max="3" width="16.6328125" style="1" customWidth="1"/>
    <col min="4" max="4" width="36.6328125" style="1" customWidth="1"/>
    <col min="5" max="5" width="8.6328125" style="1" customWidth="1"/>
    <col min="6" max="6" width="36.6328125" style="1" customWidth="1"/>
    <col min="7" max="16384" width="10.90625" style="1"/>
  </cols>
  <sheetData>
    <row r="1" spans="1:6" ht="18" x14ac:dyDescent="0.4">
      <c r="A1" s="3" t="s">
        <v>26</v>
      </c>
    </row>
    <row r="2" spans="1:6" ht="13" x14ac:dyDescent="0.3">
      <c r="A2" s="4" t="s">
        <v>27</v>
      </c>
    </row>
    <row r="4" spans="1:6" ht="30" customHeight="1" x14ac:dyDescent="0.25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</row>
    <row r="5" spans="1:6" x14ac:dyDescent="0.25">
      <c r="A5" s="10" t="s">
        <v>34</v>
      </c>
      <c r="B5" s="10" t="s">
        <v>35</v>
      </c>
      <c r="C5" s="10" t="s">
        <v>36</v>
      </c>
      <c r="D5" s="10" t="s">
        <v>37</v>
      </c>
      <c r="E5" s="10" t="s">
        <v>38</v>
      </c>
      <c r="F5" s="10" t="s">
        <v>39</v>
      </c>
    </row>
    <row r="6" spans="1:6" x14ac:dyDescent="0.25">
      <c r="A6" s="12">
        <v>46327</v>
      </c>
      <c r="B6" s="11" t="s">
        <v>92</v>
      </c>
      <c r="C6" s="13">
        <v>7000</v>
      </c>
      <c r="D6" s="11" t="s">
        <v>93</v>
      </c>
      <c r="E6" s="11" t="s">
        <v>94</v>
      </c>
      <c r="F6" s="11" t="s">
        <v>95</v>
      </c>
    </row>
    <row r="7" spans="1:6" x14ac:dyDescent="0.25">
      <c r="A7" s="12"/>
      <c r="B7" s="11"/>
      <c r="C7" s="13"/>
      <c r="D7" s="11"/>
      <c r="E7" s="11"/>
      <c r="F7" s="11"/>
    </row>
    <row r="8" spans="1:6" x14ac:dyDescent="0.25">
      <c r="A8" s="12"/>
      <c r="B8" s="11"/>
      <c r="C8" s="13"/>
      <c r="D8" s="11"/>
      <c r="E8" s="11"/>
      <c r="F8" s="11"/>
    </row>
    <row r="9" spans="1:6" x14ac:dyDescent="0.25">
      <c r="A9" s="12"/>
      <c r="B9" s="11"/>
      <c r="C9" s="13"/>
      <c r="D9" s="11"/>
      <c r="E9" s="11"/>
      <c r="F9" s="11"/>
    </row>
    <row r="10" spans="1:6" x14ac:dyDescent="0.25">
      <c r="A10" s="12"/>
      <c r="B10" s="11"/>
      <c r="C10" s="13"/>
      <c r="D10" s="11"/>
      <c r="E10" s="11"/>
      <c r="F10" s="11"/>
    </row>
    <row r="11" spans="1:6" x14ac:dyDescent="0.25">
      <c r="A11" s="12"/>
      <c r="B11" s="11"/>
      <c r="C11" s="13"/>
      <c r="D11" s="11"/>
      <c r="E11" s="11"/>
      <c r="F11" s="11"/>
    </row>
    <row r="12" spans="1:6" x14ac:dyDescent="0.25">
      <c r="A12" s="12"/>
      <c r="B12" s="11"/>
      <c r="C12" s="13"/>
      <c r="D12" s="11"/>
      <c r="E12" s="11"/>
      <c r="F12" s="11"/>
    </row>
    <row r="13" spans="1:6" x14ac:dyDescent="0.25">
      <c r="A13" s="12"/>
      <c r="B13" s="11"/>
      <c r="C13" s="13"/>
      <c r="D13" s="11"/>
      <c r="E13" s="11"/>
      <c r="F13" s="11"/>
    </row>
    <row r="14" spans="1:6" x14ac:dyDescent="0.25">
      <c r="A14" s="12"/>
      <c r="B14" s="11"/>
      <c r="C14" s="13"/>
      <c r="D14" s="11"/>
      <c r="E14" s="11"/>
      <c r="F14" s="11"/>
    </row>
    <row r="15" spans="1:6" x14ac:dyDescent="0.25">
      <c r="A15" s="12"/>
      <c r="B15" s="11"/>
      <c r="C15" s="13"/>
      <c r="D15" s="11"/>
      <c r="E15" s="11"/>
      <c r="F15" s="11"/>
    </row>
    <row r="16" spans="1:6" x14ac:dyDescent="0.25">
      <c r="A16" s="12"/>
      <c r="B16" s="11"/>
      <c r="C16" s="13"/>
      <c r="D16" s="11"/>
      <c r="E16" s="11"/>
      <c r="F16" s="11"/>
    </row>
    <row r="17" spans="1:6" x14ac:dyDescent="0.25">
      <c r="A17" s="12"/>
      <c r="B17" s="11"/>
      <c r="C17" s="13"/>
      <c r="D17" s="11"/>
      <c r="E17" s="11"/>
      <c r="F17" s="11"/>
    </row>
    <row r="18" spans="1:6" x14ac:dyDescent="0.25">
      <c r="A18" s="12"/>
      <c r="B18" s="11"/>
      <c r="C18" s="13"/>
      <c r="D18" s="11"/>
      <c r="E18" s="11"/>
      <c r="F18" s="11"/>
    </row>
    <row r="19" spans="1:6" x14ac:dyDescent="0.25">
      <c r="A19" s="12"/>
      <c r="B19" s="11"/>
      <c r="C19" s="13"/>
      <c r="D19" s="11"/>
      <c r="E19" s="11"/>
      <c r="F19" s="11"/>
    </row>
    <row r="20" spans="1:6" x14ac:dyDescent="0.25">
      <c r="A20" s="12"/>
      <c r="B20" s="11"/>
      <c r="C20" s="13"/>
      <c r="D20" s="11"/>
      <c r="E20" s="11"/>
      <c r="F20" s="11"/>
    </row>
    <row r="21" spans="1:6" x14ac:dyDescent="0.25">
      <c r="A21" s="12"/>
      <c r="B21" s="11"/>
      <c r="C21" s="13"/>
      <c r="D21" s="11"/>
      <c r="E21" s="11"/>
      <c r="F21" s="11"/>
    </row>
    <row r="22" spans="1:6" x14ac:dyDescent="0.25">
      <c r="A22" s="12"/>
      <c r="B22" s="11"/>
      <c r="C22" s="13"/>
      <c r="D22" s="11"/>
      <c r="E22" s="11"/>
      <c r="F22" s="11"/>
    </row>
    <row r="23" spans="1:6" x14ac:dyDescent="0.25">
      <c r="A23" s="12"/>
      <c r="B23" s="11"/>
      <c r="C23" s="13"/>
      <c r="D23" s="11"/>
      <c r="E23" s="11"/>
      <c r="F23" s="11"/>
    </row>
    <row r="24" spans="1:6" x14ac:dyDescent="0.25">
      <c r="A24" s="12"/>
      <c r="B24" s="11"/>
      <c r="C24" s="13"/>
      <c r="D24" s="11"/>
      <c r="E24" s="11"/>
      <c r="F24" s="11"/>
    </row>
    <row r="25" spans="1:6" x14ac:dyDescent="0.25">
      <c r="A25" s="12"/>
      <c r="B25" s="11"/>
      <c r="C25" s="13"/>
      <c r="D25" s="11"/>
      <c r="E25" s="11"/>
      <c r="F25" s="11"/>
    </row>
    <row r="26" spans="1:6" x14ac:dyDescent="0.25">
      <c r="A26" s="12"/>
      <c r="B26" s="11"/>
      <c r="C26" s="13"/>
      <c r="D26" s="11"/>
      <c r="E26" s="11"/>
      <c r="F26" s="11"/>
    </row>
    <row r="27" spans="1:6" x14ac:dyDescent="0.25">
      <c r="A27" s="12"/>
      <c r="B27" s="11"/>
      <c r="C27" s="13"/>
      <c r="D27" s="11"/>
      <c r="E27" s="11"/>
      <c r="F27" s="11"/>
    </row>
    <row r="28" spans="1:6" x14ac:dyDescent="0.25">
      <c r="A28" s="12"/>
      <c r="B28" s="11"/>
      <c r="C28" s="13"/>
      <c r="D28" s="11"/>
      <c r="E28" s="11"/>
      <c r="F28" s="11"/>
    </row>
    <row r="29" spans="1:6" x14ac:dyDescent="0.25">
      <c r="A29" s="12"/>
      <c r="B29" s="11"/>
      <c r="C29" s="13"/>
      <c r="D29" s="11"/>
      <c r="E29" s="11"/>
      <c r="F29" s="11"/>
    </row>
    <row r="30" spans="1:6" x14ac:dyDescent="0.25">
      <c r="A30" s="12"/>
      <c r="B30" s="11"/>
      <c r="C30" s="13"/>
      <c r="D30" s="11"/>
      <c r="E30" s="11"/>
      <c r="F30" s="11"/>
    </row>
    <row r="31" spans="1:6" x14ac:dyDescent="0.25">
      <c r="A31" s="12"/>
      <c r="B31" s="11"/>
      <c r="C31" s="13"/>
      <c r="D31" s="11"/>
      <c r="E31" s="11"/>
      <c r="F31" s="11"/>
    </row>
    <row r="32" spans="1:6" x14ac:dyDescent="0.25">
      <c r="A32" s="12"/>
      <c r="B32" s="11"/>
      <c r="C32" s="13"/>
      <c r="D32" s="11"/>
      <c r="E32" s="11"/>
      <c r="F32" s="11"/>
    </row>
    <row r="33" spans="1:6" x14ac:dyDescent="0.25">
      <c r="A33" s="12"/>
      <c r="B33" s="11"/>
      <c r="C33" s="13"/>
      <c r="D33" s="11"/>
      <c r="E33" s="11"/>
      <c r="F33" s="11"/>
    </row>
    <row r="34" spans="1:6" x14ac:dyDescent="0.25">
      <c r="A34" s="12"/>
      <c r="B34" s="11"/>
      <c r="C34" s="13"/>
      <c r="D34" s="11"/>
      <c r="E34" s="11"/>
      <c r="F34" s="11"/>
    </row>
    <row r="35" spans="1:6" x14ac:dyDescent="0.25">
      <c r="A35" s="12"/>
      <c r="B35" s="11"/>
      <c r="C35" s="13"/>
      <c r="D35" s="11"/>
      <c r="E35" s="11"/>
      <c r="F35" s="11"/>
    </row>
  </sheetData>
  <dataValidations count="1">
    <dataValidation type="list" allowBlank="1" showInputMessage="1" showErrorMessage="1" sqref="E5:E35" xr:uid="{10D772A1-CDD9-46A2-9FF9-8A81E8229CF8}">
      <formula1>"F,I,P,H"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33630-8092-413B-819E-5BDF84D9F3B1}">
  <dimension ref="A1:AL37"/>
  <sheetViews>
    <sheetView zoomScaleNormal="100"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2.5" x14ac:dyDescent="0.25"/>
  <cols>
    <col min="1" max="1" width="50.6328125" style="1" customWidth="1"/>
    <col min="2" max="2" width="13.6328125" style="1" customWidth="1"/>
    <col min="3" max="14" width="12.6328125" style="1" customWidth="1"/>
    <col min="15" max="16384" width="10.90625" style="1"/>
  </cols>
  <sheetData>
    <row r="1" spans="1:38" ht="18" x14ac:dyDescent="0.4">
      <c r="A1" s="3" t="s">
        <v>97</v>
      </c>
    </row>
    <row r="2" spans="1:38" ht="13" x14ac:dyDescent="0.3">
      <c r="A2" s="31" t="s">
        <v>98</v>
      </c>
    </row>
    <row r="3" spans="1:38" ht="13" x14ac:dyDescent="0.3">
      <c r="A3" s="2" t="s">
        <v>40</v>
      </c>
      <c r="C3" s="14">
        <v>46327</v>
      </c>
    </row>
    <row r="5" spans="1:38" ht="13" x14ac:dyDescent="0.3">
      <c r="A5" s="5" t="s">
        <v>41</v>
      </c>
      <c r="B5" s="5" t="s">
        <v>42</v>
      </c>
      <c r="C5" s="15">
        <f t="shared" ref="C5:AL5" si="0">IF($C$3="","Mois "&amp;(COLUMN()-2),EDATE($C$3,COLUMN()-3))</f>
        <v>46327</v>
      </c>
      <c r="D5" s="15">
        <f t="shared" si="0"/>
        <v>46357</v>
      </c>
      <c r="E5" s="15">
        <f t="shared" si="0"/>
        <v>46388</v>
      </c>
      <c r="F5" s="15">
        <f t="shared" si="0"/>
        <v>46419</v>
      </c>
      <c r="G5" s="15">
        <f t="shared" si="0"/>
        <v>46447</v>
      </c>
      <c r="H5" s="15">
        <f t="shared" si="0"/>
        <v>46478</v>
      </c>
      <c r="I5" s="15">
        <f t="shared" si="0"/>
        <v>46508</v>
      </c>
      <c r="J5" s="15">
        <f t="shared" si="0"/>
        <v>46539</v>
      </c>
      <c r="K5" s="15">
        <f t="shared" si="0"/>
        <v>46569</v>
      </c>
      <c r="L5" s="15">
        <f t="shared" si="0"/>
        <v>46600</v>
      </c>
      <c r="M5" s="15">
        <f t="shared" si="0"/>
        <v>46631</v>
      </c>
      <c r="N5" s="15">
        <f t="shared" si="0"/>
        <v>46661</v>
      </c>
      <c r="O5" s="15">
        <f t="shared" si="0"/>
        <v>46692</v>
      </c>
      <c r="P5" s="15">
        <f t="shared" si="0"/>
        <v>46722</v>
      </c>
      <c r="Q5" s="15">
        <f t="shared" si="0"/>
        <v>46753</v>
      </c>
      <c r="R5" s="15">
        <f t="shared" si="0"/>
        <v>46784</v>
      </c>
      <c r="S5" s="15">
        <f t="shared" si="0"/>
        <v>46813</v>
      </c>
      <c r="T5" s="15">
        <f t="shared" si="0"/>
        <v>46844</v>
      </c>
      <c r="U5" s="15">
        <f t="shared" si="0"/>
        <v>46874</v>
      </c>
      <c r="V5" s="15">
        <f t="shared" si="0"/>
        <v>46905</v>
      </c>
      <c r="W5" s="15">
        <f t="shared" si="0"/>
        <v>46935</v>
      </c>
      <c r="X5" s="15">
        <f t="shared" si="0"/>
        <v>46966</v>
      </c>
      <c r="Y5" s="15">
        <f t="shared" si="0"/>
        <v>46997</v>
      </c>
      <c r="Z5" s="15">
        <f t="shared" si="0"/>
        <v>47027</v>
      </c>
      <c r="AA5" s="15">
        <f t="shared" si="0"/>
        <v>47058</v>
      </c>
      <c r="AB5" s="15">
        <f t="shared" si="0"/>
        <v>47088</v>
      </c>
      <c r="AC5" s="15">
        <f t="shared" si="0"/>
        <v>47119</v>
      </c>
      <c r="AD5" s="15">
        <f t="shared" si="0"/>
        <v>47150</v>
      </c>
      <c r="AE5" s="15">
        <f t="shared" si="0"/>
        <v>47178</v>
      </c>
      <c r="AF5" s="15">
        <f t="shared" si="0"/>
        <v>47209</v>
      </c>
      <c r="AG5" s="15">
        <f t="shared" si="0"/>
        <v>47239</v>
      </c>
      <c r="AH5" s="15">
        <f t="shared" si="0"/>
        <v>47270</v>
      </c>
      <c r="AI5" s="15">
        <f t="shared" si="0"/>
        <v>47300</v>
      </c>
      <c r="AJ5" s="15">
        <f t="shared" si="0"/>
        <v>47331</v>
      </c>
      <c r="AK5" s="15">
        <f t="shared" si="0"/>
        <v>47362</v>
      </c>
      <c r="AL5" s="15">
        <f t="shared" si="0"/>
        <v>47392</v>
      </c>
    </row>
    <row r="6" spans="1:38" ht="13" x14ac:dyDescent="0.3">
      <c r="A6" s="22" t="s">
        <v>43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</row>
    <row r="7" spans="1:38" ht="13" x14ac:dyDescent="0.3">
      <c r="A7" s="23" t="s">
        <v>44</v>
      </c>
      <c r="B7" s="18">
        <f>C7</f>
        <v>0</v>
      </c>
      <c r="C7" s="17">
        <v>0</v>
      </c>
      <c r="D7" s="18">
        <f t="shared" ref="D7:N7" si="1">IF(C30&lt;&gt;"",C30,C29)</f>
        <v>45237</v>
      </c>
      <c r="E7" s="18">
        <f t="shared" si="1"/>
        <v>51486</v>
      </c>
      <c r="F7" s="18">
        <f t="shared" si="1"/>
        <v>59983.37</v>
      </c>
      <c r="G7" s="18">
        <f t="shared" si="1"/>
        <v>49004.37</v>
      </c>
      <c r="H7" s="18">
        <f t="shared" si="1"/>
        <v>10071.120000000003</v>
      </c>
      <c r="I7" s="18">
        <f t="shared" si="1"/>
        <v>24360.83</v>
      </c>
      <c r="J7" s="18">
        <f t="shared" si="1"/>
        <v>26080.190000000002</v>
      </c>
      <c r="K7" s="18">
        <f t="shared" si="1"/>
        <v>28659.300000000003</v>
      </c>
      <c r="L7" s="18">
        <f t="shared" si="1"/>
        <v>18736.670000000002</v>
      </c>
      <c r="M7" s="18">
        <f t="shared" si="1"/>
        <v>27325.670000000002</v>
      </c>
      <c r="N7" s="18">
        <f t="shared" si="1"/>
        <v>22757.37</v>
      </c>
      <c r="O7" s="18">
        <f t="shared" ref="O7" si="2">IF(N30&lt;&gt;"",N30,N29)</f>
        <v>54448.83</v>
      </c>
      <c r="P7" s="18">
        <f t="shared" ref="P7" si="3">IF(O30&lt;&gt;"",O30,O29)</f>
        <v>90885.630000000019</v>
      </c>
      <c r="Q7" s="18">
        <f t="shared" ref="Q7" si="4">IF(P30&lt;&gt;"",P30,P29)</f>
        <v>133022.43000000005</v>
      </c>
      <c r="R7" s="18">
        <f t="shared" ref="R7" si="5">IF(Q30&lt;&gt;"",Q30,Q29)</f>
        <v>174043.03000000009</v>
      </c>
      <c r="S7" s="18">
        <f t="shared" ref="S7" si="6">IF(R30&lt;&gt;"",R30,R29)</f>
        <v>211112.32000000012</v>
      </c>
      <c r="T7" s="18">
        <f t="shared" ref="T7" si="7">IF(S30&lt;&gt;"",S30,S29)</f>
        <v>248181.61000000016</v>
      </c>
      <c r="U7" s="18">
        <f t="shared" ref="U7" si="8">IF(T30&lt;&gt;"",T30,T29)</f>
        <v>285250.9000000002</v>
      </c>
      <c r="V7" s="18">
        <f t="shared" ref="V7" si="9">IF(U30&lt;&gt;"",U30,U29)</f>
        <v>322320.19000000024</v>
      </c>
      <c r="W7" s="18">
        <f t="shared" ref="W7" si="10">IF(V30&lt;&gt;"",V30,V29)</f>
        <v>359389.48000000027</v>
      </c>
      <c r="X7" s="18">
        <f t="shared" ref="X7" si="11">IF(W30&lt;&gt;"",W30,W29)</f>
        <v>349458.77000000031</v>
      </c>
      <c r="Y7" s="18">
        <f t="shared" ref="Y7" si="12">IF(X30&lt;&gt;"",X30,X29)</f>
        <v>408703.96000000031</v>
      </c>
      <c r="Z7" s="18">
        <f t="shared" ref="Z7" si="13">IF(Y30&lt;&gt;"",Y30,Y29)</f>
        <v>431724.14000000036</v>
      </c>
      <c r="AA7" s="18">
        <f t="shared" ref="AA7" si="14">IF(Z30&lt;&gt;"",Z30,Z29)</f>
        <v>500793.4300000004</v>
      </c>
      <c r="AB7" s="18">
        <f t="shared" ref="AB7" si="15">IF(AA30&lt;&gt;"",AA30,AA29)</f>
        <v>527728.87000000034</v>
      </c>
      <c r="AC7" s="18">
        <f t="shared" ref="AC7" si="16">IF(AB30&lt;&gt;"",AB30,AB29)</f>
        <v>561854.13000000035</v>
      </c>
      <c r="AD7" s="18">
        <f t="shared" ref="AD7" si="17">IF(AC30&lt;&gt;"",AC30,AC29)</f>
        <v>594579.39000000036</v>
      </c>
      <c r="AE7" s="18">
        <f t="shared" ref="AE7" si="18">IF(AD30&lt;&gt;"",AD30,AD29)</f>
        <v>627304.65000000037</v>
      </c>
      <c r="AF7" s="18">
        <f t="shared" ref="AF7" si="19">IF(AE30&lt;&gt;"",AE30,AE29)</f>
        <v>660029.91000000038</v>
      </c>
      <c r="AG7" s="18">
        <f t="shared" ref="AG7" si="20">IF(AF30&lt;&gt;"",AF30,AF29)</f>
        <v>692755.17000000039</v>
      </c>
      <c r="AH7" s="18">
        <f t="shared" ref="AH7" si="21">IF(AG30&lt;&gt;"",AG30,AG29)</f>
        <v>725480.4300000004</v>
      </c>
      <c r="AI7" s="18">
        <f t="shared" ref="AI7" si="22">IF(AH30&lt;&gt;"",AH30,AH29)</f>
        <v>758205.69000000041</v>
      </c>
      <c r="AJ7" s="18">
        <f t="shared" ref="AJ7" si="23">IF(AI30&lt;&gt;"",AI30,AI29)</f>
        <v>696930.95000000042</v>
      </c>
      <c r="AK7" s="18">
        <f t="shared" ref="AK7" si="24">IF(AJ30&lt;&gt;"",AJ30,AJ29)</f>
        <v>808658.00000000047</v>
      </c>
      <c r="AL7" s="18">
        <f t="shared" ref="AL7" si="25">IF(AK30&lt;&gt;"",AK30,AK29)</f>
        <v>843135.05000000051</v>
      </c>
    </row>
    <row r="8" spans="1:38" ht="13" x14ac:dyDescent="0.3">
      <c r="A8" s="22" t="s">
        <v>45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</row>
    <row r="9" spans="1:38" x14ac:dyDescent="0.25">
      <c r="A9" s="7" t="s">
        <v>46</v>
      </c>
      <c r="B9" s="18">
        <f>SUM(C9:AL9)</f>
        <v>7291000</v>
      </c>
      <c r="C9" s="17">
        <v>0</v>
      </c>
      <c r="D9" s="17">
        <v>11600</v>
      </c>
      <c r="E9" s="17">
        <v>20700</v>
      </c>
      <c r="F9" s="17">
        <v>14700</v>
      </c>
      <c r="G9" s="17">
        <v>11600</v>
      </c>
      <c r="H9" s="17">
        <v>35700</v>
      </c>
      <c r="I9" s="17">
        <v>29700</v>
      </c>
      <c r="J9" s="17">
        <v>26600</v>
      </c>
      <c r="K9" s="17">
        <v>0</v>
      </c>
      <c r="L9" s="17">
        <v>20700</v>
      </c>
      <c r="M9" s="17">
        <v>44700</v>
      </c>
      <c r="N9" s="17">
        <v>77000</v>
      </c>
      <c r="O9" s="17">
        <v>197000</v>
      </c>
      <c r="P9" s="17">
        <v>197000</v>
      </c>
      <c r="Q9" s="17">
        <v>197000</v>
      </c>
      <c r="R9" s="17">
        <v>197000</v>
      </c>
      <c r="S9" s="17">
        <v>197000</v>
      </c>
      <c r="T9" s="17">
        <v>197000</v>
      </c>
      <c r="U9" s="17">
        <v>197000</v>
      </c>
      <c r="V9" s="17">
        <v>197000</v>
      </c>
      <c r="W9" s="17">
        <v>150000</v>
      </c>
      <c r="X9" s="17">
        <v>197000</v>
      </c>
      <c r="Y9" s="17">
        <v>197000</v>
      </c>
      <c r="Z9" s="17">
        <v>244000</v>
      </c>
      <c r="AA9" s="17">
        <v>394000</v>
      </c>
      <c r="AB9" s="17">
        <v>394000</v>
      </c>
      <c r="AC9" s="17">
        <v>394000</v>
      </c>
      <c r="AD9" s="17">
        <v>394000</v>
      </c>
      <c r="AE9" s="17">
        <v>394000</v>
      </c>
      <c r="AF9" s="17">
        <v>394000</v>
      </c>
      <c r="AG9" s="17">
        <v>394000</v>
      </c>
      <c r="AH9" s="17">
        <v>394000</v>
      </c>
      <c r="AI9" s="17">
        <v>300000</v>
      </c>
      <c r="AJ9" s="17">
        <v>394000</v>
      </c>
      <c r="AK9" s="17">
        <v>394000</v>
      </c>
      <c r="AL9" s="17">
        <v>394000</v>
      </c>
    </row>
    <row r="10" spans="1:38" x14ac:dyDescent="0.25">
      <c r="A10" s="7" t="s">
        <v>47</v>
      </c>
      <c r="B10" s="18">
        <f>SUM(C10:AL10)</f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</row>
    <row r="11" spans="1:38" x14ac:dyDescent="0.25">
      <c r="A11" s="7" t="s">
        <v>48</v>
      </c>
      <c r="B11" s="18">
        <f>SUM(C11:AL11)</f>
        <v>70000</v>
      </c>
      <c r="C11" s="17">
        <v>70000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</row>
    <row r="12" spans="1:38" x14ac:dyDescent="0.25">
      <c r="A12" s="7" t="s">
        <v>49</v>
      </c>
      <c r="B12" s="18">
        <f>SUM(C12:AL12)</f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</row>
    <row r="13" spans="1:38" x14ac:dyDescent="0.25">
      <c r="A13" s="7" t="s">
        <v>50</v>
      </c>
      <c r="B13" s="18">
        <f>SUM(C13:AL13)</f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</row>
    <row r="14" spans="1:38" x14ac:dyDescent="0.25">
      <c r="A14" s="7" t="s">
        <v>51</v>
      </c>
      <c r="B14" s="18">
        <f>SUM(C14:AL14)</f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</row>
    <row r="15" spans="1:38" ht="13" x14ac:dyDescent="0.3">
      <c r="A15" s="23" t="s">
        <v>52</v>
      </c>
      <c r="B15" s="19">
        <f>SUM(C15:AL15)</f>
        <v>7361000</v>
      </c>
      <c r="C15" s="19">
        <f t="shared" ref="C15:N15" si="26">SUM(C9:C14)</f>
        <v>70000</v>
      </c>
      <c r="D15" s="19">
        <f t="shared" si="26"/>
        <v>11600</v>
      </c>
      <c r="E15" s="19">
        <f t="shared" si="26"/>
        <v>20700</v>
      </c>
      <c r="F15" s="19">
        <f t="shared" si="26"/>
        <v>14700</v>
      </c>
      <c r="G15" s="19">
        <f t="shared" si="26"/>
        <v>11600</v>
      </c>
      <c r="H15" s="19">
        <f t="shared" si="26"/>
        <v>35700</v>
      </c>
      <c r="I15" s="19">
        <f t="shared" si="26"/>
        <v>29700</v>
      </c>
      <c r="J15" s="19">
        <f t="shared" si="26"/>
        <v>26600</v>
      </c>
      <c r="K15" s="19">
        <f t="shared" si="26"/>
        <v>0</v>
      </c>
      <c r="L15" s="19">
        <f t="shared" si="26"/>
        <v>20700</v>
      </c>
      <c r="M15" s="19">
        <f t="shared" si="26"/>
        <v>44700</v>
      </c>
      <c r="N15" s="19">
        <f t="shared" si="26"/>
        <v>77000</v>
      </c>
      <c r="O15" s="19">
        <f t="shared" ref="O15:AL15" si="27">SUM(O9:O14)</f>
        <v>197000</v>
      </c>
      <c r="P15" s="19">
        <f t="shared" si="27"/>
        <v>197000</v>
      </c>
      <c r="Q15" s="19">
        <f t="shared" si="27"/>
        <v>197000</v>
      </c>
      <c r="R15" s="19">
        <f t="shared" si="27"/>
        <v>197000</v>
      </c>
      <c r="S15" s="19">
        <f t="shared" si="27"/>
        <v>197000</v>
      </c>
      <c r="T15" s="19">
        <f t="shared" si="27"/>
        <v>197000</v>
      </c>
      <c r="U15" s="19">
        <f t="shared" si="27"/>
        <v>197000</v>
      </c>
      <c r="V15" s="19">
        <f t="shared" si="27"/>
        <v>197000</v>
      </c>
      <c r="W15" s="19">
        <f t="shared" si="27"/>
        <v>150000</v>
      </c>
      <c r="X15" s="19">
        <f t="shared" si="27"/>
        <v>197000</v>
      </c>
      <c r="Y15" s="19">
        <f t="shared" si="27"/>
        <v>197000</v>
      </c>
      <c r="Z15" s="19">
        <f t="shared" si="27"/>
        <v>244000</v>
      </c>
      <c r="AA15" s="19">
        <f t="shared" si="27"/>
        <v>394000</v>
      </c>
      <c r="AB15" s="19">
        <f t="shared" si="27"/>
        <v>394000</v>
      </c>
      <c r="AC15" s="19">
        <f t="shared" si="27"/>
        <v>394000</v>
      </c>
      <c r="AD15" s="19">
        <f t="shared" si="27"/>
        <v>394000</v>
      </c>
      <c r="AE15" s="19">
        <f t="shared" si="27"/>
        <v>394000</v>
      </c>
      <c r="AF15" s="19">
        <f t="shared" si="27"/>
        <v>394000</v>
      </c>
      <c r="AG15" s="19">
        <f t="shared" si="27"/>
        <v>394000</v>
      </c>
      <c r="AH15" s="19">
        <f t="shared" si="27"/>
        <v>394000</v>
      </c>
      <c r="AI15" s="19">
        <f t="shared" si="27"/>
        <v>300000</v>
      </c>
      <c r="AJ15" s="19">
        <f t="shared" si="27"/>
        <v>394000</v>
      </c>
      <c r="AK15" s="19">
        <f t="shared" si="27"/>
        <v>394000</v>
      </c>
      <c r="AL15" s="19">
        <f t="shared" si="27"/>
        <v>394000</v>
      </c>
    </row>
    <row r="16" spans="1:38" ht="13" x14ac:dyDescent="0.3">
      <c r="A16" s="22" t="s">
        <v>53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</row>
    <row r="17" spans="1:38" x14ac:dyDescent="0.25">
      <c r="A17" s="7" t="s">
        <v>54</v>
      </c>
      <c r="B17" s="18">
        <f>SUM(C17:AL17)</f>
        <v>475000</v>
      </c>
      <c r="C17" s="17">
        <v>0</v>
      </c>
      <c r="D17" s="17">
        <v>0</v>
      </c>
      <c r="E17" s="17">
        <v>1000</v>
      </c>
      <c r="F17" s="17">
        <v>1000</v>
      </c>
      <c r="G17" s="17">
        <v>1000</v>
      </c>
      <c r="H17" s="17">
        <v>2000</v>
      </c>
      <c r="I17" s="17">
        <v>2000</v>
      </c>
      <c r="J17" s="17">
        <v>2000</v>
      </c>
      <c r="K17" s="17">
        <v>1000</v>
      </c>
      <c r="L17" s="17">
        <v>0</v>
      </c>
      <c r="M17" s="17">
        <v>3000</v>
      </c>
      <c r="N17" s="17">
        <v>3000</v>
      </c>
      <c r="O17" s="17">
        <v>13000</v>
      </c>
      <c r="P17" s="17">
        <v>13000</v>
      </c>
      <c r="Q17" s="17">
        <v>13000</v>
      </c>
      <c r="R17" s="17">
        <v>13000</v>
      </c>
      <c r="S17" s="17">
        <v>13000</v>
      </c>
      <c r="T17" s="17">
        <v>13000</v>
      </c>
      <c r="U17" s="17">
        <v>13000</v>
      </c>
      <c r="V17" s="17">
        <v>13000</v>
      </c>
      <c r="W17" s="17">
        <v>13000</v>
      </c>
      <c r="X17" s="17">
        <v>10000</v>
      </c>
      <c r="Y17" s="17">
        <v>13000</v>
      </c>
      <c r="Z17" s="17">
        <v>13000</v>
      </c>
      <c r="AA17" s="17">
        <v>26000</v>
      </c>
      <c r="AB17" s="17">
        <v>26000</v>
      </c>
      <c r="AC17" s="17">
        <v>26000</v>
      </c>
      <c r="AD17" s="17">
        <v>26000</v>
      </c>
      <c r="AE17" s="17">
        <v>26000</v>
      </c>
      <c r="AF17" s="17">
        <v>26000</v>
      </c>
      <c r="AG17" s="17">
        <v>26000</v>
      </c>
      <c r="AH17" s="17">
        <v>26000</v>
      </c>
      <c r="AI17" s="17">
        <v>26000</v>
      </c>
      <c r="AJ17" s="17">
        <v>20000</v>
      </c>
      <c r="AK17" s="17">
        <v>26000</v>
      </c>
      <c r="AL17" s="17">
        <v>26000</v>
      </c>
    </row>
    <row r="18" spans="1:38" x14ac:dyDescent="0.25">
      <c r="A18" s="7" t="s">
        <v>55</v>
      </c>
      <c r="B18" s="18">
        <f>SUM(C18:AL18)</f>
        <v>892800</v>
      </c>
      <c r="C18" s="17">
        <v>0</v>
      </c>
      <c r="D18" s="17">
        <v>0</v>
      </c>
      <c r="E18" s="17">
        <v>950</v>
      </c>
      <c r="F18" s="17">
        <v>3500</v>
      </c>
      <c r="G18" s="17">
        <v>2000</v>
      </c>
      <c r="H18" s="17">
        <v>2750</v>
      </c>
      <c r="I18" s="17">
        <v>5300</v>
      </c>
      <c r="J18" s="17">
        <v>3800</v>
      </c>
      <c r="K18" s="17">
        <v>950</v>
      </c>
      <c r="L18" s="17">
        <v>0</v>
      </c>
      <c r="M18" s="17">
        <v>7100</v>
      </c>
      <c r="N18" s="17">
        <v>5600</v>
      </c>
      <c r="O18" s="17">
        <v>24450</v>
      </c>
      <c r="P18" s="17">
        <v>24450</v>
      </c>
      <c r="Q18" s="17">
        <v>24450</v>
      </c>
      <c r="R18" s="17">
        <v>24450</v>
      </c>
      <c r="S18" s="17">
        <v>24450</v>
      </c>
      <c r="T18" s="17">
        <v>24450</v>
      </c>
      <c r="U18" s="17">
        <v>24450</v>
      </c>
      <c r="V18" s="17">
        <v>24450</v>
      </c>
      <c r="W18" s="17">
        <v>24450</v>
      </c>
      <c r="X18" s="17">
        <v>18000</v>
      </c>
      <c r="Y18" s="17">
        <v>24450</v>
      </c>
      <c r="Z18" s="17">
        <v>24450</v>
      </c>
      <c r="AA18" s="17">
        <v>48900</v>
      </c>
      <c r="AB18" s="17">
        <v>48900</v>
      </c>
      <c r="AC18" s="17">
        <v>48900</v>
      </c>
      <c r="AD18" s="17">
        <v>48900</v>
      </c>
      <c r="AE18" s="17">
        <v>48900</v>
      </c>
      <c r="AF18" s="17">
        <v>48900</v>
      </c>
      <c r="AG18" s="17">
        <v>48900</v>
      </c>
      <c r="AH18" s="17">
        <v>48900</v>
      </c>
      <c r="AI18" s="17">
        <v>48900</v>
      </c>
      <c r="AJ18" s="17">
        <v>36000</v>
      </c>
      <c r="AK18" s="17">
        <v>48900</v>
      </c>
      <c r="AL18" s="17">
        <v>48900</v>
      </c>
    </row>
    <row r="19" spans="1:38" x14ac:dyDescent="0.25">
      <c r="A19" s="7" t="s">
        <v>56</v>
      </c>
      <c r="B19" s="18">
        <f>SUM(C19:AL19)</f>
        <v>2548451.83</v>
      </c>
      <c r="C19" s="17">
        <v>0</v>
      </c>
      <c r="D19" s="17">
        <v>0</v>
      </c>
      <c r="E19" s="17">
        <v>5653.57</v>
      </c>
      <c r="F19" s="17">
        <v>8651.43</v>
      </c>
      <c r="G19" s="17">
        <v>6545</v>
      </c>
      <c r="H19" s="17">
        <v>9962.5</v>
      </c>
      <c r="I19" s="17">
        <v>13205.36</v>
      </c>
      <c r="J19" s="17">
        <v>11553.93</v>
      </c>
      <c r="K19" s="17">
        <v>4953.57</v>
      </c>
      <c r="L19" s="17">
        <v>0</v>
      </c>
      <c r="M19" s="17">
        <v>18214.29</v>
      </c>
      <c r="N19" s="17">
        <v>16562.86</v>
      </c>
      <c r="O19" s="17">
        <v>69784.289999999994</v>
      </c>
      <c r="P19" s="17">
        <v>69784.289999999994</v>
      </c>
      <c r="Q19" s="17">
        <v>69784.289999999994</v>
      </c>
      <c r="R19" s="17">
        <v>69784.289999999994</v>
      </c>
      <c r="S19" s="17">
        <v>69784.289999999994</v>
      </c>
      <c r="T19" s="17">
        <v>69784.289999999994</v>
      </c>
      <c r="U19" s="17">
        <v>69784.289999999994</v>
      </c>
      <c r="V19" s="17">
        <v>69784.289999999994</v>
      </c>
      <c r="W19" s="17">
        <v>69784.289999999994</v>
      </c>
      <c r="X19" s="17">
        <v>50089.29</v>
      </c>
      <c r="Y19" s="17">
        <v>69784.289999999994</v>
      </c>
      <c r="Z19" s="17">
        <v>69784.289999999994</v>
      </c>
      <c r="AA19" s="17">
        <v>139568.57</v>
      </c>
      <c r="AB19" s="17">
        <v>139568.57</v>
      </c>
      <c r="AC19" s="17">
        <v>139568.57</v>
      </c>
      <c r="AD19" s="17">
        <v>139568.57</v>
      </c>
      <c r="AE19" s="17">
        <v>139568.57</v>
      </c>
      <c r="AF19" s="17">
        <v>139568.57</v>
      </c>
      <c r="AG19" s="17">
        <v>139568.57</v>
      </c>
      <c r="AH19" s="17">
        <v>139568.57</v>
      </c>
      <c r="AI19" s="17">
        <v>139568.57</v>
      </c>
      <c r="AJ19" s="17">
        <v>100178.57</v>
      </c>
      <c r="AK19" s="17">
        <v>139568.57</v>
      </c>
      <c r="AL19" s="17">
        <v>139568.57</v>
      </c>
    </row>
    <row r="20" spans="1:38" x14ac:dyDescent="0.25">
      <c r="A20" s="7" t="s">
        <v>57</v>
      </c>
      <c r="B20" s="18">
        <f>SUM(C20:AL20)</f>
        <v>741295.31999999983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8121.54</v>
      </c>
      <c r="P20" s="17">
        <v>8121.54</v>
      </c>
      <c r="Q20" s="17">
        <v>8121.54</v>
      </c>
      <c r="R20" s="17">
        <v>8121.54</v>
      </c>
      <c r="S20" s="17">
        <v>8121.54</v>
      </c>
      <c r="T20" s="17">
        <v>8121.54</v>
      </c>
      <c r="U20" s="17">
        <v>8121.54</v>
      </c>
      <c r="V20" s="17">
        <v>8121.54</v>
      </c>
      <c r="W20" s="17">
        <v>8121.54</v>
      </c>
      <c r="X20" s="17">
        <v>8121.54</v>
      </c>
      <c r="Y20" s="17">
        <v>8121.54</v>
      </c>
      <c r="Z20" s="17">
        <v>8121.54</v>
      </c>
      <c r="AA20" s="17">
        <v>53653.07</v>
      </c>
      <c r="AB20" s="17">
        <v>53653.07</v>
      </c>
      <c r="AC20" s="17">
        <v>53653.07</v>
      </c>
      <c r="AD20" s="17">
        <v>53653.07</v>
      </c>
      <c r="AE20" s="17">
        <v>53653.07</v>
      </c>
      <c r="AF20" s="17">
        <v>53653.07</v>
      </c>
      <c r="AG20" s="17">
        <v>53653.07</v>
      </c>
      <c r="AH20" s="17">
        <v>53653.07</v>
      </c>
      <c r="AI20" s="17">
        <v>53653.07</v>
      </c>
      <c r="AJ20" s="17">
        <v>53653.07</v>
      </c>
      <c r="AK20" s="17">
        <v>53653.07</v>
      </c>
      <c r="AL20" s="17">
        <v>53653.07</v>
      </c>
    </row>
    <row r="21" spans="1:38" x14ac:dyDescent="0.25">
      <c r="A21" s="7" t="s">
        <v>58</v>
      </c>
      <c r="B21" s="18">
        <f>SUM(C21:AL21)</f>
        <v>223557.86999999997</v>
      </c>
      <c r="C21" s="17">
        <v>1710</v>
      </c>
      <c r="D21" s="17">
        <v>1210</v>
      </c>
      <c r="E21" s="17">
        <v>417.14</v>
      </c>
      <c r="F21" s="17">
        <v>579.64</v>
      </c>
      <c r="G21" s="17">
        <v>472.5</v>
      </c>
      <c r="H21" s="17">
        <v>685</v>
      </c>
      <c r="I21" s="17">
        <v>847.5</v>
      </c>
      <c r="J21" s="17">
        <v>740.36</v>
      </c>
      <c r="K21" s="17">
        <v>417.14</v>
      </c>
      <c r="L21" s="17">
        <v>210</v>
      </c>
      <c r="M21" s="17">
        <v>1115.3599999999999</v>
      </c>
      <c r="N21" s="17">
        <v>1008.21</v>
      </c>
      <c r="O21" s="17">
        <v>5031.1899999999996</v>
      </c>
      <c r="P21" s="17">
        <v>5331.19</v>
      </c>
      <c r="Q21" s="17">
        <v>5031.1899999999996</v>
      </c>
      <c r="R21" s="17">
        <v>5031.1899999999996</v>
      </c>
      <c r="S21" s="17">
        <v>5031.1899999999996</v>
      </c>
      <c r="T21" s="17">
        <v>5031.1899999999996</v>
      </c>
      <c r="U21" s="17">
        <v>5031.1899999999996</v>
      </c>
      <c r="V21" s="17">
        <v>5031.1899999999996</v>
      </c>
      <c r="W21" s="17">
        <v>5031.1899999999996</v>
      </c>
      <c r="X21" s="17">
        <v>4191.8999999999996</v>
      </c>
      <c r="Y21" s="17">
        <v>5031.1899999999996</v>
      </c>
      <c r="Z21" s="17">
        <v>5031.1899999999996</v>
      </c>
      <c r="AA21" s="17">
        <v>12949.05</v>
      </c>
      <c r="AB21" s="17">
        <v>13549.05</v>
      </c>
      <c r="AC21" s="17">
        <v>12949.05</v>
      </c>
      <c r="AD21" s="17">
        <v>12949.05</v>
      </c>
      <c r="AE21" s="17">
        <v>12949.05</v>
      </c>
      <c r="AF21" s="17">
        <v>12949.05</v>
      </c>
      <c r="AG21" s="17">
        <v>12949.05</v>
      </c>
      <c r="AH21" s="17">
        <v>12949.05</v>
      </c>
      <c r="AI21" s="17">
        <v>12949.05</v>
      </c>
      <c r="AJ21" s="17">
        <v>11270.48</v>
      </c>
      <c r="AK21" s="17">
        <v>12949.05</v>
      </c>
      <c r="AL21" s="17">
        <v>12949.05</v>
      </c>
    </row>
    <row r="22" spans="1:38" x14ac:dyDescent="0.25">
      <c r="A22" s="7" t="s">
        <v>59</v>
      </c>
      <c r="B22" s="18">
        <f>SUM(C22:AL22)</f>
        <v>90200</v>
      </c>
      <c r="C22" s="17">
        <v>300</v>
      </c>
      <c r="D22" s="17">
        <v>1500</v>
      </c>
      <c r="E22" s="17">
        <v>1500</v>
      </c>
      <c r="F22" s="17">
        <v>6500</v>
      </c>
      <c r="G22" s="17">
        <v>33300</v>
      </c>
      <c r="H22" s="17">
        <v>300</v>
      </c>
      <c r="I22" s="17">
        <v>300</v>
      </c>
      <c r="J22" s="17">
        <v>300</v>
      </c>
      <c r="K22" s="17">
        <v>300</v>
      </c>
      <c r="L22" s="17">
        <v>300</v>
      </c>
      <c r="M22" s="17">
        <v>300</v>
      </c>
      <c r="N22" s="17">
        <v>300</v>
      </c>
      <c r="O22" s="17">
        <v>1250</v>
      </c>
      <c r="P22" s="17">
        <v>1250</v>
      </c>
      <c r="Q22" s="17">
        <v>1250</v>
      </c>
      <c r="R22" s="17">
        <v>1250</v>
      </c>
      <c r="S22" s="17">
        <v>1250</v>
      </c>
      <c r="T22" s="17">
        <v>1250</v>
      </c>
      <c r="U22" s="17">
        <v>1250</v>
      </c>
      <c r="V22" s="17">
        <v>1250</v>
      </c>
      <c r="W22" s="17">
        <v>1250</v>
      </c>
      <c r="X22" s="17">
        <v>1250</v>
      </c>
      <c r="Y22" s="17">
        <v>1250</v>
      </c>
      <c r="Z22" s="17">
        <v>1250</v>
      </c>
      <c r="AA22" s="17">
        <v>2500</v>
      </c>
      <c r="AB22" s="17">
        <v>2500</v>
      </c>
      <c r="AC22" s="17">
        <v>2500</v>
      </c>
      <c r="AD22" s="17">
        <v>2500</v>
      </c>
      <c r="AE22" s="17">
        <v>2500</v>
      </c>
      <c r="AF22" s="17">
        <v>2500</v>
      </c>
      <c r="AG22" s="17">
        <v>2500</v>
      </c>
      <c r="AH22" s="17">
        <v>2500</v>
      </c>
      <c r="AI22" s="17">
        <v>2500</v>
      </c>
      <c r="AJ22" s="17">
        <v>2500</v>
      </c>
      <c r="AK22" s="17">
        <v>2500</v>
      </c>
      <c r="AL22" s="17">
        <v>2500</v>
      </c>
    </row>
    <row r="23" spans="1:38" x14ac:dyDescent="0.25">
      <c r="A23" s="7" t="s">
        <v>60</v>
      </c>
      <c r="B23" s="18">
        <f>SUM(C23:AL23)</f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</row>
    <row r="24" spans="1:38" x14ac:dyDescent="0.25">
      <c r="A24" s="7" t="s">
        <v>61</v>
      </c>
      <c r="B24" s="18">
        <f>SUM(C24:AL24)</f>
        <v>761029.46000000008</v>
      </c>
      <c r="C24" s="17">
        <v>4051</v>
      </c>
      <c r="D24" s="17">
        <v>691</v>
      </c>
      <c r="E24" s="17">
        <v>1481.21</v>
      </c>
      <c r="F24" s="17">
        <v>3193.11</v>
      </c>
      <c r="G24" s="17">
        <v>5314.5</v>
      </c>
      <c r="H24" s="17">
        <v>2392.4299999999998</v>
      </c>
      <c r="I24" s="17">
        <v>2953.32</v>
      </c>
      <c r="J24" s="17">
        <v>2605.71</v>
      </c>
      <c r="K24" s="17">
        <v>1101.21</v>
      </c>
      <c r="L24" s="17">
        <v>1151</v>
      </c>
      <c r="M24" s="17">
        <v>5044.54</v>
      </c>
      <c r="N24" s="17">
        <v>4696.93</v>
      </c>
      <c r="O24" s="17">
        <v>16739.63</v>
      </c>
      <c r="P24" s="17">
        <v>15739.63</v>
      </c>
      <c r="Q24" s="17">
        <v>17155.830000000002</v>
      </c>
      <c r="R24" s="17">
        <v>21107.14</v>
      </c>
      <c r="S24" s="17">
        <v>21107.14</v>
      </c>
      <c r="T24" s="17">
        <v>21107.14</v>
      </c>
      <c r="U24" s="17">
        <v>21107.14</v>
      </c>
      <c r="V24" s="17">
        <v>21107.14</v>
      </c>
      <c r="W24" s="17">
        <v>21107.14</v>
      </c>
      <c r="X24" s="17">
        <v>18522.32</v>
      </c>
      <c r="Y24" s="17">
        <v>20156.25</v>
      </c>
      <c r="Z24" s="17">
        <v>21107.14</v>
      </c>
      <c r="AA24" s="17">
        <v>38004.11</v>
      </c>
      <c r="AB24" s="17">
        <v>40214.29</v>
      </c>
      <c r="AC24" s="17">
        <v>42214.29</v>
      </c>
      <c r="AD24" s="17">
        <v>42214.29</v>
      </c>
      <c r="AE24" s="17">
        <v>42214.29</v>
      </c>
      <c r="AF24" s="17">
        <v>42214.29</v>
      </c>
      <c r="AG24" s="17">
        <v>42214.29</v>
      </c>
      <c r="AH24" s="17">
        <v>42214.29</v>
      </c>
      <c r="AI24" s="17">
        <v>42214.29</v>
      </c>
      <c r="AJ24" s="17">
        <v>33894.639999999999</v>
      </c>
      <c r="AK24" s="17">
        <v>40462.5</v>
      </c>
      <c r="AL24" s="17">
        <v>42214.29</v>
      </c>
    </row>
    <row r="25" spans="1:38" x14ac:dyDescent="0.25">
      <c r="A25" s="7" t="s">
        <v>62</v>
      </c>
      <c r="B25" s="18">
        <f>SUM(C25:AL25)</f>
        <v>752805.21</v>
      </c>
      <c r="C25" s="17">
        <v>18702</v>
      </c>
      <c r="D25" s="17">
        <v>1950</v>
      </c>
      <c r="E25" s="17">
        <v>1200.71</v>
      </c>
      <c r="F25" s="17">
        <v>2254.8200000000002</v>
      </c>
      <c r="G25" s="17">
        <v>1901.25</v>
      </c>
      <c r="H25" s="17">
        <v>3320.36</v>
      </c>
      <c r="I25" s="17">
        <v>3374.46</v>
      </c>
      <c r="J25" s="17">
        <v>3020.89</v>
      </c>
      <c r="K25" s="17">
        <v>1200.71</v>
      </c>
      <c r="L25" s="17">
        <v>10450</v>
      </c>
      <c r="M25" s="17">
        <v>14494.11</v>
      </c>
      <c r="N25" s="17">
        <v>14140.54</v>
      </c>
      <c r="O25" s="17">
        <v>22186.55</v>
      </c>
      <c r="P25" s="17">
        <v>17186.55</v>
      </c>
      <c r="Q25" s="17">
        <v>17186.55</v>
      </c>
      <c r="R25" s="17">
        <v>17186.55</v>
      </c>
      <c r="S25" s="17">
        <v>17186.55</v>
      </c>
      <c r="T25" s="17">
        <v>17186.55</v>
      </c>
      <c r="U25" s="17">
        <v>17186.55</v>
      </c>
      <c r="V25" s="17">
        <v>17186.55</v>
      </c>
      <c r="W25" s="17">
        <v>17186.55</v>
      </c>
      <c r="X25" s="17">
        <v>27579.759999999998</v>
      </c>
      <c r="Y25" s="17">
        <v>32186.55</v>
      </c>
      <c r="Z25" s="17">
        <v>32186.55</v>
      </c>
      <c r="AA25" s="17">
        <v>45489.760000000002</v>
      </c>
      <c r="AB25" s="17">
        <v>35489.760000000002</v>
      </c>
      <c r="AC25" s="17">
        <v>35489.760000000002</v>
      </c>
      <c r="AD25" s="17">
        <v>35489.760000000002</v>
      </c>
      <c r="AE25" s="17">
        <v>35489.760000000002</v>
      </c>
      <c r="AF25" s="17">
        <v>35489.760000000002</v>
      </c>
      <c r="AG25" s="17">
        <v>35489.760000000002</v>
      </c>
      <c r="AH25" s="17">
        <v>35489.760000000002</v>
      </c>
      <c r="AI25" s="17">
        <v>35489.760000000002</v>
      </c>
      <c r="AJ25" s="17">
        <v>24776.19</v>
      </c>
      <c r="AK25" s="17">
        <v>35489.760000000002</v>
      </c>
      <c r="AL25" s="17">
        <v>35489.760000000002</v>
      </c>
    </row>
    <row r="26" spans="1:38" ht="13" x14ac:dyDescent="0.3">
      <c r="A26" s="23" t="s">
        <v>63</v>
      </c>
      <c r="B26" s="19">
        <f>SUM(C26:AL26)</f>
        <v>6485139.6900000023</v>
      </c>
      <c r="C26" s="19">
        <f t="shared" ref="C26:N26" si="28">SUM(C17:C25)</f>
        <v>24763</v>
      </c>
      <c r="D26" s="19">
        <f t="shared" si="28"/>
        <v>5351</v>
      </c>
      <c r="E26" s="19">
        <f t="shared" si="28"/>
        <v>12202.629999999997</v>
      </c>
      <c r="F26" s="19">
        <f t="shared" si="28"/>
        <v>25679</v>
      </c>
      <c r="G26" s="19">
        <f t="shared" si="28"/>
        <v>50533.25</v>
      </c>
      <c r="H26" s="19">
        <f t="shared" si="28"/>
        <v>21410.29</v>
      </c>
      <c r="I26" s="19">
        <f t="shared" si="28"/>
        <v>27980.639999999999</v>
      </c>
      <c r="J26" s="19">
        <f t="shared" si="28"/>
        <v>24020.89</v>
      </c>
      <c r="K26" s="19">
        <f t="shared" si="28"/>
        <v>9922.630000000001</v>
      </c>
      <c r="L26" s="19">
        <f t="shared" si="28"/>
        <v>12111</v>
      </c>
      <c r="M26" s="19">
        <f t="shared" si="28"/>
        <v>49268.3</v>
      </c>
      <c r="N26" s="19">
        <f t="shared" si="28"/>
        <v>45308.54</v>
      </c>
      <c r="O26" s="19">
        <f t="shared" ref="O26:AL26" si="29">SUM(O17:O25)</f>
        <v>160563.19999999998</v>
      </c>
      <c r="P26" s="19">
        <f t="shared" si="29"/>
        <v>154863.19999999998</v>
      </c>
      <c r="Q26" s="19">
        <f t="shared" si="29"/>
        <v>155979.39999999997</v>
      </c>
      <c r="R26" s="19">
        <f t="shared" si="29"/>
        <v>159930.70999999996</v>
      </c>
      <c r="S26" s="19">
        <f t="shared" si="29"/>
        <v>159930.70999999996</v>
      </c>
      <c r="T26" s="19">
        <f t="shared" si="29"/>
        <v>159930.70999999996</v>
      </c>
      <c r="U26" s="19">
        <f t="shared" si="29"/>
        <v>159930.70999999996</v>
      </c>
      <c r="V26" s="19">
        <f t="shared" si="29"/>
        <v>159930.70999999996</v>
      </c>
      <c r="W26" s="19">
        <f t="shared" si="29"/>
        <v>159930.70999999996</v>
      </c>
      <c r="X26" s="19">
        <f t="shared" si="29"/>
        <v>137754.81</v>
      </c>
      <c r="Y26" s="19">
        <f t="shared" si="29"/>
        <v>173979.81999999998</v>
      </c>
      <c r="Z26" s="19">
        <f t="shared" si="29"/>
        <v>174930.70999999996</v>
      </c>
      <c r="AA26" s="19">
        <f t="shared" si="29"/>
        <v>367064.56</v>
      </c>
      <c r="AB26" s="19">
        <f t="shared" si="29"/>
        <v>359874.74</v>
      </c>
      <c r="AC26" s="19">
        <f t="shared" si="29"/>
        <v>361274.74</v>
      </c>
      <c r="AD26" s="19">
        <f t="shared" si="29"/>
        <v>361274.74</v>
      </c>
      <c r="AE26" s="19">
        <f t="shared" si="29"/>
        <v>361274.74</v>
      </c>
      <c r="AF26" s="19">
        <f t="shared" si="29"/>
        <v>361274.74</v>
      </c>
      <c r="AG26" s="19">
        <f t="shared" si="29"/>
        <v>361274.74</v>
      </c>
      <c r="AH26" s="19">
        <f t="shared" si="29"/>
        <v>361274.74</v>
      </c>
      <c r="AI26" s="19">
        <f t="shared" si="29"/>
        <v>361274.74</v>
      </c>
      <c r="AJ26" s="19">
        <f t="shared" si="29"/>
        <v>282272.95</v>
      </c>
      <c r="AK26" s="19">
        <f t="shared" si="29"/>
        <v>359522.95</v>
      </c>
      <c r="AL26" s="19">
        <f t="shared" si="29"/>
        <v>361274.74</v>
      </c>
    </row>
    <row r="27" spans="1:38" ht="13" x14ac:dyDescent="0.3">
      <c r="A27" s="22" t="s">
        <v>64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</row>
    <row r="28" spans="1:38" ht="13" x14ac:dyDescent="0.3">
      <c r="A28" s="23" t="s">
        <v>65</v>
      </c>
      <c r="B28" s="19">
        <f>SUM(C28:AL28)</f>
        <v>875860.31000000052</v>
      </c>
      <c r="C28" s="19">
        <f t="shared" ref="C28:N28" si="30">C15-C26</f>
        <v>45237</v>
      </c>
      <c r="D28" s="19">
        <f t="shared" si="30"/>
        <v>6249</v>
      </c>
      <c r="E28" s="19">
        <f t="shared" si="30"/>
        <v>8497.3700000000026</v>
      </c>
      <c r="F28" s="19">
        <f t="shared" si="30"/>
        <v>-10979</v>
      </c>
      <c r="G28" s="19">
        <f t="shared" si="30"/>
        <v>-38933.25</v>
      </c>
      <c r="H28" s="19">
        <f t="shared" si="30"/>
        <v>14289.71</v>
      </c>
      <c r="I28" s="19">
        <f t="shared" si="30"/>
        <v>1719.3600000000006</v>
      </c>
      <c r="J28" s="19">
        <f t="shared" si="30"/>
        <v>2579.1100000000006</v>
      </c>
      <c r="K28" s="19">
        <f t="shared" si="30"/>
        <v>-9922.630000000001</v>
      </c>
      <c r="L28" s="19">
        <f t="shared" si="30"/>
        <v>8589</v>
      </c>
      <c r="M28" s="19">
        <f t="shared" si="30"/>
        <v>-4568.3000000000029</v>
      </c>
      <c r="N28" s="19">
        <f t="shared" si="30"/>
        <v>31691.46</v>
      </c>
      <c r="O28" s="19">
        <f t="shared" ref="O28:AL28" si="31">O15-O26</f>
        <v>36436.800000000017</v>
      </c>
      <c r="P28" s="19">
        <f t="shared" si="31"/>
        <v>42136.800000000017</v>
      </c>
      <c r="Q28" s="19">
        <f t="shared" si="31"/>
        <v>41020.600000000035</v>
      </c>
      <c r="R28" s="19">
        <f t="shared" si="31"/>
        <v>37069.290000000037</v>
      </c>
      <c r="S28" s="19">
        <f t="shared" si="31"/>
        <v>37069.290000000037</v>
      </c>
      <c r="T28" s="19">
        <f t="shared" si="31"/>
        <v>37069.290000000037</v>
      </c>
      <c r="U28" s="19">
        <f t="shared" si="31"/>
        <v>37069.290000000037</v>
      </c>
      <c r="V28" s="19">
        <f t="shared" si="31"/>
        <v>37069.290000000037</v>
      </c>
      <c r="W28" s="19">
        <f t="shared" si="31"/>
        <v>-9930.7099999999627</v>
      </c>
      <c r="X28" s="19">
        <f t="shared" si="31"/>
        <v>59245.19</v>
      </c>
      <c r="Y28" s="19">
        <f t="shared" si="31"/>
        <v>23020.180000000022</v>
      </c>
      <c r="Z28" s="19">
        <f t="shared" si="31"/>
        <v>69069.290000000037</v>
      </c>
      <c r="AA28" s="19">
        <f t="shared" si="31"/>
        <v>26935.440000000002</v>
      </c>
      <c r="AB28" s="19">
        <f t="shared" si="31"/>
        <v>34125.260000000009</v>
      </c>
      <c r="AC28" s="19">
        <f t="shared" si="31"/>
        <v>32725.260000000009</v>
      </c>
      <c r="AD28" s="19">
        <f t="shared" si="31"/>
        <v>32725.260000000009</v>
      </c>
      <c r="AE28" s="19">
        <f t="shared" si="31"/>
        <v>32725.260000000009</v>
      </c>
      <c r="AF28" s="19">
        <f t="shared" si="31"/>
        <v>32725.260000000009</v>
      </c>
      <c r="AG28" s="19">
        <f t="shared" si="31"/>
        <v>32725.260000000009</v>
      </c>
      <c r="AH28" s="19">
        <f t="shared" si="31"/>
        <v>32725.260000000009</v>
      </c>
      <c r="AI28" s="19">
        <f t="shared" si="31"/>
        <v>-61274.739999999991</v>
      </c>
      <c r="AJ28" s="19">
        <f t="shared" si="31"/>
        <v>111727.04999999999</v>
      </c>
      <c r="AK28" s="19">
        <f t="shared" si="31"/>
        <v>34477.049999999988</v>
      </c>
      <c r="AL28" s="19">
        <f t="shared" si="31"/>
        <v>32725.260000000009</v>
      </c>
    </row>
    <row r="29" spans="1:38" ht="13" x14ac:dyDescent="0.3">
      <c r="A29" s="23" t="s">
        <v>66</v>
      </c>
      <c r="B29" s="19">
        <f>AL29</f>
        <v>875860.31000000052</v>
      </c>
      <c r="C29" s="19">
        <f t="shared" ref="C29:N29" si="32">C7+C28</f>
        <v>45237</v>
      </c>
      <c r="D29" s="19">
        <f t="shared" si="32"/>
        <v>51486</v>
      </c>
      <c r="E29" s="19">
        <f t="shared" si="32"/>
        <v>59983.37</v>
      </c>
      <c r="F29" s="19">
        <f t="shared" si="32"/>
        <v>49004.37</v>
      </c>
      <c r="G29" s="19">
        <f t="shared" si="32"/>
        <v>10071.120000000003</v>
      </c>
      <c r="H29" s="19">
        <f t="shared" si="32"/>
        <v>24360.83</v>
      </c>
      <c r="I29" s="19">
        <f t="shared" si="32"/>
        <v>26080.190000000002</v>
      </c>
      <c r="J29" s="19">
        <f t="shared" si="32"/>
        <v>28659.300000000003</v>
      </c>
      <c r="K29" s="19">
        <f t="shared" si="32"/>
        <v>18736.670000000002</v>
      </c>
      <c r="L29" s="19">
        <f t="shared" si="32"/>
        <v>27325.670000000002</v>
      </c>
      <c r="M29" s="19">
        <f t="shared" si="32"/>
        <v>22757.37</v>
      </c>
      <c r="N29" s="19">
        <f t="shared" si="32"/>
        <v>54448.83</v>
      </c>
      <c r="O29" s="19">
        <f t="shared" ref="O29:AL29" si="33">O7+O28</f>
        <v>90885.630000000019</v>
      </c>
      <c r="P29" s="19">
        <f t="shared" si="33"/>
        <v>133022.43000000005</v>
      </c>
      <c r="Q29" s="19">
        <f t="shared" si="33"/>
        <v>174043.03000000009</v>
      </c>
      <c r="R29" s="19">
        <f t="shared" si="33"/>
        <v>211112.32000000012</v>
      </c>
      <c r="S29" s="19">
        <f t="shared" si="33"/>
        <v>248181.61000000016</v>
      </c>
      <c r="T29" s="19">
        <f t="shared" si="33"/>
        <v>285250.9000000002</v>
      </c>
      <c r="U29" s="19">
        <f t="shared" si="33"/>
        <v>322320.19000000024</v>
      </c>
      <c r="V29" s="19">
        <f t="shared" si="33"/>
        <v>359389.48000000027</v>
      </c>
      <c r="W29" s="19">
        <f t="shared" si="33"/>
        <v>349458.77000000031</v>
      </c>
      <c r="X29" s="19">
        <f t="shared" si="33"/>
        <v>408703.96000000031</v>
      </c>
      <c r="Y29" s="19">
        <f t="shared" si="33"/>
        <v>431724.14000000036</v>
      </c>
      <c r="Z29" s="19">
        <f t="shared" si="33"/>
        <v>500793.4300000004</v>
      </c>
      <c r="AA29" s="19">
        <f t="shared" si="33"/>
        <v>527728.87000000034</v>
      </c>
      <c r="AB29" s="19">
        <f t="shared" si="33"/>
        <v>561854.13000000035</v>
      </c>
      <c r="AC29" s="19">
        <f t="shared" si="33"/>
        <v>594579.39000000036</v>
      </c>
      <c r="AD29" s="19">
        <f t="shared" si="33"/>
        <v>627304.65000000037</v>
      </c>
      <c r="AE29" s="19">
        <f t="shared" si="33"/>
        <v>660029.91000000038</v>
      </c>
      <c r="AF29" s="19">
        <f t="shared" si="33"/>
        <v>692755.17000000039</v>
      </c>
      <c r="AG29" s="19">
        <f t="shared" si="33"/>
        <v>725480.4300000004</v>
      </c>
      <c r="AH29" s="19">
        <f t="shared" si="33"/>
        <v>758205.69000000041</v>
      </c>
      <c r="AI29" s="19">
        <f t="shared" si="33"/>
        <v>696930.95000000042</v>
      </c>
      <c r="AJ29" s="19">
        <f t="shared" si="33"/>
        <v>808658.00000000047</v>
      </c>
      <c r="AK29" s="19">
        <f t="shared" si="33"/>
        <v>843135.05000000051</v>
      </c>
      <c r="AL29" s="19">
        <f t="shared" si="33"/>
        <v>875860.31000000052</v>
      </c>
    </row>
    <row r="30" spans="1:38" x14ac:dyDescent="0.25">
      <c r="A30" s="7" t="s">
        <v>67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</row>
    <row r="31" spans="1:38" ht="13" x14ac:dyDescent="0.3">
      <c r="A31" s="23" t="s">
        <v>68</v>
      </c>
      <c r="B31" s="2"/>
      <c r="C31" s="19">
        <f t="shared" ref="C31:N31" si="34">IF(C30="",0,C29-C30)</f>
        <v>0</v>
      </c>
      <c r="D31" s="19">
        <f t="shared" si="34"/>
        <v>0</v>
      </c>
      <c r="E31" s="19">
        <f t="shared" si="34"/>
        <v>0</v>
      </c>
      <c r="F31" s="19">
        <f t="shared" si="34"/>
        <v>0</v>
      </c>
      <c r="G31" s="19">
        <f t="shared" si="34"/>
        <v>0</v>
      </c>
      <c r="H31" s="19">
        <f t="shared" si="34"/>
        <v>0</v>
      </c>
      <c r="I31" s="19">
        <f t="shared" si="34"/>
        <v>0</v>
      </c>
      <c r="J31" s="19">
        <f t="shared" si="34"/>
        <v>0</v>
      </c>
      <c r="K31" s="19">
        <f t="shared" si="34"/>
        <v>0</v>
      </c>
      <c r="L31" s="19">
        <f t="shared" si="34"/>
        <v>0</v>
      </c>
      <c r="M31" s="19">
        <f t="shared" si="34"/>
        <v>0</v>
      </c>
      <c r="N31" s="19">
        <f t="shared" si="34"/>
        <v>0</v>
      </c>
      <c r="O31" s="19">
        <f t="shared" ref="O31:AL31" si="35">IF(O30="",0,O29-O30)</f>
        <v>0</v>
      </c>
      <c r="P31" s="19">
        <f t="shared" si="35"/>
        <v>0</v>
      </c>
      <c r="Q31" s="19">
        <f t="shared" si="35"/>
        <v>0</v>
      </c>
      <c r="R31" s="19">
        <f t="shared" si="35"/>
        <v>0</v>
      </c>
      <c r="S31" s="19">
        <f t="shared" si="35"/>
        <v>0</v>
      </c>
      <c r="T31" s="19">
        <f t="shared" si="35"/>
        <v>0</v>
      </c>
      <c r="U31" s="19">
        <f t="shared" si="35"/>
        <v>0</v>
      </c>
      <c r="V31" s="19">
        <f t="shared" si="35"/>
        <v>0</v>
      </c>
      <c r="W31" s="19">
        <f t="shared" si="35"/>
        <v>0</v>
      </c>
      <c r="X31" s="19">
        <f t="shared" si="35"/>
        <v>0</v>
      </c>
      <c r="Y31" s="19">
        <f t="shared" si="35"/>
        <v>0</v>
      </c>
      <c r="Z31" s="19">
        <f t="shared" si="35"/>
        <v>0</v>
      </c>
      <c r="AA31" s="19">
        <f t="shared" si="35"/>
        <v>0</v>
      </c>
      <c r="AB31" s="19">
        <f t="shared" si="35"/>
        <v>0</v>
      </c>
      <c r="AC31" s="19">
        <f t="shared" si="35"/>
        <v>0</v>
      </c>
      <c r="AD31" s="19">
        <f t="shared" si="35"/>
        <v>0</v>
      </c>
      <c r="AE31" s="19">
        <f t="shared" si="35"/>
        <v>0</v>
      </c>
      <c r="AF31" s="19">
        <f t="shared" si="35"/>
        <v>0</v>
      </c>
      <c r="AG31" s="19">
        <f t="shared" si="35"/>
        <v>0</v>
      </c>
      <c r="AH31" s="19">
        <f t="shared" si="35"/>
        <v>0</v>
      </c>
      <c r="AI31" s="19">
        <f t="shared" si="35"/>
        <v>0</v>
      </c>
      <c r="AJ31" s="19">
        <f t="shared" si="35"/>
        <v>0</v>
      </c>
      <c r="AK31" s="19">
        <f t="shared" si="35"/>
        <v>0</v>
      </c>
      <c r="AL31" s="19">
        <f t="shared" si="35"/>
        <v>0</v>
      </c>
    </row>
    <row r="32" spans="1:38" ht="30" customHeight="1" x14ac:dyDescent="0.25">
      <c r="A32" s="7" t="s">
        <v>69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3" x14ac:dyDescent="0.3">
      <c r="A33" s="22" t="s">
        <v>70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</row>
    <row r="34" spans="1:38" ht="26" x14ac:dyDescent="0.3">
      <c r="A34" s="23" t="s">
        <v>71</v>
      </c>
      <c r="B34" s="19">
        <f>SUM(C34:AL34)</f>
        <v>-805860.31000000052</v>
      </c>
      <c r="C34" s="19">
        <f t="shared" ref="C34:N34" si="36">C26-C9-C10-C14</f>
        <v>24763</v>
      </c>
      <c r="D34" s="19">
        <f t="shared" si="36"/>
        <v>-6249</v>
      </c>
      <c r="E34" s="19">
        <f t="shared" si="36"/>
        <v>-8497.3700000000026</v>
      </c>
      <c r="F34" s="19">
        <f t="shared" si="36"/>
        <v>10979</v>
      </c>
      <c r="G34" s="19">
        <f t="shared" si="36"/>
        <v>38933.25</v>
      </c>
      <c r="H34" s="19">
        <f t="shared" si="36"/>
        <v>-14289.71</v>
      </c>
      <c r="I34" s="19">
        <f t="shared" si="36"/>
        <v>-1719.3600000000006</v>
      </c>
      <c r="J34" s="19">
        <f t="shared" si="36"/>
        <v>-2579.1100000000006</v>
      </c>
      <c r="K34" s="19">
        <f t="shared" si="36"/>
        <v>9922.630000000001</v>
      </c>
      <c r="L34" s="19">
        <f t="shared" si="36"/>
        <v>-8589</v>
      </c>
      <c r="M34" s="19">
        <f t="shared" si="36"/>
        <v>4568.3000000000029</v>
      </c>
      <c r="N34" s="19">
        <f t="shared" si="36"/>
        <v>-31691.46</v>
      </c>
      <c r="O34" s="19">
        <f t="shared" ref="O34:AL34" si="37">O26-O9-O10-O14</f>
        <v>-36436.800000000017</v>
      </c>
      <c r="P34" s="19">
        <f t="shared" si="37"/>
        <v>-42136.800000000017</v>
      </c>
      <c r="Q34" s="19">
        <f t="shared" si="37"/>
        <v>-41020.600000000035</v>
      </c>
      <c r="R34" s="19">
        <f t="shared" si="37"/>
        <v>-37069.290000000037</v>
      </c>
      <c r="S34" s="19">
        <f t="shared" si="37"/>
        <v>-37069.290000000037</v>
      </c>
      <c r="T34" s="19">
        <f t="shared" si="37"/>
        <v>-37069.290000000037</v>
      </c>
      <c r="U34" s="19">
        <f t="shared" si="37"/>
        <v>-37069.290000000037</v>
      </c>
      <c r="V34" s="19">
        <f t="shared" si="37"/>
        <v>-37069.290000000037</v>
      </c>
      <c r="W34" s="19">
        <f t="shared" si="37"/>
        <v>9930.7099999999627</v>
      </c>
      <c r="X34" s="19">
        <f t="shared" si="37"/>
        <v>-59245.19</v>
      </c>
      <c r="Y34" s="19">
        <f t="shared" si="37"/>
        <v>-23020.180000000022</v>
      </c>
      <c r="Z34" s="19">
        <f t="shared" si="37"/>
        <v>-69069.290000000037</v>
      </c>
      <c r="AA34" s="19">
        <f t="shared" si="37"/>
        <v>-26935.440000000002</v>
      </c>
      <c r="AB34" s="19">
        <f t="shared" si="37"/>
        <v>-34125.260000000009</v>
      </c>
      <c r="AC34" s="19">
        <f t="shared" si="37"/>
        <v>-32725.260000000009</v>
      </c>
      <c r="AD34" s="19">
        <f t="shared" si="37"/>
        <v>-32725.260000000009</v>
      </c>
      <c r="AE34" s="19">
        <f t="shared" si="37"/>
        <v>-32725.260000000009</v>
      </c>
      <c r="AF34" s="19">
        <f t="shared" si="37"/>
        <v>-32725.260000000009</v>
      </c>
      <c r="AG34" s="19">
        <f t="shared" si="37"/>
        <v>-32725.260000000009</v>
      </c>
      <c r="AH34" s="19">
        <f t="shared" si="37"/>
        <v>-32725.260000000009</v>
      </c>
      <c r="AI34" s="19">
        <f t="shared" si="37"/>
        <v>61274.739999999991</v>
      </c>
      <c r="AJ34" s="19">
        <f t="shared" si="37"/>
        <v>-111727.04999999999</v>
      </c>
      <c r="AK34" s="19">
        <f t="shared" si="37"/>
        <v>-34477.049999999988</v>
      </c>
      <c r="AL34" s="19">
        <f t="shared" si="37"/>
        <v>-32725.260000000009</v>
      </c>
    </row>
    <row r="35" spans="1:38" ht="13" x14ac:dyDescent="0.3">
      <c r="A35" s="23" t="s">
        <v>72</v>
      </c>
      <c r="B35" s="2"/>
      <c r="C35" s="21">
        <f t="shared" ref="C35:N35" si="38">IF(C34&gt;0,IF(C30&lt;&gt;"",C30,C29)/C34,0)</f>
        <v>1.8267980454710657</v>
      </c>
      <c r="D35" s="21">
        <f t="shared" si="38"/>
        <v>0</v>
      </c>
      <c r="E35" s="21">
        <f t="shared" si="38"/>
        <v>0</v>
      </c>
      <c r="F35" s="21">
        <f t="shared" si="38"/>
        <v>4.4634638855997819</v>
      </c>
      <c r="G35" s="21">
        <f t="shared" si="38"/>
        <v>0.25867658107144925</v>
      </c>
      <c r="H35" s="21">
        <f t="shared" si="38"/>
        <v>0</v>
      </c>
      <c r="I35" s="21">
        <f t="shared" si="38"/>
        <v>0</v>
      </c>
      <c r="J35" s="21">
        <f t="shared" si="38"/>
        <v>0</v>
      </c>
      <c r="K35" s="21">
        <f t="shared" si="38"/>
        <v>1.8882765960234333</v>
      </c>
      <c r="L35" s="21">
        <f t="shared" si="38"/>
        <v>0</v>
      </c>
      <c r="M35" s="21">
        <f t="shared" si="38"/>
        <v>4.9815839590219522</v>
      </c>
      <c r="N35" s="21">
        <f t="shared" si="38"/>
        <v>0</v>
      </c>
      <c r="O35" s="21">
        <f t="shared" ref="O35:AL35" si="39">IF(O34&gt;0,IF(O30&lt;&gt;"",O30,O29)/O34,0)</f>
        <v>0</v>
      </c>
      <c r="P35" s="21">
        <f t="shared" si="39"/>
        <v>0</v>
      </c>
      <c r="Q35" s="21">
        <f t="shared" si="39"/>
        <v>0</v>
      </c>
      <c r="R35" s="21">
        <f t="shared" si="39"/>
        <v>0</v>
      </c>
      <c r="S35" s="21">
        <f t="shared" si="39"/>
        <v>0</v>
      </c>
      <c r="T35" s="21">
        <f t="shared" si="39"/>
        <v>0</v>
      </c>
      <c r="U35" s="21">
        <f t="shared" si="39"/>
        <v>0</v>
      </c>
      <c r="V35" s="21">
        <f t="shared" si="39"/>
        <v>0</v>
      </c>
      <c r="W35" s="21">
        <f t="shared" si="39"/>
        <v>35.189706476173569</v>
      </c>
      <c r="X35" s="21">
        <f t="shared" si="39"/>
        <v>0</v>
      </c>
      <c r="Y35" s="21">
        <f t="shared" si="39"/>
        <v>0</v>
      </c>
      <c r="Z35" s="21">
        <f t="shared" si="39"/>
        <v>0</v>
      </c>
      <c r="AA35" s="21">
        <f t="shared" si="39"/>
        <v>0</v>
      </c>
      <c r="AB35" s="21">
        <f t="shared" si="39"/>
        <v>0</v>
      </c>
      <c r="AC35" s="21">
        <f t="shared" si="39"/>
        <v>0</v>
      </c>
      <c r="AD35" s="21">
        <f t="shared" si="39"/>
        <v>0</v>
      </c>
      <c r="AE35" s="21">
        <f t="shared" si="39"/>
        <v>0</v>
      </c>
      <c r="AF35" s="21">
        <f t="shared" si="39"/>
        <v>0</v>
      </c>
      <c r="AG35" s="21">
        <f t="shared" si="39"/>
        <v>0</v>
      </c>
      <c r="AH35" s="21">
        <f t="shared" si="39"/>
        <v>0</v>
      </c>
      <c r="AI35" s="21">
        <f t="shared" si="39"/>
        <v>11.373870374643785</v>
      </c>
      <c r="AJ35" s="21">
        <f t="shared" si="39"/>
        <v>0</v>
      </c>
      <c r="AK35" s="21">
        <f t="shared" si="39"/>
        <v>0</v>
      </c>
      <c r="AL35" s="21">
        <f t="shared" si="39"/>
        <v>0</v>
      </c>
    </row>
    <row r="37" spans="1:38" ht="13" x14ac:dyDescent="0.3">
      <c r="A37" s="4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1E08-764D-4778-AF59-2CA8843CE321}">
  <dimension ref="A1:C13"/>
  <sheetViews>
    <sheetView zoomScaleNormal="100" workbookViewId="0"/>
  </sheetViews>
  <sheetFormatPr baseColWidth="10" defaultRowHeight="12.5" x14ac:dyDescent="0.25"/>
  <cols>
    <col min="1" max="1" width="50.6328125" style="1" customWidth="1"/>
    <col min="2" max="2" width="18.6328125" style="1" customWidth="1"/>
    <col min="3" max="3" width="70.6328125" style="1" customWidth="1"/>
    <col min="4" max="16384" width="10.90625" style="1"/>
  </cols>
  <sheetData>
    <row r="1" spans="1:3" ht="18" x14ac:dyDescent="0.4">
      <c r="A1" s="3" t="s">
        <v>74</v>
      </c>
    </row>
    <row r="2" spans="1:3" ht="13" x14ac:dyDescent="0.3">
      <c r="A2" s="4" t="s">
        <v>75</v>
      </c>
    </row>
    <row r="4" spans="1:3" ht="13" x14ac:dyDescent="0.25">
      <c r="A4" s="6" t="s">
        <v>76</v>
      </c>
      <c r="B4" s="6" t="s">
        <v>77</v>
      </c>
      <c r="C4" s="6" t="s">
        <v>78</v>
      </c>
    </row>
    <row r="5" spans="1:3" x14ac:dyDescent="0.25">
      <c r="A5" s="24" t="s">
        <v>79</v>
      </c>
      <c r="B5" s="25">
        <f>IF(COUNT('États de trésorerie'!A6:A35)=0,0,MAX('États de trésorerie'!A6:A35))</f>
        <v>46327</v>
      </c>
      <c r="C5" s="9" t="s">
        <v>80</v>
      </c>
    </row>
    <row r="6" spans="1:3" x14ac:dyDescent="0.25">
      <c r="A6" s="24" t="s">
        <v>81</v>
      </c>
      <c r="B6" s="26">
        <f>IF(B5=0,0,SUMIFS('États de trésorerie'!C6:C35,'États de trésorerie'!A6:A35,B5))</f>
        <v>7000</v>
      </c>
      <c r="C6" s="9" t="s">
        <v>82</v>
      </c>
    </row>
    <row r="7" spans="1:3" x14ac:dyDescent="0.25">
      <c r="A7" s="24" t="s">
        <v>83</v>
      </c>
      <c r="B7" s="32" t="s">
        <v>96</v>
      </c>
      <c r="C7" s="33"/>
    </row>
    <row r="8" spans="1:3" ht="25" x14ac:dyDescent="0.25">
      <c r="A8" s="24" t="s">
        <v>84</v>
      </c>
      <c r="B8" s="27">
        <v>22910</v>
      </c>
      <c r="C8" s="28" t="s">
        <v>99</v>
      </c>
    </row>
    <row r="9" spans="1:3" ht="25" x14ac:dyDescent="0.25">
      <c r="A9" s="24" t="s">
        <v>85</v>
      </c>
      <c r="B9" s="26">
        <f>IFERROR(AVERAGEIF('Suivi mensuel'!C34:AL34,"&gt;0"),0)</f>
        <v>22910.232857142848</v>
      </c>
      <c r="C9" s="9" t="s">
        <v>86</v>
      </c>
    </row>
    <row r="10" spans="1:3" ht="13" x14ac:dyDescent="0.25">
      <c r="A10" s="8" t="s">
        <v>9</v>
      </c>
      <c r="B10" s="29">
        <f>IF(B8&gt;0,B6/B8,0)</f>
        <v>0.30554343081623747</v>
      </c>
      <c r="C10" s="9" t="s">
        <v>87</v>
      </c>
    </row>
    <row r="11" spans="1:3" x14ac:dyDescent="0.25">
      <c r="A11" s="24" t="s">
        <v>88</v>
      </c>
      <c r="B11" s="30">
        <f>IF(AND(B10&gt;0,B5&gt;0),EDATE(B5,INT(B10)),"")</f>
        <v>46327</v>
      </c>
      <c r="C11" s="9" t="s">
        <v>89</v>
      </c>
    </row>
    <row r="13" spans="1:3" ht="13" x14ac:dyDescent="0.3">
      <c r="A13" s="4" t="s">
        <v>90</v>
      </c>
    </row>
  </sheetData>
  <mergeCells count="1"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Mode d'emploi</vt:lpstr>
      <vt:lpstr>États de trésorerie</vt:lpstr>
      <vt:lpstr>Suivi mensuel</vt:lpstr>
      <vt:lpstr>Mois de survie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vianney vautier</dc:creator>
  <cp:lastModifiedBy>vianney vautier</cp:lastModifiedBy>
  <dcterms:created xsi:type="dcterms:W3CDTF">2026-10-27T18:21:48Z</dcterms:created>
  <dcterms:modified xsi:type="dcterms:W3CDTF">2026-10-29T10:11:34Z</dcterms:modified>
</cp:coreProperties>
</file>