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Population cible" sheetId="3" state="visible" r:id="rId3"/>
    <sheet xmlns:r="http://schemas.openxmlformats.org/officeDocument/2006/relationships" name="Hypothès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2" hidden="1">'Population cible'!$A$1:$P$39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"/>
  </numFmts>
  <fonts count="9">
    <font>
      <name val="Calibri"/>
      <family val="2"/>
      <color theme="1"/>
      <sz val="11"/>
      <scheme val="minor"/>
    </font>
    <font>
      <b val="1"/>
      <color rgb="004A1028"/>
      <sz val="15"/>
    </font>
    <font>
      <i val="1"/>
      <color rgb="00666666"/>
      <sz val="10"/>
    </font>
    <font>
      <b val="1"/>
      <color rgb="004A1028"/>
      <sz val="12"/>
    </font>
    <font>
      <b val="1"/>
      <color rgb="004A1028"/>
      <sz val="14"/>
    </font>
    <font>
      <b val="1"/>
    </font>
    <font>
      <b val="1"/>
      <color rgb="00FFFFFF"/>
    </font>
    <font>
      <color rgb="00333333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E3F1EA"/>
      </patternFill>
    </fill>
    <fill>
      <patternFill patternType="solid">
        <fgColor rgb="00FBE3CF"/>
      </patternFill>
    </fill>
    <fill>
      <patternFill patternType="solid">
        <fgColor rgb="00EFEFEF"/>
      </patternFill>
    </fill>
    <fill>
      <patternFill patternType="solid">
        <fgColor rgb="004A1028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CFD3"/>
      </left>
      <right style="thin">
        <color rgb="00D9CFD3"/>
      </right>
      <top style="thin">
        <color rgb="00D9CFD3"/>
      </top>
      <bottom style="thin">
        <color rgb="00D9CFD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6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0" fillId="2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3" fontId="0" fillId="3" borderId="1" applyAlignment="1" pivotButton="0" quotePrefix="0" xfId="0">
      <alignment horizontal="center" vertical="top" wrapText="1"/>
    </xf>
    <xf numFmtId="3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 wrapText="1"/>
    </xf>
    <xf numFmtId="0" fontId="4" fillId="0" borderId="0" pivotButton="0" quotePrefix="0" xfId="0"/>
    <xf numFmtId="9" fontId="0" fillId="4" borderId="0" pivotButton="0" quotePrefix="0" xfId="0"/>
    <xf numFmtId="1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Pop Tables — Population cible des groupes constitués</t>
        </is>
      </c>
    </row>
    <row r="2">
      <c r="A2" s="2" t="inlineStr">
        <is>
          <t>Pôle Ventes · 28/10/2026 · Consolidation de « 4 VENTES/CLIENTS/2026 1028 Demarchage des groupes - Offres evenementielles.md » · Document de travail</t>
        </is>
      </c>
    </row>
    <row r="4">
      <c r="A4" s="3" t="inlineStr">
        <is>
          <t>Code couleur</t>
        </is>
      </c>
    </row>
    <row r="5">
      <c r="A5" s="4" t="inlineStr">
        <is>
          <t>Ligne blanche : organisation de la liste Ventes du 28/10 (30 organisations).</t>
        </is>
      </c>
    </row>
    <row r="6">
      <c r="A6" s="5" t="inlineStr">
        <is>
          <t>Ligne BLEUE : proposition ajoutée par l'assistant IA, à valider (8 pistes).</t>
        </is>
      </c>
    </row>
    <row r="7">
      <c r="A7" s="6" t="inlineStr">
        <is>
          <t>Cellule VERTE : nombre de membres publié par une source (citée à droite). Chiffre de presse ou du club lui-même : ordre de grandeur, pas un comptage.</t>
        </is>
      </c>
    </row>
    <row r="8">
      <c r="A8" s="7" t="inlineStr">
        <is>
          <t>Cellule ORANGE : hypothèse ou estimation, modifiable ; tous les totaux se recalculent.</t>
        </is>
      </c>
    </row>
    <row r="9">
      <c r="A9" s="8" t="inlineStr">
        <is>
          <t>Cellule GRISE : effectif non établi par les sources ; à demander lors de la qualification. Ces organisations ne comptent pas dans les totaux.</t>
        </is>
      </c>
    </row>
    <row r="10">
      <c r="A10" s="4" t="inlineStr"/>
    </row>
    <row r="11">
      <c r="A11" s="3" t="inlineStr">
        <is>
          <t>Comment lire les chiffres</t>
        </is>
      </c>
    </row>
    <row r="12">
      <c r="A12" s="4" t="inlineStr">
        <is>
          <t>« Membres retenus » = effectif parisien ou français utilisé pour le calcul (valeur basse quand les sources divergent). Les effectifs mondiaux (Chaîne des Rôtisseurs, YPO…) ne sont pas comptés : seul l'effectif parisien compte, et il n'est pas publié.</t>
        </is>
      </c>
    </row>
    <row r="13">
      <c r="A13" s="4" t="inlineStr">
        <is>
          <t>Les cercles se recoupent : une même personne peut être membre de l'ACF, du Jockey Club et du Siècle. Le total est un plafond, pas un nombre de personnes distinctes.</t>
        </is>
      </c>
    </row>
    <row r="14">
      <c r="A14" s="4" t="inlineStr">
        <is>
          <t>Le potentiel (onglet Population cible, colonnes orange) applique les hypothèses de l'onglet « Hypothèses » : part des membres qui viendraient à une soirée dans l'année, jauge et prix de la privatisation du cadre Pop Tables (D-05, D-10).</t>
        </is>
      </c>
    </row>
    <row r="15">
      <c r="A15" s="4" t="inlineStr"/>
    </row>
    <row r="16">
      <c r="A16" s="3" t="inlineStr">
        <is>
          <t>Précautions (reprises de la liste du 28/10)</t>
        </is>
      </c>
    </row>
    <row r="17">
      <c r="A17" s="4" t="inlineStr">
        <is>
          <t>Aucun contact ni partenariat n'est acquis. Un membre intéressé n'est pas un accord de son club. Ne pas démarcher des membres à partir d'annuaires privés. Pas de nom de décideur dans le dépôt (RULES.md) : seulement le rôle.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Population cible des groupes constitués : synthèse</t>
        </is>
      </c>
    </row>
    <row r="2">
      <c r="A2" s="2" t="inlineStr">
        <is>
          <t>Calcul en direct depuis l'onglet « Population cible ». Les membres retenus additionnent des cercles qui se recoupent : c'est un plafond. Organisations sans effectif publié : non comptées.</t>
        </is>
      </c>
    </row>
    <row r="4" ht="42" customHeight="1">
      <c r="A4" s="9" t="inlineStr">
        <is>
          <t>Famille</t>
        </is>
      </c>
      <c r="B4" s="9" t="inlineStr">
        <is>
          <t>Organisations (liste)</t>
        </is>
      </c>
      <c r="C4" s="9" t="inlineStr">
        <is>
          <t>Propositions ajoutées</t>
        </is>
      </c>
      <c r="D4" s="9" t="inlineStr">
        <is>
          <t>Avec effectif chiffré</t>
        </is>
      </c>
      <c r="E4" s="9" t="inlineStr">
        <is>
          <t>Membres retenus</t>
        </is>
      </c>
      <c r="F4" s="9" t="inlineStr">
        <is>
          <t>Convives potentiels / an (H)</t>
        </is>
      </c>
      <c r="G4" s="9" t="inlineStr">
        <is>
          <t>Privatisations équivalentes / an (H)</t>
        </is>
      </c>
      <c r="H4" s="9" t="inlineStr">
        <is>
          <t>CA potentiel € TTC / an (H)</t>
        </is>
      </c>
    </row>
    <row r="5">
      <c r="A5" s="10" t="inlineStr">
        <is>
          <t>1. Clubs gastronomiques</t>
        </is>
      </c>
      <c r="B5" s="11">
        <f>COUNTIFS('Population cible'!$B$2:$B$39,A5,'Population cible'!$A$2:$A$39,"Liste Ventes du 28/10")</f>
        <v/>
      </c>
      <c r="C5" s="11">
        <f>COUNTIFS('Population cible'!$B$2:$B$39,A5,'Population cible'!$A$2:$A$39,"Proposition ajoutée")</f>
        <v/>
      </c>
      <c r="D5" s="11">
        <f>COUNTIFS('Population cible'!$B$2:$B$39,A5,'Population cible'!$H$2:$H$39,"&gt;0")</f>
        <v/>
      </c>
      <c r="E5" s="12">
        <f>SUMIFS('Population cible'!$H$2:$H$39,'Population cible'!$B$2:$B$39,A5)</f>
        <v/>
      </c>
      <c r="F5" s="13">
        <f>SUMIFS('Population cible'!$I$2:$I$39,'Population cible'!$B$2:$B$39,A5)</f>
        <v/>
      </c>
      <c r="G5" s="14">
        <f>SUMIFS('Population cible'!$J$2:$J$39,'Population cible'!$B$2:$B$39,A5)</f>
        <v/>
      </c>
      <c r="H5" s="15">
        <f>SUMIFS('Population cible'!$K$2:$K$39,'Population cible'!$B$2:$B$39,A5)</f>
        <v/>
      </c>
    </row>
    <row r="6">
      <c r="A6" s="10" t="inlineStr">
        <is>
          <t>2. Clubs de vin</t>
        </is>
      </c>
      <c r="B6" s="11">
        <f>COUNTIFS('Population cible'!$B$2:$B$39,A6,'Population cible'!$A$2:$A$39,"Liste Ventes du 28/10")</f>
        <v/>
      </c>
      <c r="C6" s="11">
        <f>COUNTIFS('Population cible'!$B$2:$B$39,A6,'Population cible'!$A$2:$A$39,"Proposition ajoutée")</f>
        <v/>
      </c>
      <c r="D6" s="11">
        <f>COUNTIFS('Population cible'!$B$2:$B$39,A6,'Population cible'!$H$2:$H$39,"&gt;0")</f>
        <v/>
      </c>
      <c r="E6" s="12">
        <f>SUMIFS('Population cible'!$H$2:$H$39,'Population cible'!$B$2:$B$39,A6)</f>
        <v/>
      </c>
      <c r="F6" s="13">
        <f>SUMIFS('Population cible'!$I$2:$I$39,'Population cible'!$B$2:$B$39,A6)</f>
        <v/>
      </c>
      <c r="G6" s="14">
        <f>SUMIFS('Population cible'!$J$2:$J$39,'Population cible'!$B$2:$B$39,A6)</f>
        <v/>
      </c>
      <c r="H6" s="15">
        <f>SUMIFS('Population cible'!$K$2:$K$39,'Population cible'!$B$2:$B$39,A6)</f>
        <v/>
      </c>
    </row>
    <row r="7">
      <c r="A7" s="10" t="inlineStr">
        <is>
          <t>3. Cercles privés et clubs d'affaires</t>
        </is>
      </c>
      <c r="B7" s="11">
        <f>COUNTIFS('Population cible'!$B$2:$B$39,A7,'Population cible'!$A$2:$A$39,"Liste Ventes du 28/10")</f>
        <v/>
      </c>
      <c r="C7" s="11">
        <f>COUNTIFS('Population cible'!$B$2:$B$39,A7,'Population cible'!$A$2:$A$39,"Proposition ajoutée")</f>
        <v/>
      </c>
      <c r="D7" s="11">
        <f>COUNTIFS('Population cible'!$B$2:$B$39,A7,'Population cible'!$H$2:$H$39,"&gt;0")</f>
        <v/>
      </c>
      <c r="E7" s="12">
        <f>SUMIFS('Population cible'!$H$2:$H$39,'Population cible'!$B$2:$B$39,A7)</f>
        <v/>
      </c>
      <c r="F7" s="13">
        <f>SUMIFS('Population cible'!$I$2:$I$39,'Population cible'!$B$2:$B$39,A7)</f>
        <v/>
      </c>
      <c r="G7" s="14">
        <f>SUMIFS('Population cible'!$J$2:$J$39,'Population cible'!$B$2:$B$39,A7)</f>
        <v/>
      </c>
      <c r="H7" s="15">
        <f>SUMIFS('Population cible'!$K$2:$K$39,'Population cible'!$B$2:$B$39,A7)</f>
        <v/>
      </c>
    </row>
    <row r="8">
      <c r="A8" s="10" t="inlineStr">
        <is>
          <t>4. Réseaux alumni</t>
        </is>
      </c>
      <c r="B8" s="11">
        <f>COUNTIFS('Population cible'!$B$2:$B$39,A8,'Population cible'!$A$2:$A$39,"Liste Ventes du 28/10")</f>
        <v/>
      </c>
      <c r="C8" s="11">
        <f>COUNTIFS('Population cible'!$B$2:$B$39,A8,'Population cible'!$A$2:$A$39,"Proposition ajoutée")</f>
        <v/>
      </c>
      <c r="D8" s="11">
        <f>COUNTIFS('Population cible'!$B$2:$B$39,A8,'Population cible'!$H$2:$H$39,"&gt;0")</f>
        <v/>
      </c>
      <c r="E8" s="12">
        <f>SUMIFS('Population cible'!$H$2:$H$39,'Population cible'!$B$2:$B$39,A8)</f>
        <v/>
      </c>
      <c r="F8" s="13">
        <f>SUMIFS('Population cible'!$I$2:$I$39,'Population cible'!$B$2:$B$39,A8)</f>
        <v/>
      </c>
      <c r="G8" s="14">
        <f>SUMIFS('Population cible'!$J$2:$J$39,'Population cible'!$B$2:$B$39,A8)</f>
        <v/>
      </c>
      <c r="H8" s="15">
        <f>SUMIFS('Population cible'!$K$2:$K$39,'Population cible'!$B$2:$B$39,A8)</f>
        <v/>
      </c>
    </row>
    <row r="9">
      <c r="A9" s="10" t="inlineStr">
        <is>
          <t>5. Réseaux de dirigeants</t>
        </is>
      </c>
      <c r="B9" s="11">
        <f>COUNTIFS('Population cible'!$B$2:$B$39,A9,'Population cible'!$A$2:$A$39,"Liste Ventes du 28/10")</f>
        <v/>
      </c>
      <c r="C9" s="11">
        <f>COUNTIFS('Population cible'!$B$2:$B$39,A9,'Population cible'!$A$2:$A$39,"Proposition ajoutée")</f>
        <v/>
      </c>
      <c r="D9" s="11">
        <f>COUNTIFS('Population cible'!$B$2:$B$39,A9,'Population cible'!$H$2:$H$39,"&gt;0")</f>
        <v/>
      </c>
      <c r="E9" s="12">
        <f>SUMIFS('Population cible'!$H$2:$H$39,'Population cible'!$B$2:$B$39,A9)</f>
        <v/>
      </c>
      <c r="F9" s="13">
        <f>SUMIFS('Population cible'!$I$2:$I$39,'Population cible'!$B$2:$B$39,A9)</f>
        <v/>
      </c>
      <c r="G9" s="14">
        <f>SUMIFS('Population cible'!$J$2:$J$39,'Population cible'!$B$2:$B$39,A9)</f>
        <v/>
      </c>
      <c r="H9" s="15">
        <f>SUMIFS('Population cible'!$K$2:$K$39,'Population cible'!$B$2:$B$39,A9)</f>
        <v/>
      </c>
    </row>
    <row r="10">
      <c r="A10" s="16" t="inlineStr">
        <is>
          <t>Total</t>
        </is>
      </c>
      <c r="B10" s="17">
        <f>SUM(B5:B9)</f>
        <v/>
      </c>
      <c r="C10" s="17">
        <f>SUM(C5:C9)</f>
        <v/>
      </c>
      <c r="D10" s="17">
        <f>SUM(D5:D9)</f>
        <v/>
      </c>
      <c r="E10" s="18">
        <f>SUM(E5:E9)</f>
        <v/>
      </c>
      <c r="F10" s="19">
        <f>SUM(F5:F9)</f>
        <v/>
      </c>
      <c r="G10" s="20">
        <f>SUM(G5:G9)</f>
        <v/>
      </c>
      <c r="H10" s="21">
        <f>SUM(H5:H9)</f>
        <v/>
      </c>
    </row>
    <row r="12">
      <c r="A12" s="22" t="inlineStr">
        <is>
          <t>Liste seule vs avec propositions</t>
        </is>
      </c>
    </row>
    <row r="13">
      <c r="A13" s="23" t="inlineStr">
        <is>
          <t>Périmètre</t>
        </is>
      </c>
      <c r="B13" s="23" t="inlineStr">
        <is>
          <t>Organisations</t>
        </is>
      </c>
      <c r="C13" s="23" t="inlineStr">
        <is>
          <t>Avec effectif chiffré</t>
        </is>
      </c>
      <c r="D13" s="23" t="inlineStr">
        <is>
          <t>Membres retenus</t>
        </is>
      </c>
      <c r="E13" s="23" t="inlineStr">
        <is>
          <t>Convives potentiels / an (H)</t>
        </is>
      </c>
    </row>
    <row r="14">
      <c r="A14" s="24" t="inlineStr">
        <is>
          <t>Liste Ventes du 28/10 seule</t>
        </is>
      </c>
      <c r="B14" s="24">
        <f>COUNTIF('Population cible'!$A$2:$A$39,"Liste Ventes du 28/10")</f>
        <v/>
      </c>
      <c r="C14" s="24">
        <f>COUNTIFS('Population cible'!$A$2:$A$39,"Liste Ventes du 28/10",'Population cible'!$H$2:$H$39,"&gt;0")</f>
        <v/>
      </c>
      <c r="D14" s="25">
        <f>SUMIFS('Population cible'!$H$2:$H$39,'Population cible'!$A$2:$A$39,"Liste Ventes du 28/10")</f>
        <v/>
      </c>
      <c r="E14" s="26">
        <f>SUMIFS('Population cible'!$I$2:$I$39,'Population cible'!$A$2:$A$39,"Liste Ventes du 28/10")</f>
        <v/>
      </c>
    </row>
    <row r="15">
      <c r="A15" s="27" t="inlineStr">
        <is>
          <t>Propositions ajoutées seules</t>
        </is>
      </c>
      <c r="B15" s="24">
        <f>COUNTIF('Population cible'!$A$2:$A$39,"Proposition ajoutée")</f>
        <v/>
      </c>
      <c r="C15" s="24">
        <f>COUNTIFS('Population cible'!$A$2:$A$39,"Proposition ajoutée",'Population cible'!$H$2:$H$39,"&gt;0")</f>
        <v/>
      </c>
      <c r="D15" s="25">
        <f>SUMIFS('Population cible'!$H$2:$H$39,'Population cible'!$A$2:$A$39,"Proposition ajoutée")</f>
        <v/>
      </c>
      <c r="E15" s="26">
        <f>SUMIFS('Population cible'!$I$2:$I$39,'Population cible'!$A$2:$A$39,"Proposition ajoutée")</f>
        <v/>
      </c>
    </row>
    <row r="18">
      <c r="A18" s="22" t="inlineStr">
        <is>
          <t>Lecture</t>
        </is>
      </c>
    </row>
    <row r="19">
      <c r="A19" t="inlineStr">
        <is>
          <t>• Les cercles privés portent l'essentiel de la population chiffrée (ACF, Union Interalliée, Jockey Club, Saint James, Le Siècle).</t>
        </is>
      </c>
    </row>
    <row r="20">
      <c r="A20" t="inlineStr">
        <is>
          <t>• Clubs de vin : aucun effectif publié ; ce sont pourtant les plus proches du concept (chef, lieu, cave). Premier chiffre à obtenir en rendez-vous.</t>
        </is>
      </c>
    </row>
    <row r="21">
      <c r="A21" t="inlineStr">
        <is>
          <t>• Pépites et Cookoon sont des concurrents-partenaires : leurs membres sont une population cible, leur club n'est pas un client.</t>
        </is>
      </c>
    </row>
    <row r="22">
      <c r="A22" t="inlineStr">
        <is>
          <t>• Les clubs APM (proposition) sont déjà des groupes constitués de 20 dirigeants environ : la jauge exacte d'une privatisation Pop Tables.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14" customWidth="1" min="4" max="4"/>
    <col width="22" customWidth="1" min="5" max="5"/>
    <col width="30" customWidth="1" min="6" max="6"/>
    <col width="13" customWidth="1" min="7" max="7"/>
    <col width="13" customWidth="1" min="8" max="8"/>
    <col width="12" customWidth="1" min="9" max="9"/>
    <col width="13" customWidth="1" min="10" max="10"/>
    <col width="14" customWidth="1" min="11" max="11"/>
    <col width="34" customWidth="1" min="12" max="12"/>
    <col width="44" customWidth="1" min="13" max="13"/>
    <col width="16" customWidth="1" min="14" max="14"/>
    <col width="26" customWidth="1" min="15" max="15"/>
    <col width="13" customWidth="1" min="16" max="16"/>
  </cols>
  <sheetData>
    <row r="1" ht="42" customHeight="1">
      <c r="A1" s="9" t="inlineStr">
        <is>
          <t>Origine</t>
        </is>
      </c>
      <c r="B1" s="9" t="inlineStr">
        <is>
          <t>Famille</t>
        </is>
      </c>
      <c r="C1" s="9" t="inlineStr">
        <is>
          <t>Organisation</t>
        </is>
      </c>
      <c r="D1" s="9" t="inlineStr">
        <is>
          <t>Priorité</t>
        </is>
      </c>
      <c r="E1" s="9" t="inlineStr">
        <is>
          <t>Rôle</t>
        </is>
      </c>
      <c r="F1" s="9" t="inlineStr">
        <is>
          <t>Membres (chiffre publié)</t>
        </is>
      </c>
      <c r="G1" s="9" t="inlineStr">
        <is>
          <t>Périmètre du chiffre</t>
        </is>
      </c>
      <c r="H1" s="9" t="inlineStr">
        <is>
          <t>Membres retenus pour le calcul</t>
        </is>
      </c>
      <c r="I1" s="9" t="inlineStr">
        <is>
          <t>Convives potentiels / an</t>
        </is>
      </c>
      <c r="J1" s="9" t="inlineStr">
        <is>
          <t>Privatisations équivalentes / an</t>
        </is>
      </c>
      <c r="K1" s="9" t="inlineStr">
        <is>
          <t>CA potentiel € TTC / an</t>
        </is>
      </c>
      <c r="L1" s="9" t="inlineStr">
        <is>
          <t>Source du chiffre</t>
        </is>
      </c>
      <c r="M1" s="9" t="inlineStr">
        <is>
          <t>Angle proposé</t>
        </is>
      </c>
      <c r="N1" s="9" t="inlineStr">
        <is>
          <t>Statut</t>
        </is>
      </c>
      <c r="O1" s="9" t="inlineStr">
        <is>
          <t>Prochaine action</t>
        </is>
      </c>
      <c r="P1" s="9" t="inlineStr">
        <is>
          <t>Responsable</t>
        </is>
      </c>
    </row>
    <row r="2">
      <c r="A2" s="28" t="inlineStr">
        <is>
          <t>Liste Ventes du 28/10</t>
        </is>
      </c>
      <c r="B2" s="29" t="inlineStr">
        <is>
          <t>1. Clubs gastronomiques</t>
        </is>
      </c>
      <c r="C2" s="29" t="inlineStr">
        <is>
          <t>Club des Cent</t>
        </is>
      </c>
      <c r="D2" s="29" t="inlineStr">
        <is>
          <t>P1 relationnel</t>
        </is>
      </c>
      <c r="E2" s="29" t="inlineStr">
        <is>
          <t>Acheteur (groupe de membres)</t>
        </is>
      </c>
      <c r="F2" s="30" t="inlineStr">
        <is>
          <t>100 membres officiels</t>
        </is>
      </c>
      <c r="G2" s="31" t="inlineStr">
        <is>
          <t>Paris</t>
        </is>
      </c>
      <c r="H2" s="32" t="n">
        <v>100</v>
      </c>
      <c r="I2" s="33">
        <f>IF(H2="","",ROUND(H2*Hypothèses!$B$3,0))</f>
        <v/>
      </c>
      <c r="J2" s="34">
        <f>IF(H2="","",ROUND(I2/Hypothèses!$B$4,1))</f>
        <v/>
      </c>
      <c r="K2" s="35">
        <f>IF(H2="","",J2*Hypothèses!$B$7)</f>
        <v/>
      </c>
      <c r="L2" s="29" t="inlineStr">
        <is>
          <t>Wikipédia, Club des Cent</t>
        </is>
      </c>
      <c r="M2" s="29" t="inlineStr">
        <is>
          <t>Dîner réellement différent de leur programmation ; via un membre introducteur</t>
        </is>
      </c>
      <c r="N2" s="36" t="inlineStr">
        <is>
          <t>À qualifier</t>
        </is>
      </c>
      <c r="O2" s="36" t="inlineStr">
        <is>
          <t>Vérifier l'activité et l'effectif</t>
        </is>
      </c>
      <c r="P2" s="36" t="n"/>
    </row>
    <row r="3">
      <c r="A3" s="28" t="inlineStr">
        <is>
          <t>Liste Ventes du 28/10</t>
        </is>
      </c>
      <c r="B3" s="29" t="inlineStr">
        <is>
          <t>1. Clubs gastronomiques</t>
        </is>
      </c>
      <c r="C3" s="29" t="inlineStr">
        <is>
          <t>Chaîne des Rôtisseurs — France et bailliages</t>
        </is>
      </c>
      <c r="D3" s="29" t="inlineStr">
        <is>
          <t>P1</t>
        </is>
      </c>
      <c r="E3" s="29" t="inlineStr">
        <is>
          <t>Acheteur (bailliage)</t>
        </is>
      </c>
      <c r="F3" s="37" t="inlineStr">
        <is>
          <t>≈ 25 000 membres dans le monde</t>
        </is>
      </c>
      <c r="G3" s="31" t="inlineStr">
        <is>
          <t>Monde</t>
        </is>
      </c>
      <c r="H3" s="38" t="n"/>
      <c r="I3" s="33">
        <f>IF(H3="","",ROUND(H3*Hypothèses!$B$3,0))</f>
        <v/>
      </c>
      <c r="J3" s="34">
        <f>IF(H3="","",ROUND(I3/Hypothèses!$B$4,1))</f>
        <v/>
      </c>
      <c r="K3" s="35">
        <f>IF(H3="","",J3*Hypothèses!$B$7)</f>
        <v/>
      </c>
      <c r="L3" s="29" t="inlineStr">
        <is>
          <t>Site France de la Chaîne des Rôtisseurs</t>
        </is>
      </c>
      <c r="M3" s="29" t="inlineStr">
        <is>
          <t>Soirée pour un groupe constitué ; demander l'effectif du bailliage de Paris</t>
        </is>
      </c>
      <c r="N3" s="36" t="inlineStr">
        <is>
          <t>À qualifier</t>
        </is>
      </c>
      <c r="O3" s="36" t="inlineStr">
        <is>
          <t>Vérifier l'activité et l'effectif</t>
        </is>
      </c>
      <c r="P3" s="36" t="n"/>
    </row>
    <row r="4">
      <c r="A4" s="28" t="inlineStr">
        <is>
          <t>Liste Ventes du 28/10</t>
        </is>
      </c>
      <c r="B4" s="29" t="inlineStr">
        <is>
          <t>1. Clubs gastronomiques</t>
        </is>
      </c>
      <c r="C4" s="29" t="inlineStr">
        <is>
          <t>Club Prosper Montagné</t>
        </is>
      </c>
      <c r="D4" s="29" t="inlineStr">
        <is>
          <t>P1</t>
        </is>
      </c>
      <c r="E4" s="29" t="inlineStr">
        <is>
          <t>Acheteur</t>
        </is>
      </c>
      <c r="F4" s="37" t="inlineStr">
        <is>
          <t>Non établi</t>
        </is>
      </c>
      <c r="G4" s="31" t="inlineStr"/>
      <c r="H4" s="38" t="n"/>
      <c r="I4" s="33">
        <f>IF(H4="","",ROUND(H4*Hypothèses!$B$3,0))</f>
        <v/>
      </c>
      <c r="J4" s="34">
        <f>IF(H4="","",ROUND(I4/Hypothèses!$B$4,1))</f>
        <v/>
      </c>
      <c r="K4" s="35">
        <f>IF(H4="","",J4*Hypothèses!$B$7)</f>
        <v/>
      </c>
      <c r="L4" s="29" t="inlineStr"/>
      <c r="M4" s="29" t="inlineStr">
        <is>
          <t>Rencontre gastronomique pour membres</t>
        </is>
      </c>
      <c r="N4" s="36" t="inlineStr">
        <is>
          <t>À qualifier</t>
        </is>
      </c>
      <c r="O4" s="36" t="inlineStr">
        <is>
          <t>Vérifier l'activité et l'effectif</t>
        </is>
      </c>
      <c r="P4" s="36" t="n"/>
    </row>
    <row r="5">
      <c r="A5" s="28" t="inlineStr">
        <is>
          <t>Liste Ventes du 28/10</t>
        </is>
      </c>
      <c r="B5" s="29" t="inlineStr">
        <is>
          <t>1. Clubs gastronomiques</t>
        </is>
      </c>
      <c r="C5" s="29" t="inlineStr">
        <is>
          <t>Club Pépites</t>
        </is>
      </c>
      <c r="D5" s="29" t="inlineStr">
        <is>
          <t>P2 concurrent-partenaire</t>
        </is>
      </c>
      <c r="E5" s="29" t="inlineStr">
        <is>
          <t>Concurrent-partenaire</t>
        </is>
      </c>
      <c r="F5" s="39" t="inlineStr">
        <is>
          <t>Plafonné à 1 000 membres ; plus des trois quarts des places prises</t>
        </is>
      </c>
      <c r="G5" s="31" t="inlineStr">
        <is>
          <t>Paris</t>
        </is>
      </c>
      <c r="H5" s="33" t="n">
        <v>750</v>
      </c>
      <c r="I5" s="33">
        <f>IF(H5="","",ROUND(H5*Hypothèses!$B$3,0))</f>
        <v/>
      </c>
      <c r="J5" s="34">
        <f>IF(H5="","",ROUND(I5/Hypothèses!$B$4,1))</f>
        <v/>
      </c>
      <c r="K5" s="35">
        <f>IF(H5="","",J5*Hypothèses!$B$7)</f>
        <v/>
      </c>
      <c r="L5" s="29" t="inlineStr">
        <is>
          <t>Site Pépites (« le club des 1000 ») ; Paris Zigzag</t>
        </is>
      </c>
      <c r="M5" s="29" t="inlineStr">
        <is>
          <t>Complémentarité à étudier ; pas un simple prospect</t>
        </is>
      </c>
      <c r="N5" s="36" t="inlineStr">
        <is>
          <t>À qualifier</t>
        </is>
      </c>
      <c r="O5" s="36" t="inlineStr">
        <is>
          <t>Vérifier l'activité et l'effectif</t>
        </is>
      </c>
      <c r="P5" s="36" t="n"/>
    </row>
    <row r="6">
      <c r="A6" s="28" t="inlineStr">
        <is>
          <t>Liste Ventes du 28/10</t>
        </is>
      </c>
      <c r="B6" s="29" t="inlineStr">
        <is>
          <t>1. Clubs gastronomiques</t>
        </is>
      </c>
      <c r="C6" s="29" t="inlineStr">
        <is>
          <t>Académie Internationale des Gourmets et des Traditions Gastronomiques — AIGTG</t>
        </is>
      </c>
      <c r="D6" s="29" t="inlineStr">
        <is>
          <t>P2</t>
        </is>
      </c>
      <c r="E6" s="29" t="inlineStr">
        <is>
          <t>Acheteur</t>
        </is>
      </c>
      <c r="F6" s="37" t="inlineStr">
        <is>
          <t>Non établi</t>
        </is>
      </c>
      <c r="G6" s="31" t="inlineStr"/>
      <c r="H6" s="38" t="n"/>
      <c r="I6" s="33">
        <f>IF(H6="","",ROUND(H6*Hypothèses!$B$3,0))</f>
        <v/>
      </c>
      <c r="J6" s="34">
        <f>IF(H6="","",ROUND(I6/Hypothèses!$B$4,1))</f>
        <v/>
      </c>
      <c r="K6" s="35">
        <f>IF(H6="","",J6*Hypothèses!$B$7)</f>
        <v/>
      </c>
      <c r="L6" s="29" t="inlineStr"/>
      <c r="M6" s="29" t="inlineStr">
        <is>
          <t>Manifestation réservée aux membres</t>
        </is>
      </c>
      <c r="N6" s="36" t="inlineStr">
        <is>
          <t>À qualifier</t>
        </is>
      </c>
      <c r="O6" s="36" t="inlineStr">
        <is>
          <t>Vérifier l'activité et l'effectif</t>
        </is>
      </c>
      <c r="P6" s="36" t="n"/>
    </row>
    <row r="7">
      <c r="A7" s="28" t="inlineStr">
        <is>
          <t>Liste Ventes du 28/10</t>
        </is>
      </c>
      <c r="B7" s="29" t="inlineStr">
        <is>
          <t>1. Clubs gastronomiques</t>
        </is>
      </c>
      <c r="C7" s="29" t="inlineStr">
        <is>
          <t>Disciples Escoffier</t>
        </is>
      </c>
      <c r="D7" s="29" t="inlineStr">
        <is>
          <t>P2</t>
        </is>
      </c>
      <c r="E7" s="29" t="inlineStr">
        <is>
          <t>Prescripteur (chefs) et convives</t>
        </is>
      </c>
      <c r="F7" s="37" t="inlineStr">
        <is>
          <t>10 000 à 36 000 membres dans le monde selon les sources</t>
        </is>
      </c>
      <c r="G7" s="31" t="inlineStr">
        <is>
          <t>Monde</t>
        </is>
      </c>
      <c r="H7" s="38" t="n"/>
      <c r="I7" s="33">
        <f>IF(H7="","",ROUND(H7*Hypothèses!$B$3,0))</f>
        <v/>
      </c>
      <c r="J7" s="34">
        <f>IF(H7="","",ROUND(I7/Hypothèses!$B$4,1))</f>
        <v/>
      </c>
      <c r="K7" s="35">
        <f>IF(H7="","",J7*Hypothèses!$B$7)</f>
        <v/>
      </c>
      <c r="L7" s="29" t="inlineStr">
        <is>
          <t>Echo du Mardi 2025 ; L'Express Madagascar 2025</t>
        </is>
      </c>
      <c r="M7" s="29" t="inlineStr">
        <is>
          <t>Réseau mixte chefs / convives ; chiffre France non publié</t>
        </is>
      </c>
      <c r="N7" s="36" t="inlineStr">
        <is>
          <t>À qualifier</t>
        </is>
      </c>
      <c r="O7" s="36" t="inlineStr">
        <is>
          <t>Vérifier l'activité et l'effectif</t>
        </is>
      </c>
      <c r="P7" s="36" t="n"/>
    </row>
    <row r="8">
      <c r="A8" s="28" t="inlineStr">
        <is>
          <t>Liste Ventes du 28/10</t>
        </is>
      </c>
      <c r="B8" s="29" t="inlineStr">
        <is>
          <t>1. Clubs gastronomiques</t>
        </is>
      </c>
      <c r="C8" s="29" t="inlineStr">
        <is>
          <t>Cookoon</t>
        </is>
      </c>
      <c r="D8" s="29" t="inlineStr">
        <is>
          <t>P2 concurrent-partenaire</t>
        </is>
      </c>
      <c r="E8" s="29" t="inlineStr">
        <is>
          <t>Concurrent-partenaire</t>
        </is>
      </c>
      <c r="F8" s="30" t="inlineStr">
        <is>
          <t>≈ 2 500 adhérents (chiffre du club)</t>
        </is>
      </c>
      <c r="G8" s="31" t="inlineStr">
        <is>
          <t>Paris</t>
        </is>
      </c>
      <c r="H8" s="32" t="n">
        <v>2500</v>
      </c>
      <c r="I8" s="33">
        <f>IF(H8="","",ROUND(H8*Hypothèses!$B$3,0))</f>
        <v/>
      </c>
      <c r="J8" s="34">
        <f>IF(H8="","",ROUND(I8/Hypothèses!$B$4,1))</f>
        <v/>
      </c>
      <c r="K8" s="35">
        <f>IF(H8="","",J8*Hypothèses!$B$7)</f>
        <v/>
      </c>
      <c r="L8" s="29" t="inlineStr">
        <is>
          <t>Infrarouge, 7 clubs à Paris (2024)</t>
        </is>
      </c>
      <c r="M8" s="29" t="inlineStr">
        <is>
          <t>Benchmark et coproduction éventuelle ; activité à reconfirmer</t>
        </is>
      </c>
      <c r="N8" s="36" t="inlineStr">
        <is>
          <t>À qualifier</t>
        </is>
      </c>
      <c r="O8" s="36" t="inlineStr">
        <is>
          <t>Vérifier l'activité et l'effectif</t>
        </is>
      </c>
      <c r="P8" s="36" t="n"/>
    </row>
    <row r="9">
      <c r="A9" s="28" t="inlineStr">
        <is>
          <t>Liste Ventes du 28/10</t>
        </is>
      </c>
      <c r="B9" s="29" t="inlineStr">
        <is>
          <t>1. Clubs gastronomiques</t>
        </is>
      </c>
      <c r="C9" s="29" t="inlineStr">
        <is>
          <t>Prémices</t>
        </is>
      </c>
      <c r="D9" s="29" t="inlineStr">
        <is>
          <t>P2 concurrent-partenaire</t>
        </is>
      </c>
      <c r="E9" s="29" t="inlineStr">
        <is>
          <t>Concurrent-partenaire</t>
        </is>
      </c>
      <c r="F9" s="37" t="inlineStr">
        <is>
          <t>Non établi</t>
        </is>
      </c>
      <c r="G9" s="31" t="inlineStr"/>
      <c r="H9" s="38" t="n"/>
      <c r="I9" s="33">
        <f>IF(H9="","",ROUND(H9*Hypothèses!$B$3,0))</f>
        <v/>
      </c>
      <c r="J9" s="34">
        <f>IF(H9="","",ROUND(I9/Hypothèses!$B$4,1))</f>
        <v/>
      </c>
      <c r="K9" s="35">
        <f>IF(H9="","",J9*Hypothèses!$B$7)</f>
        <v/>
      </c>
      <c r="L9" s="29" t="inlineStr"/>
      <c r="M9" s="29" t="inlineStr">
        <is>
          <t>Qualifier une complémentarité</t>
        </is>
      </c>
      <c r="N9" s="36" t="inlineStr">
        <is>
          <t>À qualifier</t>
        </is>
      </c>
      <c r="O9" s="36" t="inlineStr">
        <is>
          <t>Vérifier l'activité et l'effectif</t>
        </is>
      </c>
      <c r="P9" s="36" t="n"/>
    </row>
    <row r="10">
      <c r="A10" s="28" t="inlineStr">
        <is>
          <t>Liste Ventes du 28/10</t>
        </is>
      </c>
      <c r="B10" s="29" t="inlineStr">
        <is>
          <t>1. Clubs gastronomiques</t>
        </is>
      </c>
      <c r="C10" s="29" t="inlineStr">
        <is>
          <t>Académie des gastronomes</t>
        </is>
      </c>
      <c r="D10" s="29" t="inlineStr">
        <is>
          <t>P3 à vérifier</t>
        </is>
      </c>
      <c r="E10" s="29" t="inlineStr">
        <is>
          <t>Acheteur</t>
        </is>
      </c>
      <c r="F10" s="37" t="inlineStr">
        <is>
          <t>Non établi</t>
        </is>
      </c>
      <c r="G10" s="31" t="inlineStr"/>
      <c r="H10" s="38" t="n"/>
      <c r="I10" s="33">
        <f>IF(H10="","",ROUND(H10*Hypothèses!$B$3,0))</f>
        <v/>
      </c>
      <c r="J10" s="34">
        <f>IF(H10="","",ROUND(I10/Hypothèses!$B$4,1))</f>
        <v/>
      </c>
      <c r="K10" s="35">
        <f>IF(H10="","",J10*Hypothèses!$B$7)</f>
        <v/>
      </c>
      <c r="L10" s="29" t="inlineStr"/>
      <c r="M10" s="29" t="inlineStr">
        <is>
          <t>Activité actuelle à vérifier</t>
        </is>
      </c>
      <c r="N10" s="36" t="inlineStr">
        <is>
          <t>À qualifier</t>
        </is>
      </c>
      <c r="O10" s="36" t="inlineStr">
        <is>
          <t>Vérifier l'activité et l'effectif</t>
        </is>
      </c>
      <c r="P10" s="36" t="n"/>
    </row>
    <row r="11">
      <c r="A11" s="28" t="inlineStr">
        <is>
          <t>Liste Ventes du 28/10</t>
        </is>
      </c>
      <c r="B11" s="29" t="inlineStr">
        <is>
          <t>2. Clubs de vin</t>
        </is>
      </c>
      <c r="C11" s="29" t="inlineStr">
        <is>
          <t>Cercle WB / Wine &amp; Business Club</t>
        </is>
      </c>
      <c r="D11" s="29" t="inlineStr">
        <is>
          <t>P1</t>
        </is>
      </c>
      <c r="E11" s="29" t="inlineStr">
        <is>
          <t>Acheteur</t>
        </is>
      </c>
      <c r="F11" s="37" t="inlineStr">
        <is>
          <t>Non établi</t>
        </is>
      </c>
      <c r="G11" s="31" t="inlineStr"/>
      <c r="H11" s="38" t="n"/>
      <c r="I11" s="33">
        <f>IF(H11="","",ROUND(H11*Hypothèses!$B$3,0))</f>
        <v/>
      </c>
      <c r="J11" s="34">
        <f>IF(H11="","",ROUND(I11/Hypothèses!$B$4,1))</f>
        <v/>
      </c>
      <c r="K11" s="35">
        <f>IF(H11="","",J11*Hypothèses!$B$7)</f>
        <v/>
      </c>
      <c r="L11" s="29" t="inlineStr"/>
      <c r="M11" s="29" t="inlineStr">
        <is>
          <t>Dîner membres ou clients</t>
        </is>
      </c>
      <c r="N11" s="36" t="inlineStr">
        <is>
          <t>À qualifier</t>
        </is>
      </c>
      <c r="O11" s="36" t="inlineStr">
        <is>
          <t>Vérifier l'activité et l'effectif</t>
        </is>
      </c>
      <c r="P11" s="36" t="n"/>
    </row>
    <row r="12">
      <c r="A12" s="28" t="inlineStr">
        <is>
          <t>Liste Ventes du 28/10</t>
        </is>
      </c>
      <c r="B12" s="29" t="inlineStr">
        <is>
          <t>2. Clubs de vin</t>
        </is>
      </c>
      <c r="C12" s="29" t="inlineStr">
        <is>
          <t>Chais d'œuvre</t>
        </is>
      </c>
      <c r="D12" s="29" t="inlineStr">
        <is>
          <t>P1</t>
        </is>
      </c>
      <c r="E12" s="29" t="inlineStr">
        <is>
          <t>Acheteur</t>
        </is>
      </c>
      <c r="F12" s="37" t="inlineStr">
        <is>
          <t>Non établi</t>
        </is>
      </c>
      <c r="G12" s="31" t="inlineStr"/>
      <c r="H12" s="38" t="n"/>
      <c r="I12" s="33">
        <f>IF(H12="","",ROUND(H12*Hypothèses!$B$3,0))</f>
        <v/>
      </c>
      <c r="J12" s="34">
        <f>IF(H12="","",ROUND(I12/Hypothèses!$B$4,1))</f>
        <v/>
      </c>
      <c r="K12" s="35">
        <f>IF(H12="","",J12*Hypothèses!$B$7)</f>
        <v/>
      </c>
      <c r="L12" s="29" t="inlineStr"/>
      <c r="M12" s="29" t="inlineStr">
        <is>
          <t>Accords mets-vins et chef invité</t>
        </is>
      </c>
      <c r="N12" s="36" t="inlineStr">
        <is>
          <t>À qualifier</t>
        </is>
      </c>
      <c r="O12" s="36" t="inlineStr">
        <is>
          <t>Vérifier l'activité et l'effectif</t>
        </is>
      </c>
      <c r="P12" s="36" t="n"/>
    </row>
    <row r="13">
      <c r="A13" s="28" t="inlineStr">
        <is>
          <t>Liste Ventes du 28/10</t>
        </is>
      </c>
      <c r="B13" s="29" t="inlineStr">
        <is>
          <t>2. Clubs de vin</t>
        </is>
      </c>
      <c r="C13" s="29" t="inlineStr">
        <is>
          <t>Cep Club de France</t>
        </is>
      </c>
      <c r="D13" s="29" t="inlineStr">
        <is>
          <t>P1</t>
        </is>
      </c>
      <c r="E13" s="29" t="inlineStr">
        <is>
          <t>Acheteur</t>
        </is>
      </c>
      <c r="F13" s="37" t="inlineStr">
        <is>
          <t>Non établi</t>
        </is>
      </c>
      <c r="G13" s="31" t="inlineStr"/>
      <c r="H13" s="38" t="n"/>
      <c r="I13" s="33">
        <f>IF(H13="","",ROUND(H13*Hypothèses!$B$3,0))</f>
        <v/>
      </c>
      <c r="J13" s="34">
        <f>IF(H13="","",ROUND(I13/Hypothèses!$B$4,1))</f>
        <v/>
      </c>
      <c r="K13" s="35">
        <f>IF(H13="","",J13*Hypothèses!$B$7)</f>
        <v/>
      </c>
      <c r="L13" s="29" t="inlineStr"/>
      <c r="M13" s="29" t="inlineStr">
        <is>
          <t>Dîner de grands vins pour membres</t>
        </is>
      </c>
      <c r="N13" s="36" t="inlineStr">
        <is>
          <t>À qualifier</t>
        </is>
      </c>
      <c r="O13" s="36" t="inlineStr">
        <is>
          <t>Vérifier l'activité et l'effectif</t>
        </is>
      </c>
      <c r="P13" s="36" t="n"/>
    </row>
    <row r="14">
      <c r="A14" s="28" t="inlineStr">
        <is>
          <t>Liste Ventes du 28/10</t>
        </is>
      </c>
      <c r="B14" s="29" t="inlineStr">
        <is>
          <t>2. Clubs de vin</t>
        </is>
      </c>
      <c r="C14" s="29" t="inlineStr">
        <is>
          <t>Club Rouge aux Lèvres</t>
        </is>
      </c>
      <c r="D14" s="29" t="inlineStr">
        <is>
          <t>P2</t>
        </is>
      </c>
      <c r="E14" s="29" t="inlineStr">
        <is>
          <t>Acheteur</t>
        </is>
      </c>
      <c r="F14" s="37" t="inlineStr">
        <is>
          <t>Non établi</t>
        </is>
      </c>
      <c r="G14" s="31" t="inlineStr"/>
      <c r="H14" s="38" t="n"/>
      <c r="I14" s="33">
        <f>IF(H14="","",ROUND(H14*Hypothèses!$B$3,0))</f>
        <v/>
      </c>
      <c r="J14" s="34">
        <f>IF(H14="","",ROUND(I14/Hypothèses!$B$4,1))</f>
        <v/>
      </c>
      <c r="K14" s="35">
        <f>IF(H14="","",J14*Hypothèses!$B$7)</f>
        <v/>
      </c>
      <c r="L14" s="29" t="inlineStr"/>
      <c r="M14" s="29" t="inlineStr">
        <is>
          <t>Dîner thématique ; budget à qualifier</t>
        </is>
      </c>
      <c r="N14" s="36" t="inlineStr">
        <is>
          <t>À qualifier</t>
        </is>
      </c>
      <c r="O14" s="36" t="inlineStr">
        <is>
          <t>Vérifier l'activité et l'effectif</t>
        </is>
      </c>
      <c r="P14" s="36" t="n"/>
    </row>
    <row r="15">
      <c r="A15" s="28" t="inlineStr">
        <is>
          <t>Liste Ventes du 28/10</t>
        </is>
      </c>
      <c r="B15" s="29" t="inlineStr">
        <is>
          <t>2. Clubs de vin</t>
        </is>
      </c>
      <c r="C15" s="29" t="inlineStr">
        <is>
          <t>Cercle des Œnophiles de Paris</t>
        </is>
      </c>
      <c r="D15" s="29" t="inlineStr">
        <is>
          <t>P2</t>
        </is>
      </c>
      <c r="E15" s="29" t="inlineStr">
        <is>
          <t>Acheteur</t>
        </is>
      </c>
      <c r="F15" s="37" t="inlineStr">
        <is>
          <t>Non établi</t>
        </is>
      </c>
      <c r="G15" s="31" t="inlineStr"/>
      <c r="H15" s="38" t="n"/>
      <c r="I15" s="33">
        <f>IF(H15="","",ROUND(H15*Hypothèses!$B$3,0))</f>
        <v/>
      </c>
      <c r="J15" s="34">
        <f>IF(H15="","",ROUND(I15/Hypothèses!$B$4,1))</f>
        <v/>
      </c>
      <c r="K15" s="35">
        <f>IF(H15="","",J15*Hypothèses!$B$7)</f>
        <v/>
      </c>
      <c r="L15" s="29" t="inlineStr"/>
      <c r="M15" s="29" t="inlineStr">
        <is>
          <t>Soirée mets-vins ; budget à qualifier</t>
        </is>
      </c>
      <c r="N15" s="36" t="inlineStr">
        <is>
          <t>À qualifier</t>
        </is>
      </c>
      <c r="O15" s="36" t="inlineStr">
        <is>
          <t>Vérifier l'activité et l'effectif</t>
        </is>
      </c>
      <c r="P15" s="36" t="n"/>
    </row>
    <row r="16">
      <c r="A16" s="28" t="inlineStr">
        <is>
          <t>Liste Ventes du 28/10</t>
        </is>
      </c>
      <c r="B16" s="29" t="inlineStr">
        <is>
          <t>2. Clubs de vin</t>
        </is>
      </c>
      <c r="C16" s="29" t="inlineStr">
        <is>
          <t>Club Epicure inVINSctus Paris by Terra Hominis</t>
        </is>
      </c>
      <c r="D16" s="29" t="inlineStr">
        <is>
          <t>P3 à vérifier</t>
        </is>
      </c>
      <c r="E16" s="29" t="inlineStr">
        <is>
          <t>Acheteur</t>
        </is>
      </c>
      <c r="F16" s="37" t="inlineStr">
        <is>
          <t>Non établi</t>
        </is>
      </c>
      <c r="G16" s="31" t="inlineStr"/>
      <c r="H16" s="38" t="n"/>
      <c r="I16" s="33">
        <f>IF(H16="","",ROUND(H16*Hypothèses!$B$3,0))</f>
        <v/>
      </c>
      <c r="J16" s="34">
        <f>IF(H16="","",ROUND(I16/Hypothèses!$B$4,1))</f>
        <v/>
      </c>
      <c r="K16" s="35">
        <f>IF(H16="","",J16*Hypothèses!$B$7)</f>
        <v/>
      </c>
      <c r="L16" s="29" t="inlineStr"/>
      <c r="M16" s="29" t="inlineStr">
        <is>
          <t>Club en création : activité à confirmer</t>
        </is>
      </c>
      <c r="N16" s="36" t="inlineStr">
        <is>
          <t>À qualifier</t>
        </is>
      </c>
      <c r="O16" s="36" t="inlineStr">
        <is>
          <t>Vérifier l'activité et l'effectif</t>
        </is>
      </c>
      <c r="P16" s="36" t="n"/>
    </row>
    <row r="17">
      <c r="A17" s="28" t="inlineStr">
        <is>
          <t>Liste Ventes du 28/10</t>
        </is>
      </c>
      <c r="B17" s="29" t="inlineStr">
        <is>
          <t>2. Clubs de vin</t>
        </is>
      </c>
      <c r="C17" s="29" t="inlineStr">
        <is>
          <t>Vin Heures 17</t>
        </is>
      </c>
      <c r="D17" s="29" t="inlineStr">
        <is>
          <t>P3</t>
        </is>
      </c>
      <c r="E17" s="29" t="inlineStr">
        <is>
          <t>Acheteur</t>
        </is>
      </c>
      <c r="F17" s="37" t="inlineStr">
        <is>
          <t>Non établi</t>
        </is>
      </c>
      <c r="G17" s="31" t="inlineStr"/>
      <c r="H17" s="38" t="n"/>
      <c r="I17" s="33">
        <f>IF(H17="","",ROUND(H17*Hypothèses!$B$3,0))</f>
        <v/>
      </c>
      <c r="J17" s="34">
        <f>IF(H17="","",ROUND(I17/Hypothèses!$B$4,1))</f>
        <v/>
      </c>
      <c r="K17" s="35">
        <f>IF(H17="","",J17*Hypothèses!$B$7)</f>
        <v/>
      </c>
      <c r="L17" s="29" t="inlineStr"/>
      <c r="M17" s="29" t="inlineStr">
        <is>
          <t>Dîner pour un sous-groupe ; budget premium à tester</t>
        </is>
      </c>
      <c r="N17" s="36" t="inlineStr">
        <is>
          <t>À qualifier</t>
        </is>
      </c>
      <c r="O17" s="36" t="inlineStr">
        <is>
          <t>Vérifier l'activité et l'effectif</t>
        </is>
      </c>
      <c r="P17" s="36" t="n"/>
    </row>
    <row r="18">
      <c r="A18" s="28" t="inlineStr">
        <is>
          <t>Liste Ventes du 28/10</t>
        </is>
      </c>
      <c r="B18" s="29" t="inlineStr">
        <is>
          <t>3. Cercles privés et clubs d'affaires</t>
        </is>
      </c>
      <c r="C18" s="29" t="inlineStr">
        <is>
          <t>Automobile Club de France — ACF</t>
        </is>
      </c>
      <c r="D18" s="29" t="inlineStr">
        <is>
          <t>P1 relationnel</t>
        </is>
      </c>
      <c r="E18" s="29" t="inlineStr">
        <is>
          <t>Acheteur (cercle)</t>
        </is>
      </c>
      <c r="F18" s="30" t="inlineStr">
        <is>
          <t>≈ 2 200 membres (hommes uniquement)</t>
        </is>
      </c>
      <c r="G18" s="31" t="inlineStr">
        <is>
          <t>Paris</t>
        </is>
      </c>
      <c r="H18" s="32" t="n">
        <v>2200</v>
      </c>
      <c r="I18" s="33">
        <f>IF(H18="","",ROUND(H18*Hypothèses!$B$3,0))</f>
        <v/>
      </c>
      <c r="J18" s="34">
        <f>IF(H18="","",ROUND(I18/Hypothèses!$B$4,1))</f>
        <v/>
      </c>
      <c r="K18" s="35">
        <f>IF(H18="","",J18*Hypothèses!$B$7)</f>
        <v/>
      </c>
      <c r="L18" s="29" t="inlineStr">
        <is>
          <t>Wikipédia FR ; PassionAndCar 2016</t>
        </is>
      </c>
      <c r="M18" s="29" t="inlineStr">
        <is>
          <t>Expérience complémentaire hors les murs</t>
        </is>
      </c>
      <c r="N18" s="36" t="inlineStr">
        <is>
          <t>À qualifier</t>
        </is>
      </c>
      <c r="O18" s="36" t="inlineStr">
        <is>
          <t>Vérifier l'activité et l'effectif</t>
        </is>
      </c>
      <c r="P18" s="36" t="n"/>
    </row>
    <row r="19">
      <c r="A19" s="28" t="inlineStr">
        <is>
          <t>Liste Ventes du 28/10</t>
        </is>
      </c>
      <c r="B19" s="29" t="inlineStr">
        <is>
          <t>3. Cercles privés et clubs d'affaires</t>
        </is>
      </c>
      <c r="C19" s="29" t="inlineStr">
        <is>
          <t>Cercle de l'Union Interalliée</t>
        </is>
      </c>
      <c r="D19" s="29" t="inlineStr">
        <is>
          <t>P1 relationnel</t>
        </is>
      </c>
      <c r="E19" s="29" t="inlineStr">
        <is>
          <t>Acheteur (cercle)</t>
        </is>
      </c>
      <c r="F19" s="30" t="inlineStr">
        <is>
          <t>3 100 à 3 300 membres selon les versions</t>
        </is>
      </c>
      <c r="G19" s="31" t="inlineStr">
        <is>
          <t>Paris</t>
        </is>
      </c>
      <c r="H19" s="32" t="n">
        <v>3100</v>
      </c>
      <c r="I19" s="33">
        <f>IF(H19="","",ROUND(H19*Hypothèses!$B$3,0))</f>
        <v/>
      </c>
      <c r="J19" s="34">
        <f>IF(H19="","",ROUND(I19/Hypothèses!$B$4,1))</f>
        <v/>
      </c>
      <c r="K19" s="35">
        <f>IF(H19="","",J19*Hypothèses!$B$7)</f>
        <v/>
      </c>
      <c r="L19" s="29" t="inlineStr">
        <is>
          <t>Wikipédia (EN et FR)</t>
        </is>
      </c>
      <c r="M19" s="29" t="inlineStr">
        <is>
          <t>Soirée de membres</t>
        </is>
      </c>
      <c r="N19" s="36" t="inlineStr">
        <is>
          <t>À qualifier</t>
        </is>
      </c>
      <c r="O19" s="36" t="inlineStr">
        <is>
          <t>Vérifier l'activité et l'effectif</t>
        </is>
      </c>
      <c r="P19" s="36" t="n"/>
    </row>
    <row r="20">
      <c r="A20" s="28" t="inlineStr">
        <is>
          <t>Liste Ventes du 28/10</t>
        </is>
      </c>
      <c r="B20" s="29" t="inlineStr">
        <is>
          <t>3. Cercles privés et clubs d'affaires</t>
        </is>
      </c>
      <c r="C20" s="29" t="inlineStr">
        <is>
          <t>Travellers Club Paris</t>
        </is>
      </c>
      <c r="D20" s="29" t="inlineStr">
        <is>
          <t>P1 relationnel</t>
        </is>
      </c>
      <c r="E20" s="29" t="inlineStr">
        <is>
          <t>Acheteur (cercle)</t>
        </is>
      </c>
      <c r="F20" s="37" t="inlineStr">
        <is>
          <t>Non établi</t>
        </is>
      </c>
      <c r="G20" s="31" t="inlineStr"/>
      <c r="H20" s="38" t="n"/>
      <c r="I20" s="33">
        <f>IF(H20="","",ROUND(H20*Hypothèses!$B$3,0))</f>
        <v/>
      </c>
      <c r="J20" s="34">
        <f>IF(H20="","",ROUND(I20/Hypothèses!$B$4,1))</f>
        <v/>
      </c>
      <c r="K20" s="35">
        <f>IF(H20="","",J20*Hypothèses!$B$7)</f>
        <v/>
      </c>
      <c r="L20" s="29" t="inlineStr"/>
      <c r="M20" s="29" t="inlineStr">
        <is>
          <t>Chef international ; via introduction</t>
        </is>
      </c>
      <c r="N20" s="36" t="inlineStr">
        <is>
          <t>À qualifier</t>
        </is>
      </c>
      <c r="O20" s="36" t="inlineStr">
        <is>
          <t>Vérifier l'activité et l'effectif</t>
        </is>
      </c>
      <c r="P20" s="36" t="n"/>
    </row>
    <row r="21">
      <c r="A21" s="28" t="inlineStr">
        <is>
          <t>Liste Ventes du 28/10</t>
        </is>
      </c>
      <c r="B21" s="29" t="inlineStr">
        <is>
          <t>3. Cercles privés et clubs d'affaires</t>
        </is>
      </c>
      <c r="C21" s="29" t="inlineStr">
        <is>
          <t>Saint James Club Paris</t>
        </is>
      </c>
      <c r="D21" s="29" t="inlineStr">
        <is>
          <t>P1</t>
        </is>
      </c>
      <c r="E21" s="29" t="inlineStr">
        <is>
          <t>Acheteur (cercle)</t>
        </is>
      </c>
      <c r="F21" s="30" t="inlineStr">
        <is>
          <t>650 à 800 membres selon les sources</t>
        </is>
      </c>
      <c r="G21" s="31" t="inlineStr">
        <is>
          <t>Paris</t>
        </is>
      </c>
      <c r="H21" s="32" t="n">
        <v>650</v>
      </c>
      <c r="I21" s="33">
        <f>IF(H21="","",ROUND(H21*Hypothèses!$B$3,0))</f>
        <v/>
      </c>
      <c r="J21" s="34">
        <f>IF(H21="","",ROUND(I21/Hypothèses!$B$4,1))</f>
        <v/>
      </c>
      <c r="K21" s="35">
        <f>IF(H21="","",J21*Hypothèses!$B$7)</f>
        <v/>
      </c>
      <c r="L21" s="29" t="inlineStr">
        <is>
          <t>Wikipédia FR (650) ; WCB 2023 (750) ; Infrarouge (800)</t>
        </is>
      </c>
      <c r="M21" s="29" t="inlineStr">
        <is>
          <t>Programmation complémentaire</t>
        </is>
      </c>
      <c r="N21" s="36" t="inlineStr">
        <is>
          <t>À qualifier</t>
        </is>
      </c>
      <c r="O21" s="36" t="inlineStr">
        <is>
          <t>Vérifier l'activité et l'effectif</t>
        </is>
      </c>
      <c r="P21" s="36" t="n"/>
    </row>
    <row r="22">
      <c r="A22" s="28" t="inlineStr">
        <is>
          <t>Liste Ventes du 28/10</t>
        </is>
      </c>
      <c r="B22" s="29" t="inlineStr">
        <is>
          <t>3. Cercles privés et clubs d'affaires</t>
        </is>
      </c>
      <c r="C22" s="29" t="inlineStr">
        <is>
          <t>Jockey Club de Paris</t>
        </is>
      </c>
      <c r="D22" s="29" t="inlineStr">
        <is>
          <t>P2 relationnel</t>
        </is>
      </c>
      <c r="E22" s="29" t="inlineStr">
        <is>
          <t>Acheteur (cercle)</t>
        </is>
      </c>
      <c r="F22" s="30" t="inlineStr">
        <is>
          <t>≈ 1 200 membres</t>
        </is>
      </c>
      <c r="G22" s="31" t="inlineStr">
        <is>
          <t>Paris</t>
        </is>
      </c>
      <c r="H22" s="32" t="n">
        <v>1200</v>
      </c>
      <c r="I22" s="33">
        <f>IF(H22="","",ROUND(H22*Hypothèses!$B$3,0))</f>
        <v/>
      </c>
      <c r="J22" s="34">
        <f>IF(H22="","",ROUND(I22/Hypothèses!$B$4,1))</f>
        <v/>
      </c>
      <c r="K22" s="35">
        <f>IF(H22="","",J22*Hypothèses!$B$7)</f>
        <v/>
      </c>
      <c r="L22" s="29" t="inlineStr">
        <is>
          <t>La Libre Belgique, 16/08/2023</t>
        </is>
      </c>
      <c r="M22" s="29" t="inlineStr">
        <is>
          <t>Groupe constitué via un membre</t>
        </is>
      </c>
      <c r="N22" s="36" t="inlineStr">
        <is>
          <t>À qualifier</t>
        </is>
      </c>
      <c r="O22" s="36" t="inlineStr">
        <is>
          <t>Vérifier l'activité et l'effectif</t>
        </is>
      </c>
      <c r="P22" s="36" t="n"/>
    </row>
    <row r="23">
      <c r="A23" s="28" t="inlineStr">
        <is>
          <t>Liste Ventes du 28/10</t>
        </is>
      </c>
      <c r="B23" s="29" t="inlineStr">
        <is>
          <t>3. Cercles privés et clubs d'affaires</t>
        </is>
      </c>
      <c r="C23" s="29" t="inlineStr">
        <is>
          <t>Soho House Paris</t>
        </is>
      </c>
      <c r="D23" s="29" t="inlineStr">
        <is>
          <t>P2</t>
        </is>
      </c>
      <c r="E23" s="29" t="inlineStr">
        <is>
          <t>Acheteur / programmateur</t>
        </is>
      </c>
      <c r="F23" s="37" t="inlineStr">
        <is>
          <t>Non établi</t>
        </is>
      </c>
      <c r="G23" s="31" t="inlineStr"/>
      <c r="H23" s="38" t="n"/>
      <c r="I23" s="33">
        <f>IF(H23="","",ROUND(H23*Hypothèses!$B$3,0))</f>
        <v/>
      </c>
      <c r="J23" s="34">
        <f>IF(H23="","",ROUND(I23/Hypothèses!$B$4,1))</f>
        <v/>
      </c>
      <c r="K23" s="35">
        <f>IF(H23="","",J23*Hypothèses!$B$7)</f>
        <v/>
      </c>
      <c r="L23" s="29" t="inlineStr">
        <is>
          <t>Plateya 2026 (tarifs seulement)</t>
        </is>
      </c>
      <c r="M23" s="29" t="inlineStr">
        <is>
          <t>Chef invité ; collaboration extérieure à qualifier</t>
        </is>
      </c>
      <c r="N23" s="36" t="inlineStr">
        <is>
          <t>À qualifier</t>
        </is>
      </c>
      <c r="O23" s="36" t="inlineStr">
        <is>
          <t>Vérifier l'activité et l'effectif</t>
        </is>
      </c>
      <c r="P23" s="36" t="n"/>
    </row>
    <row r="24">
      <c r="A24" s="28" t="inlineStr">
        <is>
          <t>Liste Ventes du 28/10</t>
        </is>
      </c>
      <c r="B24" s="29" t="inlineStr">
        <is>
          <t>3. Cercles privés et clubs d'affaires</t>
        </is>
      </c>
      <c r="C24" s="29" t="inlineStr">
        <is>
          <t>Silencio</t>
        </is>
      </c>
      <c r="D24" s="29" t="inlineStr">
        <is>
          <t>P2</t>
        </is>
      </c>
      <c r="E24" s="29" t="inlineStr">
        <is>
          <t>Programmateur</t>
        </is>
      </c>
      <c r="F24" s="37" t="inlineStr">
        <is>
          <t>Non établi</t>
        </is>
      </c>
      <c r="G24" s="31" t="inlineStr"/>
      <c r="H24" s="38" t="n"/>
      <c r="I24" s="33">
        <f>IF(H24="","",ROUND(H24*Hypothèses!$B$3,0))</f>
        <v/>
      </c>
      <c r="J24" s="34">
        <f>IF(H24="","",ROUND(I24/Hypothèses!$B$4,1))</f>
        <v/>
      </c>
      <c r="K24" s="35">
        <f>IF(H24="","",J24*Hypothèses!$B$7)</f>
        <v/>
      </c>
      <c r="L24" s="29" t="inlineStr"/>
      <c r="M24" s="29" t="inlineStr">
        <is>
          <t>Gastronomie et culture ; format à vérifier</t>
        </is>
      </c>
      <c r="N24" s="36" t="inlineStr">
        <is>
          <t>À qualifier</t>
        </is>
      </c>
      <c r="O24" s="36" t="inlineStr">
        <is>
          <t>Vérifier l'activité et l'effectif</t>
        </is>
      </c>
      <c r="P24" s="36" t="n"/>
    </row>
    <row r="25">
      <c r="A25" s="28" t="inlineStr">
        <is>
          <t>Liste Ventes du 28/10</t>
        </is>
      </c>
      <c r="B25" s="29" t="inlineStr">
        <is>
          <t>3. Cercles privés et clubs d'affaires</t>
        </is>
      </c>
      <c r="C25" s="29" t="inlineStr">
        <is>
          <t>We Are</t>
        </is>
      </c>
      <c r="D25" s="29" t="inlineStr">
        <is>
          <t>P2</t>
        </is>
      </c>
      <c r="E25" s="29" t="inlineStr">
        <is>
          <t>Acheteur</t>
        </is>
      </c>
      <c r="F25" s="37" t="inlineStr">
        <is>
          <t>Non établi</t>
        </is>
      </c>
      <c r="G25" s="31" t="inlineStr"/>
      <c r="H25" s="38" t="n"/>
      <c r="I25" s="33">
        <f>IF(H25="","",ROUND(H25*Hypothèses!$B$3,0))</f>
        <v/>
      </c>
      <c r="J25" s="34">
        <f>IF(H25="","",ROUND(I25/Hypothèses!$B$4,1))</f>
        <v/>
      </c>
      <c r="K25" s="35">
        <f>IF(H25="","",J25*Hypothèses!$B$7)</f>
        <v/>
      </c>
      <c r="L25" s="29" t="inlineStr">
        <is>
          <t>Plateya 2026 (tarifs seulement)</t>
        </is>
      </c>
      <c r="M25" s="29" t="inlineStr">
        <is>
          <t>Soirée de communauté ou d'affaires</t>
        </is>
      </c>
      <c r="N25" s="36" t="inlineStr">
        <is>
          <t>À qualifier</t>
        </is>
      </c>
      <c r="O25" s="36" t="inlineStr">
        <is>
          <t>Vérifier l'activité et l'effectif</t>
        </is>
      </c>
      <c r="P25" s="36" t="n"/>
    </row>
    <row r="26">
      <c r="A26" s="28" t="inlineStr">
        <is>
          <t>Liste Ventes du 28/10</t>
        </is>
      </c>
      <c r="B26" s="29" t="inlineStr">
        <is>
          <t>3. Cercles privés et clubs d'affaires</t>
        </is>
      </c>
      <c r="C26" s="29" t="inlineStr">
        <is>
          <t>The Circle — Maison Villeroy</t>
        </is>
      </c>
      <c r="D26" s="29" t="inlineStr">
        <is>
          <t>P2</t>
        </is>
      </c>
      <c r="E26" s="29" t="inlineStr">
        <is>
          <t>Acheteur</t>
        </is>
      </c>
      <c r="F26" s="37" t="inlineStr">
        <is>
          <t>Non établi</t>
        </is>
      </c>
      <c r="G26" s="31" t="inlineStr"/>
      <c r="H26" s="38" t="n"/>
      <c r="I26" s="33">
        <f>IF(H26="","",ROUND(H26*Hypothèses!$B$3,0))</f>
        <v/>
      </c>
      <c r="J26" s="34">
        <f>IF(H26="","",ROUND(I26/Hypothèses!$B$4,1))</f>
        <v/>
      </c>
      <c r="K26" s="35">
        <f>IF(H26="","",J26*Hypothèses!$B$7)</f>
        <v/>
      </c>
      <c r="L26" s="29" t="inlineStr"/>
      <c r="M26" s="29" t="inlineStr">
        <is>
          <t>Expérience personnalisée ; offre à confirmer</t>
        </is>
      </c>
      <c r="N26" s="36" t="inlineStr">
        <is>
          <t>À qualifier</t>
        </is>
      </c>
      <c r="O26" s="36" t="inlineStr">
        <is>
          <t>Vérifier l'activité et l'effectif</t>
        </is>
      </c>
      <c r="P26" s="36" t="n"/>
    </row>
    <row r="27">
      <c r="A27" s="28" t="inlineStr">
        <is>
          <t>Liste Ventes du 28/10</t>
        </is>
      </c>
      <c r="B27" s="29" t="inlineStr">
        <is>
          <t>3. Cercles privés et clubs d'affaires</t>
        </is>
      </c>
      <c r="C27" s="29" t="inlineStr">
        <is>
          <t>Polo de Paris</t>
        </is>
      </c>
      <c r="D27" s="29" t="inlineStr">
        <is>
          <t>P2 relationnel</t>
        </is>
      </c>
      <c r="E27" s="29" t="inlineStr">
        <is>
          <t>Acheteur</t>
        </is>
      </c>
      <c r="F27" s="37" t="inlineStr">
        <is>
          <t>Non établi</t>
        </is>
      </c>
      <c r="G27" s="31" t="inlineStr"/>
      <c r="H27" s="38" t="n"/>
      <c r="I27" s="33">
        <f>IF(H27="","",ROUND(H27*Hypothèses!$B$3,0))</f>
        <v/>
      </c>
      <c r="J27" s="34">
        <f>IF(H27="","",ROUND(I27/Hypothèses!$B$4,1))</f>
        <v/>
      </c>
      <c r="K27" s="35">
        <f>IF(H27="","",J27*Hypothèses!$B$7)</f>
        <v/>
      </c>
      <c r="L27" s="29" t="inlineStr"/>
      <c r="M27" s="29" t="inlineStr">
        <is>
          <t>Art de vivre ; programme à qualifier</t>
        </is>
      </c>
      <c r="N27" s="36" t="inlineStr">
        <is>
          <t>À qualifier</t>
        </is>
      </c>
      <c r="O27" s="36" t="inlineStr">
        <is>
          <t>Vérifier l'activité et l'effectif</t>
        </is>
      </c>
      <c r="P27" s="36" t="n"/>
    </row>
    <row r="28">
      <c r="A28" s="28" t="inlineStr">
        <is>
          <t>Liste Ventes du 28/10</t>
        </is>
      </c>
      <c r="B28" s="29" t="inlineStr">
        <is>
          <t>3. Cercles privés et clubs d'affaires</t>
        </is>
      </c>
      <c r="C28" s="29" t="inlineStr">
        <is>
          <t>Le Siècle</t>
        </is>
      </c>
      <c r="D28" s="29" t="inlineStr">
        <is>
          <t>P3 relationnel</t>
        </is>
      </c>
      <c r="E28" s="29" t="inlineStr">
        <is>
          <t>Hôtes d'affaires (individuels)</t>
        </is>
      </c>
      <c r="F28" s="30" t="inlineStr">
        <is>
          <t>751 membres + 159 invités ; 766 en 2020</t>
        </is>
      </c>
      <c r="G28" s="31" t="inlineStr">
        <is>
          <t>Paris</t>
        </is>
      </c>
      <c r="H28" s="32" t="n">
        <v>751</v>
      </c>
      <c r="I28" s="33">
        <f>IF(H28="","",ROUND(H28*Hypothèses!$B$3,0))</f>
        <v/>
      </c>
      <c r="J28" s="34">
        <f>IF(H28="","",ROUND(I28/Hypothèses!$B$4,1))</f>
        <v/>
      </c>
      <c r="K28" s="35">
        <f>IF(H28="","",J28*Hypothèses!$B$7)</f>
        <v/>
      </c>
      <c r="L28" s="29" t="inlineStr">
        <is>
          <t>Reporterre ; Breizh-Info 03/03/2021 (presse, chiffres non officiels)</t>
        </is>
      </c>
      <c r="M28" s="29" t="inlineStr">
        <is>
          <t>Réseau relationnel, pas un club gastronomique</t>
        </is>
      </c>
      <c r="N28" s="36" t="inlineStr">
        <is>
          <t>À qualifier</t>
        </is>
      </c>
      <c r="O28" s="36" t="inlineStr">
        <is>
          <t>Vérifier l'activité et l'effectif</t>
        </is>
      </c>
      <c r="P28" s="36" t="n"/>
    </row>
    <row r="29">
      <c r="A29" s="28" t="inlineStr">
        <is>
          <t>Liste Ventes du 28/10</t>
        </is>
      </c>
      <c r="B29" s="29" t="inlineStr">
        <is>
          <t>3. Cercles privés et clubs d'affaires</t>
        </is>
      </c>
      <c r="C29" s="29" t="inlineStr">
        <is>
          <t>Cercle de l'Union</t>
        </is>
      </c>
      <c r="D29" s="29" t="inlineStr">
        <is>
          <t>P3 relationnel</t>
        </is>
      </c>
      <c r="E29" s="29" t="inlineStr">
        <is>
          <t>Acheteur (cercle)</t>
        </is>
      </c>
      <c r="F29" s="37" t="inlineStr">
        <is>
          <t>Non établi</t>
        </is>
      </c>
      <c r="G29" s="31" t="inlineStr"/>
      <c r="H29" s="38" t="n"/>
      <c r="I29" s="33">
        <f>IF(H29="","",ROUND(H29*Hypothèses!$B$3,0))</f>
        <v/>
      </c>
      <c r="J29" s="34">
        <f>IF(H29="","",ROUND(I29/Hypothèses!$B$4,1))</f>
        <v/>
      </c>
      <c r="K29" s="35">
        <f>IF(H29="","",J29*Hypothèses!$B$7)</f>
        <v/>
      </c>
      <c r="L29" s="29" t="inlineStr"/>
      <c r="M29" s="29" t="inlineStr">
        <is>
          <t>Dîner privé via introduction</t>
        </is>
      </c>
      <c r="N29" s="36" t="inlineStr">
        <is>
          <t>À qualifier</t>
        </is>
      </c>
      <c r="O29" s="36" t="inlineStr">
        <is>
          <t>Vérifier l'activité et l'effectif</t>
        </is>
      </c>
      <c r="P29" s="36" t="n"/>
    </row>
    <row r="30">
      <c r="A30" s="28" t="inlineStr">
        <is>
          <t>Liste Ventes du 28/10</t>
        </is>
      </c>
      <c r="B30" s="29" t="inlineStr">
        <is>
          <t>4. Réseaux alumni</t>
        </is>
      </c>
      <c r="C30" s="29" t="inlineStr">
        <is>
          <t>Club HEC VINS — HEC Alumni</t>
        </is>
      </c>
      <c r="D30" s="29" t="inlineStr">
        <is>
          <t>P1</t>
        </is>
      </c>
      <c r="E30" s="29" t="inlineStr">
        <is>
          <t>Acheteur (club)</t>
        </is>
      </c>
      <c r="F30" s="37" t="inlineStr">
        <is>
          <t>Club non chiffré ; HEC Alumni ≈ 80 000 membres de la communauté</t>
        </is>
      </c>
      <c r="G30" s="31" t="inlineStr">
        <is>
          <t>Monde</t>
        </is>
      </c>
      <c r="H30" s="38" t="n"/>
      <c r="I30" s="33">
        <f>IF(H30="","",ROUND(H30*Hypothèses!$B$3,0))</f>
        <v/>
      </c>
      <c r="J30" s="34">
        <f>IF(H30="","",ROUND(I30/Hypothèses!$B$4,1))</f>
        <v/>
      </c>
      <c r="K30" s="35">
        <f>IF(H30="","",J30*Hypothèses!$B$7)</f>
        <v/>
      </c>
      <c r="L30" s="29" t="inlineStr">
        <is>
          <t>L'Express Éducation (communauté HEC)</t>
        </is>
      </c>
      <c r="M30" s="29" t="inlineStr">
        <is>
          <t>Chef invité et grands vins ; effectif du club à demander</t>
        </is>
      </c>
      <c r="N30" s="36" t="inlineStr">
        <is>
          <t>À qualifier</t>
        </is>
      </c>
      <c r="O30" s="36" t="inlineStr">
        <is>
          <t>Vérifier l'activité et l'effectif</t>
        </is>
      </c>
      <c r="P30" s="36" t="n"/>
    </row>
    <row r="31">
      <c r="A31" s="28" t="inlineStr">
        <is>
          <t>Liste Ventes du 28/10</t>
        </is>
      </c>
      <c r="B31" s="29" t="inlineStr">
        <is>
          <t>4. Réseaux alumni</t>
        </is>
      </c>
      <c r="C31" s="29" t="inlineStr">
        <is>
          <t>ESSEC Alumni Wine, Whisky &amp; Spirits</t>
        </is>
      </c>
      <c r="D31" s="29" t="inlineStr">
        <is>
          <t>P1</t>
        </is>
      </c>
      <c r="E31" s="29" t="inlineStr">
        <is>
          <t>Acheteur (club)</t>
        </is>
      </c>
      <c r="F31" s="37" t="inlineStr">
        <is>
          <t>Club non chiffré ; ESSEC ≈ 74 000 diplômés</t>
        </is>
      </c>
      <c r="G31" s="31" t="inlineStr">
        <is>
          <t>Monde</t>
        </is>
      </c>
      <c r="H31" s="38" t="n"/>
      <c r="I31" s="33">
        <f>IF(H31="","",ROUND(H31*Hypothèses!$B$3,0))</f>
        <v/>
      </c>
      <c r="J31" s="34">
        <f>IF(H31="","",ROUND(I31/Hypothèses!$B$4,1))</f>
        <v/>
      </c>
      <c r="K31" s="35">
        <f>IF(H31="","",J31*Hypothèses!$B$7)</f>
        <v/>
      </c>
      <c r="L31" s="29" t="inlineStr">
        <is>
          <t>Misterprepa (diplômés par école)</t>
        </is>
      </c>
      <c r="M31" s="29" t="inlineStr">
        <is>
          <t>Soirée prestige, éventuellement interclubs</t>
        </is>
      </c>
      <c r="N31" s="36" t="inlineStr">
        <is>
          <t>À qualifier</t>
        </is>
      </c>
      <c r="O31" s="36" t="inlineStr">
        <is>
          <t>Vérifier l'activité et l'effectif</t>
        </is>
      </c>
      <c r="P31" s="36" t="n"/>
    </row>
    <row r="32">
      <c r="A32" s="40" t="inlineStr">
        <is>
          <t>Proposition ajoutée</t>
        </is>
      </c>
      <c r="B32" s="41" t="inlineStr">
        <is>
          <t>5. Réseaux de dirigeants</t>
        </is>
      </c>
      <c r="C32" s="41" t="inlineStr">
        <is>
          <t>APM — Association Progrès du Management (clubs de Paris)</t>
        </is>
      </c>
      <c r="D32" s="41" t="inlineStr">
        <is>
          <t>P1 (proposé)</t>
        </is>
      </c>
      <c r="E32" s="41" t="inlineStr">
        <is>
          <t>Acheteur (club de dirigeants)</t>
        </is>
      </c>
      <c r="F32" s="39" t="inlineStr">
        <is>
          <t>≈ 9 000 adhérents en 440 clubs ; 35 clubs à Paris</t>
        </is>
      </c>
      <c r="G32" s="42" t="inlineStr">
        <is>
          <t>Paris (35 clubs)</t>
        </is>
      </c>
      <c r="H32" s="33" t="n">
        <v>700</v>
      </c>
      <c r="I32" s="33">
        <f>IF(H32="","",ROUND(H32*Hypothèses!$B$3,0))</f>
        <v/>
      </c>
      <c r="J32" s="34">
        <f>IF(H32="","",ROUND(I32/Hypothèses!$B$4,1))</f>
        <v/>
      </c>
      <c r="K32" s="35">
        <f>IF(H32="","",J32*Hypothèses!$B$7)</f>
        <v/>
      </c>
      <c r="L32" s="41" t="inlineStr">
        <is>
          <t>Le Journal des Entreprises 2026 ; apm.fr</t>
        </is>
      </c>
      <c r="M32" s="41" t="inlineStr">
        <is>
          <t>Un club APM = un groupe constitué de 20 dirigeants : format privatisation (20 couverts). Estimation : 35 clubs × 20 membres</t>
        </is>
      </c>
      <c r="N32" s="36" t="inlineStr">
        <is>
          <t>À qualifier</t>
        </is>
      </c>
      <c r="O32" s="36" t="inlineStr">
        <is>
          <t>Vérifier l'activité et l'effectif</t>
        </is>
      </c>
      <c r="P32" s="36" t="n"/>
    </row>
    <row r="33">
      <c r="A33" s="40" t="inlineStr">
        <is>
          <t>Proposition ajoutée</t>
        </is>
      </c>
      <c r="B33" s="41" t="inlineStr">
        <is>
          <t>5. Réseaux de dirigeants</t>
        </is>
      </c>
      <c r="C33" s="41" t="inlineStr">
        <is>
          <t>YPO — chapitre de Paris</t>
        </is>
      </c>
      <c r="D33" s="41" t="inlineStr">
        <is>
          <t>P1 (proposé)</t>
        </is>
      </c>
      <c r="E33" s="41" t="inlineStr">
        <is>
          <t>Acheteur (forums de dirigeants)</t>
        </is>
      </c>
      <c r="F33" s="37" t="inlineStr">
        <is>
          <t>34 000 à 38 000 membres dans le monde</t>
        </is>
      </c>
      <c r="G33" s="42" t="inlineStr">
        <is>
          <t>Monde</t>
        </is>
      </c>
      <c r="H33" s="38" t="n"/>
      <c r="I33" s="33">
        <f>IF(H33="","",ROUND(H33*Hypothèses!$B$3,0))</f>
        <v/>
      </c>
      <c r="J33" s="34">
        <f>IF(H33="","",ROUND(I33/Hypothèses!$B$4,1))</f>
        <v/>
      </c>
      <c r="K33" s="35">
        <f>IF(H33="","",J33*Hypothèses!$B$7)</f>
        <v/>
      </c>
      <c r="L33" s="41" t="inlineStr">
        <is>
          <t>ypo.org</t>
        </is>
      </c>
      <c r="M33" s="41" t="inlineStr">
        <is>
          <t>Dîners de forum ou de couples ; effectif parisien à demander</t>
        </is>
      </c>
      <c r="N33" s="36" t="inlineStr">
        <is>
          <t>À qualifier</t>
        </is>
      </c>
      <c r="O33" s="36" t="inlineStr">
        <is>
          <t>Vérifier l'activité et l'effectif</t>
        </is>
      </c>
      <c r="P33" s="36" t="n"/>
    </row>
    <row r="34">
      <c r="A34" s="40" t="inlineStr">
        <is>
          <t>Proposition ajoutée</t>
        </is>
      </c>
      <c r="B34" s="41" t="inlineStr">
        <is>
          <t>5. Réseaux de dirigeants</t>
        </is>
      </c>
      <c r="C34" s="41" t="inlineStr">
        <is>
          <t>EO Paris — Entrepreneurs' Organization</t>
        </is>
      </c>
      <c r="D34" s="41" t="inlineStr">
        <is>
          <t>P2 (proposé)</t>
        </is>
      </c>
      <c r="E34" s="41" t="inlineStr">
        <is>
          <t>Acheteur (forums d'entrepreneurs)</t>
        </is>
      </c>
      <c r="F34" s="37" t="inlineStr">
        <is>
          <t>20 000 membres dans le monde, 220 chapitres</t>
        </is>
      </c>
      <c r="G34" s="42" t="inlineStr">
        <is>
          <t>Monde</t>
        </is>
      </c>
      <c r="H34" s="38" t="n"/>
      <c r="I34" s="33">
        <f>IF(H34="","",ROUND(H34*Hypothèses!$B$3,0))</f>
        <v/>
      </c>
      <c r="J34" s="34">
        <f>IF(H34="","",ROUND(I34/Hypothèses!$B$4,1))</f>
        <v/>
      </c>
      <c r="K34" s="35">
        <f>IF(H34="","",J34*Hypothèses!$B$7)</f>
        <v/>
      </c>
      <c r="L34" s="41" t="inlineStr">
        <is>
          <t>eo-paris.fr</t>
        </is>
      </c>
      <c r="M34" s="41" t="inlineStr">
        <is>
          <t>Soirée de chapitre ou de forum</t>
        </is>
      </c>
      <c r="N34" s="36" t="inlineStr">
        <is>
          <t>À qualifier</t>
        </is>
      </c>
      <c r="O34" s="36" t="inlineStr">
        <is>
          <t>Vérifier l'activité et l'effectif</t>
        </is>
      </c>
      <c r="P34" s="36" t="n"/>
    </row>
    <row r="35">
      <c r="A35" s="40" t="inlineStr">
        <is>
          <t>Proposition ajoutée</t>
        </is>
      </c>
      <c r="B35" s="41" t="inlineStr">
        <is>
          <t>4. Réseaux alumni</t>
        </is>
      </c>
      <c r="C35" s="41" t="inlineStr">
        <is>
          <t>Harvard Club of France (et HBS Club of France)</t>
        </is>
      </c>
      <c r="D35" s="41" t="inlineStr">
        <is>
          <t>P2 (proposé)</t>
        </is>
      </c>
      <c r="E35" s="41" t="inlineStr">
        <is>
          <t>Acheteur (club)</t>
        </is>
      </c>
      <c r="F35" s="30" t="inlineStr">
        <is>
          <t>1 500+ membres (Harvard Club) ; 1 500+ (HBS Club)</t>
        </is>
      </c>
      <c r="G35" s="42" t="inlineStr">
        <is>
          <t>France</t>
        </is>
      </c>
      <c r="H35" s="32" t="n">
        <v>1500</v>
      </c>
      <c r="I35" s="33">
        <f>IF(H35="","",ROUND(H35*Hypothèses!$B$3,0))</f>
        <v/>
      </c>
      <c r="J35" s="34">
        <f>IF(H35="","",ROUND(I35/Hypothèses!$B$4,1))</f>
        <v/>
      </c>
      <c r="K35" s="35">
        <f>IF(H35="","",J35*Hypothèses!$B$7)</f>
        <v/>
      </c>
      <c r="L35" s="41" t="inlineStr">
        <is>
          <t>harvardclub.fr</t>
        </is>
      </c>
      <c r="M35" s="41" t="inlineStr">
        <is>
          <t>Dîner de prestige pour alumni ; recoupement possible entre les deux clubs</t>
        </is>
      </c>
      <c r="N35" s="36" t="inlineStr">
        <is>
          <t>À qualifier</t>
        </is>
      </c>
      <c r="O35" s="36" t="inlineStr">
        <is>
          <t>Vérifier l'activité et l'effectif</t>
        </is>
      </c>
      <c r="P35" s="36" t="n"/>
    </row>
    <row r="36">
      <c r="A36" s="40" t="inlineStr">
        <is>
          <t>Proposition ajoutée</t>
        </is>
      </c>
      <c r="B36" s="41" t="inlineStr">
        <is>
          <t>4. Réseaux alumni</t>
        </is>
      </c>
      <c r="C36" s="41" t="inlineStr">
        <is>
          <t>Autres alumni premium : Polytechnique (AX), Sciences Po Alumni, INSEAD</t>
        </is>
      </c>
      <c r="D36" s="41" t="inlineStr">
        <is>
          <t>P2 (proposé)</t>
        </is>
      </c>
      <c r="E36" s="41" t="inlineStr">
        <is>
          <t>Acheteur (clubs vins / gastronomie)</t>
        </is>
      </c>
      <c r="F36" s="37" t="inlineStr">
        <is>
          <t>Non établi</t>
        </is>
      </c>
      <c r="G36" s="42" t="inlineStr"/>
      <c r="H36" s="38" t="n"/>
      <c r="I36" s="33">
        <f>IF(H36="","",ROUND(H36*Hypothèses!$B$3,0))</f>
        <v/>
      </c>
      <c r="J36" s="34">
        <f>IF(H36="","",ROUND(I36/Hypothèses!$B$4,1))</f>
        <v/>
      </c>
      <c r="K36" s="35">
        <f>IF(H36="","",J36*Hypothèses!$B$7)</f>
        <v/>
      </c>
      <c r="L36" s="41" t="inlineStr"/>
      <c r="M36" s="41" t="inlineStr">
        <is>
          <t>Chercher leurs clubs œnologie ou art de vivre, sur le modèle de HEC VINS</t>
        </is>
      </c>
      <c r="N36" s="36" t="inlineStr">
        <is>
          <t>À qualifier</t>
        </is>
      </c>
      <c r="O36" s="36" t="inlineStr">
        <is>
          <t>Vérifier l'activité et l'effectif</t>
        </is>
      </c>
      <c r="P36" s="36" t="n"/>
    </row>
    <row r="37">
      <c r="A37" s="40" t="inlineStr">
        <is>
          <t>Proposition ajoutée</t>
        </is>
      </c>
      <c r="B37" s="41" t="inlineStr">
        <is>
          <t>1. Clubs gastronomiques</t>
        </is>
      </c>
      <c r="C37" s="41" t="inlineStr">
        <is>
          <t>Club des Croqueurs de Chocolat</t>
        </is>
      </c>
      <c r="D37" s="41" t="inlineStr">
        <is>
          <t>P3 (proposé)</t>
        </is>
      </c>
      <c r="E37" s="41" t="inlineStr">
        <is>
          <t>Acheteur</t>
        </is>
      </c>
      <c r="F37" s="37" t="inlineStr">
        <is>
          <t>Non établi</t>
        </is>
      </c>
      <c r="G37" s="42" t="inlineStr"/>
      <c r="H37" s="38" t="n"/>
      <c r="I37" s="33">
        <f>IF(H37="","",ROUND(H37*Hypothèses!$B$3,0))</f>
        <v/>
      </c>
      <c r="J37" s="34">
        <f>IF(H37="","",ROUND(I37/Hypothèses!$B$4,1))</f>
        <v/>
      </c>
      <c r="K37" s="35">
        <f>IF(H37="","",J37*Hypothèses!$B$7)</f>
        <v/>
      </c>
      <c r="L37" s="41" t="inlineStr">
        <is>
          <t>Wikipédia, Club des Croqueurs de Chocolat</t>
        </is>
      </c>
      <c r="M37" s="41" t="inlineStr">
        <is>
          <t>Soirée chef pâtissier ou cacao</t>
        </is>
      </c>
      <c r="N37" s="36" t="inlineStr">
        <is>
          <t>À qualifier</t>
        </is>
      </c>
      <c r="O37" s="36" t="inlineStr">
        <is>
          <t>Vérifier l'activité et l'effectif</t>
        </is>
      </c>
      <c r="P37" s="36" t="n"/>
    </row>
    <row r="38">
      <c r="A38" s="40" t="inlineStr">
        <is>
          <t>Proposition ajoutée</t>
        </is>
      </c>
      <c r="B38" s="41" t="inlineStr">
        <is>
          <t>3. Cercles privés et clubs d'affaires</t>
        </is>
      </c>
      <c r="C38" s="41" t="inlineStr">
        <is>
          <t>Yacht Club de France</t>
        </is>
      </c>
      <c r="D38" s="41" t="inlineStr">
        <is>
          <t>P3 (proposé)</t>
        </is>
      </c>
      <c r="E38" s="41" t="inlineStr">
        <is>
          <t>Acheteur (cercle)</t>
        </is>
      </c>
      <c r="F38" s="37" t="inlineStr">
        <is>
          <t>Non établi</t>
        </is>
      </c>
      <c r="G38" s="42" t="inlineStr"/>
      <c r="H38" s="38" t="n"/>
      <c r="I38" s="33">
        <f>IF(H38="","",ROUND(H38*Hypothèses!$B$3,0))</f>
        <v/>
      </c>
      <c r="J38" s="34">
        <f>IF(H38="","",ROUND(I38/Hypothèses!$B$4,1))</f>
        <v/>
      </c>
      <c r="K38" s="35">
        <f>IF(H38="","",J38*Hypothèses!$B$7)</f>
        <v/>
      </c>
      <c r="L38" s="41" t="inlineStr">
        <is>
          <t>Bateaux.com (présentation du club)</t>
        </is>
      </c>
      <c r="M38" s="41" t="inlineStr">
        <is>
          <t>Dîner de membres hors les murs</t>
        </is>
      </c>
      <c r="N38" s="36" t="inlineStr">
        <is>
          <t>À qualifier</t>
        </is>
      </c>
      <c r="O38" s="36" t="inlineStr">
        <is>
          <t>Vérifier l'activité et l'effectif</t>
        </is>
      </c>
      <c r="P38" s="36" t="n"/>
    </row>
    <row r="39">
      <c r="A39" s="40" t="inlineStr">
        <is>
          <t>Proposition ajoutée</t>
        </is>
      </c>
      <c r="B39" s="41" t="inlineStr">
        <is>
          <t>3. Cercles privés et clubs d'affaires</t>
        </is>
      </c>
      <c r="C39" s="41" t="inlineStr">
        <is>
          <t>Conciergeries et clubs de cartes premium (rappel du fichier BtoC)</t>
        </is>
      </c>
      <c r="D39" s="41" t="inlineStr">
        <is>
          <t>P2 (proposé)</t>
        </is>
      </c>
      <c r="E39" s="41" t="inlineStr">
        <is>
          <t>Prescripteur</t>
        </is>
      </c>
      <c r="F39" s="37" t="inlineStr">
        <is>
          <t>Non établi</t>
        </is>
      </c>
      <c r="G39" s="42" t="inlineStr"/>
      <c r="H39" s="38" t="n"/>
      <c r="I39" s="33">
        <f>IF(H39="","",ROUND(H39*Hypothèses!$B$3,0))</f>
        <v/>
      </c>
      <c r="J39" s="34">
        <f>IF(H39="","",ROUND(I39/Hypothèses!$B$4,1))</f>
        <v/>
      </c>
      <c r="K39" s="35">
        <f>IF(H39="","",J39*Hypothèses!$B$7)</f>
        <v/>
      </c>
      <c r="L39" s="41" t="inlineStr"/>
      <c r="M39" s="41" t="inlineStr">
        <is>
          <t>Relais vers des particuliers déjà constitués en groupes</t>
        </is>
      </c>
      <c r="N39" s="36" t="inlineStr">
        <is>
          <t>À qualifier</t>
        </is>
      </c>
      <c r="O39" s="36" t="inlineStr">
        <is>
          <t>Vérifier l'activité et l'effectif</t>
        </is>
      </c>
      <c r="P39" s="36" t="n"/>
    </row>
  </sheetData>
  <autoFilter ref="A1:P39"/>
  <dataValidations count="1">
    <dataValidation sqref="N2:N69" showDropDown="0" showInputMessage="0" showErrorMessage="0" allowBlank="1" type="list">
      <formula1>"À qualifier,Introduction demandée,Contacté,Rendez-vous,Opportunité qualifiée,Proposition,Réservé,Perdu,Veille concurrentielle"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48" customWidth="1" min="3" max="3"/>
  </cols>
  <sheetData>
    <row r="1">
      <c r="A1" s="43" t="inlineStr">
        <is>
          <t>Hypothèses du calcul de potentiel (modifiables)</t>
        </is>
      </c>
    </row>
    <row r="3">
      <c r="A3" s="4" t="inlineStr">
        <is>
          <t>Part des membres qui viendraient à au moins une soirée Pop Tables dans l'année</t>
        </is>
      </c>
      <c r="B3" s="44" t="n">
        <v>0.03</v>
      </c>
      <c r="C3" t="inlineStr">
        <is>
          <t>H, à tester lors des premiers rendez-vous</t>
        </is>
      </c>
    </row>
    <row r="4">
      <c r="A4" s="4" t="inlineStr">
        <is>
          <t>Jauge d'une privatisation (couverts)</t>
        </is>
      </c>
      <c r="B4" s="45" t="n">
        <v>20</v>
      </c>
      <c r="C4" t="inlineStr">
        <is>
          <t>F cadre Pop Tables, D-05</t>
        </is>
      </c>
    </row>
    <row r="5">
      <c r="A5" s="4" t="inlineStr">
        <is>
          <t>Forfait de privatisation (€ TTC)</t>
        </is>
      </c>
      <c r="B5" s="46" t="n">
        <v>6000</v>
      </c>
      <c r="C5" t="inlineStr">
        <is>
          <t>F cadre Pop Tables, D-10 (chef confirmé)</t>
        </is>
      </c>
    </row>
    <row r="6">
      <c r="A6" s="4" t="inlineStr">
        <is>
          <t>Prix par convive en privatisation (€ TTC)</t>
        </is>
      </c>
      <c r="B6" s="46" t="n">
        <v>300</v>
      </c>
      <c r="C6" t="inlineStr">
        <is>
          <t>F cadre Pop Tables, D-10 (chef confirmé)</t>
        </is>
      </c>
    </row>
    <row r="7">
      <c r="A7" s="47" t="inlineStr">
        <is>
          <t>Chiffre d'affaires d'une privatisation (€ TTC)</t>
        </is>
      </c>
      <c r="B7" s="48">
        <f>B5+B6*B4</f>
        <v/>
      </c>
      <c r="C7" t="inlineStr">
        <is>
          <t>Calcul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  <col width="14" customWidth="1" min="3" max="3"/>
  </cols>
  <sheetData>
    <row r="1">
      <c r="A1" s="49" t="inlineStr">
        <is>
          <t>Source</t>
        </is>
      </c>
      <c r="B1" s="49" t="inlineStr">
        <is>
          <t>Lien</t>
        </is>
      </c>
      <c r="C1" s="49" t="inlineStr">
        <is>
          <t>Date</t>
        </is>
      </c>
    </row>
    <row r="2">
      <c r="A2" s="4" t="inlineStr">
        <is>
          <t>Liste « Démarchage des groupes - Offres événementielles » (dépôt)</t>
        </is>
      </c>
      <c r="B2" s="4" t="inlineStr">
        <is>
          <t>4 VENTES/CLIENTS/2026 1028 Demarchage des groupes - Offres evenementielles.md</t>
        </is>
      </c>
      <c r="C2" s="4" t="inlineStr">
        <is>
          <t>28/10/2026</t>
        </is>
      </c>
    </row>
    <row r="3">
      <c r="A3" s="4" t="inlineStr">
        <is>
          <t>Cadre de référence Pop Tables (jauges, prix)</t>
        </is>
      </c>
      <c r="B3" s="4" t="inlineStr">
        <is>
          <t>1 DIRECTION/STRATEGIE/2026 1028 Pop Tables - Cadre de référence.md</t>
        </is>
      </c>
      <c r="C3" s="4" t="inlineStr">
        <is>
          <t>28/10/2026</t>
        </is>
      </c>
    </row>
    <row r="4">
      <c r="A4" s="4" t="inlineStr">
        <is>
          <t>Wikipédia, Club des Cent</t>
        </is>
      </c>
      <c r="B4" s="4" t="inlineStr">
        <is>
          <t>https://en.wikipedia.org/wiki/Club_des_Cent</t>
        </is>
      </c>
      <c r="C4" s="4" t="inlineStr">
        <is>
          <t>consulté le 28/10/2026</t>
        </is>
      </c>
    </row>
    <row r="5">
      <c r="A5" s="4" t="inlineStr">
        <is>
          <t>Chaîne des Rôtisseurs France (≈ 25 000 membres)</t>
        </is>
      </c>
      <c r="B5" s="4" t="inlineStr">
        <is>
          <t>https://france.chainedesrotisseurs.com/</t>
        </is>
      </c>
      <c r="C5" s="4" t="inlineStr">
        <is>
          <t>consulté le 28/10/2026</t>
        </is>
      </c>
    </row>
    <row r="6">
      <c r="A6" s="4" t="inlineStr">
        <is>
          <t>Pépites, le club des 1000</t>
        </is>
      </c>
      <c r="B6" s="4" t="inlineStr">
        <is>
          <t>https://rejoindre.pepites-club.com/</t>
        </is>
      </c>
      <c r="C6" s="4" t="inlineStr">
        <is>
          <t>consulté le 28/10/2026</t>
        </is>
      </c>
    </row>
    <row r="7">
      <c r="A7" s="4" t="inlineStr">
        <is>
          <t>Paris Zigzag, Pépites</t>
        </is>
      </c>
      <c r="B7" s="4" t="inlineStr">
        <is>
          <t>https://www.pariszigzag.fr/insolite/balades-excursions/club-pepites/</t>
        </is>
      </c>
      <c r="C7" s="4" t="inlineStr">
        <is>
          <t>non datée</t>
        </is>
      </c>
    </row>
    <row r="8">
      <c r="A8" s="4" t="inlineStr">
        <is>
          <t>Infrarouge, 7 clubs à Paris pour trouver du réseau (Cookoon, Saint James)</t>
        </is>
      </c>
      <c r="B8" s="4" t="inlineStr">
        <is>
          <t>https://www.infrarouge.fr/7-clubs-paris-reseau/</t>
        </is>
      </c>
      <c r="C8" s="4" t="inlineStr">
        <is>
          <t>2024</t>
        </is>
      </c>
    </row>
    <row r="9">
      <c r="A9" s="4" t="inlineStr">
        <is>
          <t>Disciples Escoffier (effectifs mondiaux)</t>
        </is>
      </c>
      <c r="B9" s="4" t="inlineStr">
        <is>
          <t>https://www.echodumardi.com/actualite/un-nouveau-president-pour-les-disciples-descoffier-de-provence-languedoc/</t>
        </is>
      </c>
      <c r="C9" s="4" t="inlineStr">
        <is>
          <t>2025</t>
        </is>
      </c>
    </row>
    <row r="10">
      <c r="A10" s="4" t="inlineStr">
        <is>
          <t>Wikipédia FR, Automobile Club de France</t>
        </is>
      </c>
      <c r="B10" s="4" t="inlineStr">
        <is>
          <t>https://fr.wikipedia.org/wiki/Automobile_Club_de_France</t>
        </is>
      </c>
      <c r="C10" s="4" t="inlineStr">
        <is>
          <t>consulté le 28/10/2026</t>
        </is>
      </c>
    </row>
    <row r="11">
      <c r="A11" s="4" t="inlineStr">
        <is>
          <t>Wikipédia, Cercle de l'Union interalliée</t>
        </is>
      </c>
      <c r="B11" s="4" t="inlineStr">
        <is>
          <t>https://en.wikipedia.org/wiki/Cercle_de_l%27Union_interalli%C3%A9e</t>
        </is>
      </c>
      <c r="C11" s="4" t="inlineStr">
        <is>
          <t>consulté le 28/10/2026</t>
        </is>
      </c>
    </row>
    <row r="12">
      <c r="A12" s="4" t="inlineStr">
        <is>
          <t>Wikipédia FR, Saint James Paris</t>
        </is>
      </c>
      <c r="B12" s="4" t="inlineStr">
        <is>
          <t>https://fr.wikipedia.org/wiki/Saint_James_Paris</t>
        </is>
      </c>
      <c r="C12" s="4" t="inlineStr">
        <is>
          <t>consulté le 28/10/2026</t>
        </is>
      </c>
    </row>
    <row r="13">
      <c r="A13" s="4" t="inlineStr">
        <is>
          <t>WCB, Le Club Saint James Paris</t>
        </is>
      </c>
      <c r="B13" s="4" t="inlineStr">
        <is>
          <t>https://www.wcb.news/2023/05/25/le-club-saint-james-paris-linspiration-cote-rive-droite/</t>
        </is>
      </c>
      <c r="C13" s="4" t="inlineStr">
        <is>
          <t>25/05/2023</t>
        </is>
      </c>
    </row>
    <row r="14">
      <c r="A14" s="4" t="inlineStr">
        <is>
          <t>La Libre Belgique, trois clubs privés parisiens historiques (Jockey Club)</t>
        </is>
      </c>
      <c r="B14" s="4" t="inlineStr">
        <is>
          <t>https://www.lalibre.be/international/europe/2023/08/16/zoom-sur-trois-clubs-prives-parisiens-historiques-CLRX6VD6UVD7BJMTIA6NR6UCUY/</t>
        </is>
      </c>
      <c r="C14" s="4" t="inlineStr">
        <is>
          <t>16/08/2023</t>
        </is>
      </c>
    </row>
    <row r="15">
      <c r="A15" s="4" t="inlineStr">
        <is>
          <t>Reporterre, Le Siècle</t>
        </is>
      </c>
      <c r="B15" s="4" t="inlineStr">
        <is>
          <t>https://reporterre.net/Vous-aussi-devenez-oligarque</t>
        </is>
      </c>
      <c r="C15" s="4" t="inlineStr">
        <is>
          <t>non établie</t>
        </is>
      </c>
    </row>
    <row r="16">
      <c r="A16" s="4" t="inlineStr">
        <is>
          <t>Breizh-Info, Le Siècle</t>
        </is>
      </c>
      <c r="B16" s="4" t="inlineStr">
        <is>
          <t>https://www.breizh-info.com/2021/03/03/159978/les-liaisons-dangereuses-entre-medias-et-milieux-daffaires-le-siecle/</t>
        </is>
      </c>
      <c r="C16" s="4" t="inlineStr">
        <is>
          <t>03/03/2021</t>
        </is>
      </c>
    </row>
    <row r="17">
      <c r="A17" s="4" t="inlineStr">
        <is>
          <t>Plateya, clubs privés d'entrepreneurs à Paris en 2026 (tarifs)</t>
        </is>
      </c>
      <c r="B17" s="4" t="inlineStr">
        <is>
          <t>https://plateya.fr/blog/detail/clubs-prives-entrepreneurs-prix-et-acces-a-paris-en-2026</t>
        </is>
      </c>
      <c r="C17" s="4" t="inlineStr">
        <is>
          <t>2026</t>
        </is>
      </c>
    </row>
    <row r="18">
      <c r="A18" s="4" t="inlineStr">
        <is>
          <t>L'Express Éducation, les alumni font leur mue (HEC)</t>
        </is>
      </c>
      <c r="B18" s="4" t="inlineStr">
        <is>
          <t>https://lexpress-education.com/articles/grandes-ecoles-les-alumni-font-leur-mue/</t>
        </is>
      </c>
      <c r="C18" s="4" t="inlineStr">
        <is>
          <t>non établie</t>
        </is>
      </c>
    </row>
    <row r="19">
      <c r="A19" s="4" t="inlineStr">
        <is>
          <t>Misterprepa, réseaux alumni par école (ESSEC)</t>
        </is>
      </c>
      <c r="B19" s="4" t="inlineStr">
        <is>
          <t>https://misterprepa.net/le-reseau-alumni-explications-classement-des-diplomes-par-ecole/</t>
        </is>
      </c>
      <c r="C19" s="4" t="inlineStr">
        <is>
          <t>non établie</t>
        </is>
      </c>
    </row>
    <row r="20">
      <c r="A20" s="4" t="inlineStr">
        <is>
          <t>Le Journal des Entreprises, APM (9 000 adhérents, 35 clubs à Paris)</t>
        </is>
      </c>
      <c r="B20" s="4" t="inlineStr">
        <is>
          <t>https://www.lejournaldesentreprises.com/article/lassociation-progres-management-apm-veut-se-rendre-plus-accessible-2141797</t>
        </is>
      </c>
      <c r="C20" s="4" t="inlineStr">
        <is>
          <t>2026</t>
        </is>
      </c>
    </row>
    <row r="21">
      <c r="A21" s="4" t="inlineStr">
        <is>
          <t>APM, devenir adhérent</t>
        </is>
      </c>
      <c r="B21" s="4" t="inlineStr">
        <is>
          <t>https://apm.fr/devenir-adherent/</t>
        </is>
      </c>
      <c r="C21" s="4" t="inlineStr">
        <is>
          <t>consulté le 28/10/2026</t>
        </is>
      </c>
    </row>
    <row r="22">
      <c r="A22" s="4" t="inlineStr">
        <is>
          <t>YPO (effectif mondial)</t>
        </is>
      </c>
      <c r="B22" s="4" t="inlineStr">
        <is>
          <t>https://www.ypo.org/latin-america/</t>
        </is>
      </c>
      <c r="C22" s="4" t="inlineStr">
        <is>
          <t>consulté le 28/10/2026</t>
        </is>
      </c>
    </row>
    <row r="23">
      <c r="A23" s="4" t="inlineStr">
        <is>
          <t>EO Paris (effectif mondial EO)</t>
        </is>
      </c>
      <c r="B23" s="4" t="inlineStr">
        <is>
          <t>https://eo-paris.fr/en/about-eo-paris/</t>
        </is>
      </c>
      <c r="C23" s="4" t="inlineStr">
        <is>
          <t>consulté le 28/10/2026</t>
        </is>
      </c>
    </row>
    <row r="24">
      <c r="A24" s="4" t="inlineStr">
        <is>
          <t>Harvard Club of France</t>
        </is>
      </c>
      <c r="B24" s="4" t="inlineStr">
        <is>
          <t>https://www.harvardclub.fr/connect/harvard-business-school-club/</t>
        </is>
      </c>
      <c r="C24" s="4" t="inlineStr">
        <is>
          <t>consulté le 28/10/2026</t>
        </is>
      </c>
    </row>
    <row r="25">
      <c r="A25" s="4" t="inlineStr">
        <is>
          <t>Wikipédia, Club des Croqueurs de Chocolat</t>
        </is>
      </c>
      <c r="B25" s="4" t="inlineStr">
        <is>
          <t>https://en.wikipedia.org/wiki/Club_des_Croqueurs_de_Chocolat</t>
        </is>
      </c>
      <c r="C25" s="4" t="inlineStr">
        <is>
          <t>consulté le 28/10/2026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2026-10-28T18:01:15Z</dcterms:created>
  <dcterms:modified xmlns:dcterms="http://purl.org/dc/terms/" xmlns:xsi="http://www.w3.org/2001/XMLSchema-instance" xsi:type="dcterms:W3CDTF">2026-10-28T18:01:15Z</dcterms:modified>
</cp:coreProperties>
</file>