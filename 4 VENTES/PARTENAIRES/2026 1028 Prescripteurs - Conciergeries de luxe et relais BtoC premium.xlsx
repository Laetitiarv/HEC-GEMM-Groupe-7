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Prescripteurs" sheetId="3" state="visible" r:id="rId3"/>
    <sheet xmlns:r="http://schemas.openxmlformats.org/officeDocument/2006/relationships" name="Sources" sheetId="4" state="visible" r:id="rId4"/>
  </sheets>
  <definedNames>
    <definedName name="_xlnm._FilterDatabase" localSheetId="2" hidden="1">'Prescripteurs'!$A$1:$Q$34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color rgb="004A1028"/>
      <sz val="15"/>
    </font>
    <font>
      <i val="1"/>
      <color rgb="00666666"/>
      <sz val="10"/>
    </font>
    <font>
      <b val="1"/>
      <color rgb="004A1028"/>
      <sz val="12"/>
    </font>
    <font>
      <b val="1"/>
      <color rgb="00FFFFFF"/>
    </font>
    <font>
      <b val="1"/>
      <color rgb="001F4E79"/>
    </font>
    <font>
      <b val="1"/>
    </font>
  </fonts>
  <fills count="6">
    <fill>
      <patternFill/>
    </fill>
    <fill>
      <patternFill patternType="gray125"/>
    </fill>
    <fill>
      <patternFill patternType="solid">
        <fgColor rgb="00DCEAF7"/>
      </patternFill>
    </fill>
    <fill>
      <patternFill patternType="solid">
        <fgColor rgb="00FBE3CF"/>
      </patternFill>
    </fill>
    <fill>
      <patternFill patternType="solid">
        <fgColor rgb="00FFF6D6"/>
      </patternFill>
    </fill>
    <fill>
      <patternFill patternType="solid">
        <fgColor rgb="004A1028"/>
      </patternFill>
    </fill>
  </fills>
  <borders count="2">
    <border>
      <left/>
      <right/>
      <top/>
      <bottom/>
      <diagonal/>
    </border>
    <border>
      <left style="thin">
        <color rgb="00D9CFD3"/>
      </left>
      <right style="thin">
        <color rgb="00D9CFD3"/>
      </right>
      <top style="thin">
        <color rgb="00D9CFD3"/>
      </top>
      <bottom style="thin">
        <color rgb="00D9CF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6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4" fillId="5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F3C4"/>
        </patternFill>
      </fill>
    </dxf>
    <dxf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Pop Tables — Prescripteurs à Paris pour toucher les foodies et la clientèle BtoC premium</t>
        </is>
      </c>
    </row>
    <row r="2">
      <c r="A2" s="2" t="inlineStr">
        <is>
          <t>Pôle Ventes · 28/10/2026 · Document de travail, non validé</t>
        </is>
      </c>
    </row>
    <row r="4">
      <c r="A4" s="3" t="inlineStr">
        <is>
          <t>Ce qu'est un prescripteur ici</t>
        </is>
      </c>
    </row>
    <row r="5">
      <c r="A5" s="4" t="inlineStr">
        <is>
          <t>Une organisation qui recommande ou revend nos soirées à ses propres clients ou membres : elle ne paie pas, elle apporte des convives. Cible : places à l'unité en drop (B2C) et privatisations de groupes constitués (cadre Pop Tables, D-04).</t>
        </is>
      </c>
    </row>
    <row r="6">
      <c r="A6" s="4" t="inlineStr"/>
    </row>
    <row r="7">
      <c r="A7" s="3" t="inlineStr">
        <is>
          <t>Code couleur</t>
        </is>
      </c>
    </row>
    <row r="8">
      <c r="A8" s="4" t="inlineStr">
        <is>
          <t>Ligne blanche : conciergerie de luxe (ta demande).</t>
        </is>
      </c>
    </row>
    <row r="9">
      <c r="A9" s="5" t="inlineStr">
        <is>
          <t>Ligne BLEUE : autre prescripteur que j'ai identifié (concierges d'hôtels, cartes premium, agences de voyage, médias, family offices, caves).</t>
        </is>
      </c>
    </row>
    <row r="10">
      <c r="A10" s="6" t="inlineStr">
        <is>
          <t>ORANGE : inférence ou proposition de l'assistant IA (pourquoi ce prescripteur, contrepartie envisageable).</t>
        </is>
      </c>
    </row>
    <row r="11">
      <c r="A11" s="7" t="inlineStr">
        <is>
          <t>JAUNE : colonnes de suivi.</t>
        </is>
      </c>
    </row>
    <row r="12">
      <c r="A12" s="4" t="inlineStr"/>
    </row>
    <row r="13">
      <c r="A13" s="3" t="inlineStr">
        <is>
          <t>Précautions</t>
        </is>
      </c>
    </row>
    <row r="14">
      <c r="A14" s="4" t="inlineStr">
        <is>
          <t>• Les comparatifs de conciergeries sont des sites commerciaux : classements et chiffres annoncés sont des argumentaires, à vérifier en rendez-vous.</t>
        </is>
      </c>
    </row>
    <row r="15">
      <c r="A15" s="4" t="inlineStr">
        <is>
          <t>• Aucune commission ni exclusivité ne se promet avant validation (Finance, Direction) ; aucun prix public (D-11) : le prix se donne au moment de la réservation.</t>
        </is>
      </c>
    </row>
    <row r="16">
      <c r="A16" s="4" t="inlineStr">
        <is>
          <t>• Pas de nom de personne ni de coordonnée personnelle dans le dépôt : seulement le rôle de l'interlocuteur.</t>
        </is>
      </c>
    </row>
    <row r="17">
      <c r="A17" s="4" t="inlineStr">
        <is>
          <t>• Hautes Expériences est un concurrent-partenaire : ne pas lui transmettre l'offre avant d'avoir étudié la complémentarité.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Prescripteurs : synthèse par famille</t>
        </is>
      </c>
    </row>
    <row r="3">
      <c r="A3" s="8" t="inlineStr">
        <is>
          <t>Famille</t>
        </is>
      </c>
      <c r="B3" s="8" t="inlineStr">
        <is>
          <t>Type</t>
        </is>
      </c>
      <c r="C3" s="8" t="inlineStr">
        <is>
          <t>Lignes</t>
        </is>
      </c>
      <c r="D3" s="8" t="inlineStr">
        <is>
          <t>Priorité A</t>
        </is>
      </c>
      <c r="E3" s="8" t="inlineStr">
        <is>
          <t>Priorité B</t>
        </is>
      </c>
      <c r="F3" s="8" t="inlineStr">
        <is>
          <t>Priorité C</t>
        </is>
      </c>
    </row>
    <row r="4">
      <c r="A4" s="9" t="inlineStr">
        <is>
          <t>1. Conciergeries lifestyle à Paris</t>
        </is>
      </c>
      <c r="B4" s="9" t="inlineStr">
        <is>
          <t>Conciergerie de luxe</t>
        </is>
      </c>
      <c r="C4" s="9">
        <f>COUNTIF(Prescripteurs!$C$2:$C$34,A4)</f>
        <v/>
      </c>
      <c r="D4" s="9">
        <f>COUNTIFS(Prescripteurs!$C$2:$C$34,A4,Prescripteurs!$J$2:$J$34,"A")</f>
        <v/>
      </c>
      <c r="E4" s="9">
        <f>COUNTIFS(Prescripteurs!$C$2:$C$34,A4,Prescripteurs!$J$2:$J$34,"B")</f>
        <v/>
      </c>
      <c r="F4" s="9">
        <f>COUNTIFS(Prescripteurs!$C$2:$C$34,A4,Prescripteurs!$J$2:$J$34,"C")</f>
        <v/>
      </c>
    </row>
    <row r="5">
      <c r="A5" s="9" t="inlineStr">
        <is>
          <t>2. Conciergeries de réseau / entreprise</t>
        </is>
      </c>
      <c r="B5" s="9" t="inlineStr">
        <is>
          <t>Conciergerie de luxe</t>
        </is>
      </c>
      <c r="C5" s="9">
        <f>COUNTIF(Prescripteurs!$C$2:$C$34,A5)</f>
        <v/>
      </c>
      <c r="D5" s="9">
        <f>COUNTIFS(Prescripteurs!$C$2:$C$34,A5,Prescripteurs!$J$2:$J$34,"A")</f>
        <v/>
      </c>
      <c r="E5" s="9">
        <f>COUNTIFS(Prescripteurs!$C$2:$C$34,A5,Prescripteurs!$J$2:$J$34,"B")</f>
        <v/>
      </c>
      <c r="F5" s="9">
        <f>COUNTIFS(Prescripteurs!$C$2:$C$34,A5,Prescripteurs!$J$2:$J$34,"C")</f>
        <v/>
      </c>
    </row>
    <row r="6">
      <c r="A6" s="10" t="inlineStr">
        <is>
          <t>3. Concierges d'hôtels et palaces</t>
        </is>
      </c>
      <c r="B6" s="10" t="inlineStr">
        <is>
          <t>Autre prescripteur</t>
        </is>
      </c>
      <c r="C6" s="10">
        <f>COUNTIF(Prescripteurs!$C$2:$C$34,A6)</f>
        <v/>
      </c>
      <c r="D6" s="10">
        <f>COUNTIFS(Prescripteurs!$C$2:$C$34,A6,Prescripteurs!$J$2:$J$34,"A")</f>
        <v/>
      </c>
      <c r="E6" s="10">
        <f>COUNTIFS(Prescripteurs!$C$2:$C$34,A6,Prescripteurs!$J$2:$J$34,"B")</f>
        <v/>
      </c>
      <c r="F6" s="10">
        <f>COUNTIFS(Prescripteurs!$C$2:$C$34,A6,Prescripteurs!$J$2:$J$34,"C")</f>
        <v/>
      </c>
    </row>
    <row r="7">
      <c r="A7" s="10" t="inlineStr">
        <is>
          <t>4. Cartes bancaires premium</t>
        </is>
      </c>
      <c r="B7" s="10" t="inlineStr">
        <is>
          <t>Autre prescripteur</t>
        </is>
      </c>
      <c r="C7" s="10">
        <f>COUNTIF(Prescripteurs!$C$2:$C$34,A7)</f>
        <v/>
      </c>
      <c r="D7" s="10">
        <f>COUNTIFS(Prescripteurs!$C$2:$C$34,A7,Prescripteurs!$J$2:$J$34,"A")</f>
        <v/>
      </c>
      <c r="E7" s="10">
        <f>COUNTIFS(Prescripteurs!$C$2:$C$34,A7,Prescripteurs!$J$2:$J$34,"B")</f>
        <v/>
      </c>
      <c r="F7" s="10">
        <f>COUNTIFS(Prescripteurs!$C$2:$C$34,A7,Prescripteurs!$J$2:$J$34,"C")</f>
        <v/>
      </c>
    </row>
    <row r="8">
      <c r="A8" s="10" t="inlineStr">
        <is>
          <t>5. Agences de voyage de luxe et DMC</t>
        </is>
      </c>
      <c r="B8" s="10" t="inlineStr">
        <is>
          <t>Autre prescripteur</t>
        </is>
      </c>
      <c r="C8" s="10">
        <f>COUNTIF(Prescripteurs!$C$2:$C$34,A8)</f>
        <v/>
      </c>
      <c r="D8" s="10">
        <f>COUNTIFS(Prescripteurs!$C$2:$C$34,A8,Prescripteurs!$J$2:$J$34,"A")</f>
        <v/>
      </c>
      <c r="E8" s="10">
        <f>COUNTIFS(Prescripteurs!$C$2:$C$34,A8,Prescripteurs!$J$2:$J$34,"B")</f>
        <v/>
      </c>
      <c r="F8" s="10">
        <f>COUNTIFS(Prescripteurs!$C$2:$C$34,A8,Prescripteurs!$J$2:$J$34,"C")</f>
        <v/>
      </c>
    </row>
    <row r="9">
      <c r="A9" s="10" t="inlineStr">
        <is>
          <t>6. Médias, guides et influence food</t>
        </is>
      </c>
      <c r="B9" s="10" t="inlineStr">
        <is>
          <t>Autre prescripteur</t>
        </is>
      </c>
      <c r="C9" s="10">
        <f>COUNTIF(Prescripteurs!$C$2:$C$34,A9)</f>
        <v/>
      </c>
      <c r="D9" s="10">
        <f>COUNTIFS(Prescripteurs!$C$2:$C$34,A9,Prescripteurs!$J$2:$J$34,"A")</f>
        <v/>
      </c>
      <c r="E9" s="10">
        <f>COUNTIFS(Prescripteurs!$C$2:$C$34,A9,Prescripteurs!$J$2:$J$34,"B")</f>
        <v/>
      </c>
      <c r="F9" s="10">
        <f>COUNTIFS(Prescripteurs!$C$2:$C$34,A9,Prescripteurs!$J$2:$J$34,"C")</f>
        <v/>
      </c>
    </row>
    <row r="10">
      <c r="A10" s="10" t="inlineStr">
        <is>
          <t>7. Gestion de fortune et family offices</t>
        </is>
      </c>
      <c r="B10" s="10" t="inlineStr">
        <is>
          <t>Autre prescripteur</t>
        </is>
      </c>
      <c r="C10" s="10">
        <f>COUNTIF(Prescripteurs!$C$2:$C$34,A10)</f>
        <v/>
      </c>
      <c r="D10" s="10">
        <f>COUNTIFS(Prescripteurs!$C$2:$C$34,A10,Prescripteurs!$J$2:$J$34,"A")</f>
        <v/>
      </c>
      <c r="E10" s="10">
        <f>COUNTIFS(Prescripteurs!$C$2:$C$34,A10,Prescripteurs!$J$2:$J$34,"B")</f>
        <v/>
      </c>
      <c r="F10" s="10">
        <f>COUNTIFS(Prescripteurs!$C$2:$C$34,A10,Prescripteurs!$J$2:$J$34,"C")</f>
        <v/>
      </c>
    </row>
    <row r="11">
      <c r="A11" s="10" t="inlineStr">
        <is>
          <t>8. Caves et écoles de dégustation</t>
        </is>
      </c>
      <c r="B11" s="10" t="inlineStr">
        <is>
          <t>Autre prescripteur</t>
        </is>
      </c>
      <c r="C11" s="10">
        <f>COUNTIF(Prescripteurs!$C$2:$C$34,A11)</f>
        <v/>
      </c>
      <c r="D11" s="10">
        <f>COUNTIFS(Prescripteurs!$C$2:$C$34,A11,Prescripteurs!$J$2:$J$34,"A")</f>
        <v/>
      </c>
      <c r="E11" s="10">
        <f>COUNTIFS(Prescripteurs!$C$2:$C$34,A11,Prescripteurs!$J$2:$J$34,"B")</f>
        <v/>
      </c>
      <c r="F11" s="10">
        <f>COUNTIFS(Prescripteurs!$C$2:$C$34,A11,Prescripteurs!$J$2:$J$34,"C")</f>
        <v/>
      </c>
    </row>
    <row r="12">
      <c r="A12" s="11" t="inlineStr">
        <is>
          <t>Total</t>
        </is>
      </c>
      <c r="C12" s="11">
        <f>SUM(C4:C11)</f>
        <v/>
      </c>
      <c r="D12" s="11">
        <f>SUM(D4:D11)</f>
        <v/>
      </c>
      <c r="E12" s="11">
        <f>SUM(E4:E11)</f>
        <v/>
      </c>
      <c r="F12" s="11">
        <f>SUM(F4:F11)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34" customWidth="1" min="4" max="4"/>
    <col width="50" customWidth="1" min="5" max="5"/>
    <col width="20" customWidth="1" min="6" max="6"/>
    <col width="36" customWidth="1" min="7" max="7"/>
    <col width="26" customWidth="1" min="8" max="8"/>
    <col width="24" customWidth="1" min="9" max="9"/>
    <col width="9" customWidth="1" min="10" max="10"/>
    <col width="18" customWidth="1" min="11" max="11"/>
    <col width="10" customWidth="1" min="12" max="12"/>
    <col width="16" customWidth="1" min="13" max="13"/>
    <col width="13" customWidth="1" min="14" max="14"/>
    <col width="24" customWidth="1" min="15" max="15"/>
    <col width="13" customWidth="1" min="16" max="16"/>
    <col width="26" customWidth="1" min="17" max="17"/>
  </cols>
  <sheetData>
    <row r="1" ht="40" customHeight="1">
      <c r="A1" s="12" t="inlineStr">
        <is>
          <t>ID</t>
        </is>
      </c>
      <c r="B1" s="12" t="inlineStr">
        <is>
          <t>Type</t>
        </is>
      </c>
      <c r="C1" s="12" t="inlineStr">
        <is>
          <t>Famille</t>
        </is>
      </c>
      <c r="D1" s="12" t="inlineStr">
        <is>
          <t>Organisation</t>
        </is>
      </c>
      <c r="E1" s="12" t="inlineStr">
        <is>
          <t>Ce qu'ils font (faits publics)</t>
        </is>
      </c>
      <c r="F1" s="12" t="inlineStr">
        <is>
          <t>Clientèle relayée</t>
        </is>
      </c>
      <c r="G1" s="12" t="inlineStr">
        <is>
          <t>Pourquoi pour Pop Tables (inférence)</t>
        </is>
      </c>
      <c r="H1" s="12" t="inlineStr">
        <is>
          <t>Contrepartie envisageable (proposition)</t>
        </is>
      </c>
      <c r="I1" s="12" t="inlineStr">
        <is>
          <t>Interlocuteur visé (rôle)</t>
        </is>
      </c>
      <c r="J1" s="12" t="inlineStr">
        <is>
          <t>Priorité</t>
        </is>
      </c>
      <c r="K1" s="12" t="inlineStr">
        <is>
          <t>Fiabilité de la source</t>
        </is>
      </c>
      <c r="L1" s="12" t="inlineStr">
        <is>
          <t>Sources</t>
        </is>
      </c>
      <c r="M1" s="12" t="inlineStr">
        <is>
          <t>Statut</t>
        </is>
      </c>
      <c r="N1" s="12" t="inlineStr">
        <is>
          <t>Date dernier contact</t>
        </is>
      </c>
      <c r="O1" s="12" t="inlineStr">
        <is>
          <t>Prochaine action</t>
        </is>
      </c>
      <c r="P1" s="12" t="inlineStr">
        <is>
          <t>Responsable</t>
        </is>
      </c>
      <c r="Q1" s="12" t="inlineStr">
        <is>
          <t>Commentaires</t>
        </is>
      </c>
    </row>
    <row r="2">
      <c r="A2" s="13" t="inlineStr">
        <is>
          <t>PR01</t>
        </is>
      </c>
      <c r="B2" s="13" t="inlineStr">
        <is>
          <t>Conciergerie de luxe</t>
        </is>
      </c>
      <c r="C2" s="13" t="inlineStr">
        <is>
          <t>1. Conciergeries lifestyle à Paris</t>
        </is>
      </c>
      <c r="D2" s="13" t="inlineStr">
        <is>
          <t>Premium Conciergerie</t>
        </is>
      </c>
      <c r="E2" s="13" t="inlineStr">
        <is>
          <t>Conciergerie privée 24h/24 (SAS créée en 2015, 10 à 19 salariés) ; formule privée affichée à 6 000 € HT par an ; 20 concierges et 6 000 partenaires annoncés.</t>
        </is>
      </c>
      <c r="F2" s="13" t="inlineStr">
        <is>
          <t>BtoC premium, dirigeants</t>
        </is>
      </c>
      <c r="G2" s="14" t="inlineStr">
        <is>
          <t>Clientèle qui paie déjà pour l'accès à l'introuvable.</t>
        </is>
      </c>
      <c r="H2" s="14" t="inlineStr">
        <is>
          <t>Commission par place ou par privatisation</t>
        </is>
      </c>
      <c r="I2" s="13" t="inlineStr">
        <is>
          <t>Directeur·rice des partenariats</t>
        </is>
      </c>
      <c r="J2" s="13" t="inlineStr">
        <is>
          <t>A</t>
        </is>
      </c>
      <c r="K2" s="13" t="inlineStr">
        <is>
          <t>Comparatif commercial</t>
        </is>
      </c>
      <c r="L2" s="13" t="inlineStr">
        <is>
          <t>S1, S2</t>
        </is>
      </c>
      <c r="M2" s="15" t="inlineStr">
        <is>
          <t>À qualifier</t>
        </is>
      </c>
      <c r="N2" s="16" t="n"/>
      <c r="O2" s="15" t="inlineStr">
        <is>
          <t>Identifier l'interlocuteur</t>
        </is>
      </c>
      <c r="P2" s="15" t="n"/>
      <c r="Q2" s="15" t="n"/>
    </row>
    <row r="3">
      <c r="A3" s="13" t="inlineStr">
        <is>
          <t>PR02</t>
        </is>
      </c>
      <c r="B3" s="13" t="inlineStr">
        <is>
          <t>Conciergerie de luxe</t>
        </is>
      </c>
      <c r="C3" s="13" t="inlineStr">
        <is>
          <t>1. Conciergeries lifestyle à Paris</t>
        </is>
      </c>
      <c r="D3" s="13" t="inlineStr">
        <is>
          <t>Unique Paris</t>
        </is>
      </c>
      <c r="E3" s="13" t="inlineStr">
        <is>
          <t>Conciergerie sur adhésion pour dirigeants, banquiers, consultants et gérants de fonds.</t>
        </is>
      </c>
      <c r="F3" s="13" t="inlineStr">
        <is>
          <t>BtoC premium, dirigeants</t>
        </is>
      </c>
      <c r="G3" s="14" t="inlineStr">
        <is>
          <t>Profil exact des acheteurs de privatisations.</t>
        </is>
      </c>
      <c r="H3" s="14" t="inlineStr">
        <is>
          <t>Commission ; accès prioritaire aux drops</t>
        </is>
      </c>
      <c r="I3" s="13" t="inlineStr">
        <is>
          <t>Fondateur·rice / partenariats</t>
        </is>
      </c>
      <c r="J3" s="13" t="inlineStr">
        <is>
          <t>A</t>
        </is>
      </c>
      <c r="K3" s="13" t="inlineStr">
        <is>
          <t>Comparatif commercial</t>
        </is>
      </c>
      <c r="L3" s="13" t="inlineStr">
        <is>
          <t>S1</t>
        </is>
      </c>
      <c r="M3" s="15" t="inlineStr">
        <is>
          <t>À qualifier</t>
        </is>
      </c>
      <c r="N3" s="16" t="n"/>
      <c r="O3" s="15" t="inlineStr">
        <is>
          <t>Identifier l'interlocuteur</t>
        </is>
      </c>
      <c r="P3" s="15" t="n"/>
      <c r="Q3" s="15" t="n"/>
    </row>
    <row r="4">
      <c r="A4" s="13" t="inlineStr">
        <is>
          <t>PR03</t>
        </is>
      </c>
      <c r="B4" s="13" t="inlineStr">
        <is>
          <t>Conciergerie de luxe</t>
        </is>
      </c>
      <c r="C4" s="13" t="inlineStr">
        <is>
          <t>1. Conciergeries lifestyle à Paris</t>
        </is>
      </c>
      <c r="D4" s="13" t="inlineStr">
        <is>
          <t>Joie Paris</t>
        </is>
      </c>
      <c r="E4" s="13" t="inlineStr">
        <is>
          <t>Conciergerie fondée en 2019, citée par Forbes comme meilleure conciergerie de Paris en 2023 (selon le comparatif).</t>
        </is>
      </c>
      <c r="F4" s="13" t="inlineStr">
        <is>
          <t>BtoC premium, international</t>
        </is>
      </c>
      <c r="G4" s="14" t="inlineStr">
        <is>
          <t>Clientèle internationale en quête d'expériences parisiennes rares.</t>
        </is>
      </c>
      <c r="H4" s="14" t="inlineStr">
        <is>
          <t>Commission</t>
        </is>
      </c>
      <c r="I4" s="13" t="inlineStr">
        <is>
          <t>Fondateur·rice</t>
        </is>
      </c>
      <c r="J4" s="13" t="inlineStr">
        <is>
          <t>A</t>
        </is>
      </c>
      <c r="K4" s="13" t="inlineStr">
        <is>
          <t>Comparatif commercial</t>
        </is>
      </c>
      <c r="L4" s="13" t="inlineStr">
        <is>
          <t>S1</t>
        </is>
      </c>
      <c r="M4" s="15" t="inlineStr">
        <is>
          <t>À qualifier</t>
        </is>
      </c>
      <c r="N4" s="16" t="n"/>
      <c r="O4" s="15" t="inlineStr">
        <is>
          <t>Identifier l'interlocuteur</t>
        </is>
      </c>
      <c r="P4" s="15" t="n"/>
      <c r="Q4" s="15" t="n"/>
    </row>
    <row r="5">
      <c r="A5" s="13" t="inlineStr">
        <is>
          <t>PR04</t>
        </is>
      </c>
      <c r="B5" s="13" t="inlineStr">
        <is>
          <t>Conciergerie de luxe</t>
        </is>
      </c>
      <c r="C5" s="13" t="inlineStr">
        <is>
          <t>1. Conciergeries lifestyle à Paris</t>
        </is>
      </c>
      <c r="D5" s="13" t="inlineStr">
        <is>
          <t>Louis Prestige</t>
        </is>
      </c>
      <c r="E5" s="13" t="inlineStr">
        <is>
          <t>Conciergerie privée à trois niveaux d'abonnement (Bronze, Gold, Diamond), Paris 16e.</t>
        </is>
      </c>
      <c r="F5" s="13" t="inlineStr">
        <is>
          <t>BtoC premium</t>
        </is>
      </c>
      <c r="G5" s="14" t="inlineStr">
        <is>
          <t>Abonnés haut de gamme.</t>
        </is>
      </c>
      <c r="H5" s="14" t="inlineStr">
        <is>
          <t>Commission</t>
        </is>
      </c>
      <c r="I5" s="13" t="inlineStr">
        <is>
          <t>Fondateur</t>
        </is>
      </c>
      <c r="J5" s="13" t="inlineStr">
        <is>
          <t>B</t>
        </is>
      </c>
      <c r="K5" s="13" t="inlineStr">
        <is>
          <t>Comparatif commercial</t>
        </is>
      </c>
      <c r="L5" s="13" t="inlineStr">
        <is>
          <t>S1</t>
        </is>
      </c>
      <c r="M5" s="15" t="inlineStr">
        <is>
          <t>À qualifier</t>
        </is>
      </c>
      <c r="N5" s="16" t="n"/>
      <c r="O5" s="15" t="inlineStr">
        <is>
          <t>Identifier l'interlocuteur</t>
        </is>
      </c>
      <c r="P5" s="15" t="n"/>
      <c r="Q5" s="15" t="n"/>
    </row>
    <row r="6">
      <c r="A6" s="13" t="inlineStr">
        <is>
          <t>PR05</t>
        </is>
      </c>
      <c r="B6" s="13" t="inlineStr">
        <is>
          <t>Conciergerie de luxe</t>
        </is>
      </c>
      <c r="C6" s="13" t="inlineStr">
        <is>
          <t>1. Conciergeries lifestyle à Paris</t>
        </is>
      </c>
      <c r="D6" s="13" t="inlineStr">
        <is>
          <t>Séjour Privé</t>
        </is>
      </c>
      <c r="E6" s="13" t="inlineStr">
        <is>
          <t>Organisateur de séjours de luxe plus que conciergerie (selon le comparatif).</t>
        </is>
      </c>
      <c r="F6" s="13" t="inlineStr">
        <is>
          <t>International</t>
        </is>
      </c>
      <c r="G6" s="14" t="inlineStr">
        <is>
          <t>Clients de passage à Paris : soirée unique pendant le séjour.</t>
        </is>
      </c>
      <c r="H6" s="14" t="inlineStr">
        <is>
          <t>Commission</t>
        </is>
      </c>
      <c r="I6" s="13" t="inlineStr">
        <is>
          <t>Direction commerciale</t>
        </is>
      </c>
      <c r="J6" s="13" t="inlineStr">
        <is>
          <t>B</t>
        </is>
      </c>
      <c r="K6" s="13" t="inlineStr">
        <is>
          <t>Comparatif commercial</t>
        </is>
      </c>
      <c r="L6" s="13" t="inlineStr">
        <is>
          <t>S1</t>
        </is>
      </c>
      <c r="M6" s="15" t="inlineStr">
        <is>
          <t>À qualifier</t>
        </is>
      </c>
      <c r="N6" s="16" t="n"/>
      <c r="O6" s="15" t="inlineStr">
        <is>
          <t>Identifier l'interlocuteur</t>
        </is>
      </c>
      <c r="P6" s="15" t="n"/>
      <c r="Q6" s="15" t="n"/>
    </row>
    <row r="7">
      <c r="A7" s="13" t="inlineStr">
        <is>
          <t>PR06</t>
        </is>
      </c>
      <c r="B7" s="13" t="inlineStr">
        <is>
          <t>Conciergerie de luxe</t>
        </is>
      </c>
      <c r="C7" s="13" t="inlineStr">
        <is>
          <t>1. Conciergeries lifestyle à Paris</t>
        </is>
      </c>
      <c r="D7" s="13" t="inlineStr">
        <is>
          <t>Montaigne Conciergerie</t>
        </is>
      </c>
      <c r="E7" s="13" t="inlineStr">
        <is>
          <t>Conciergerie orientée mode et shopping, 42 avenue Montaigne (8e).</t>
        </is>
      </c>
      <c r="F7" s="13" t="inlineStr">
        <is>
          <t>BtoC premium, international</t>
        </is>
      </c>
      <c r="G7" s="14" t="inlineStr">
        <is>
          <t>Clientèle luxe de l'avenue Montaigne.</t>
        </is>
      </c>
      <c r="H7" s="14" t="inlineStr">
        <is>
          <t>Commission</t>
        </is>
      </c>
      <c r="I7" s="13" t="inlineStr">
        <is>
          <t>Direction</t>
        </is>
      </c>
      <c r="J7" s="13" t="inlineStr">
        <is>
          <t>B</t>
        </is>
      </c>
      <c r="K7" s="13" t="inlineStr">
        <is>
          <t>Comparatif commercial</t>
        </is>
      </c>
      <c r="L7" s="13" t="inlineStr">
        <is>
          <t>S1</t>
        </is>
      </c>
      <c r="M7" s="15" t="inlineStr">
        <is>
          <t>À qualifier</t>
        </is>
      </c>
      <c r="N7" s="16" t="n"/>
      <c r="O7" s="15" t="inlineStr">
        <is>
          <t>Identifier l'interlocuteur</t>
        </is>
      </c>
      <c r="P7" s="15" t="n"/>
      <c r="Q7" s="15" t="n"/>
    </row>
    <row r="8">
      <c r="A8" s="13" t="inlineStr">
        <is>
          <t>PR07</t>
        </is>
      </c>
      <c r="B8" s="13" t="inlineStr">
        <is>
          <t>Conciergerie de luxe</t>
        </is>
      </c>
      <c r="C8" s="13" t="inlineStr">
        <is>
          <t>1. Conciergeries lifestyle à Paris</t>
        </is>
      </c>
      <c r="D8" s="13" t="inlineStr">
        <is>
          <t>Le Collectionist ; The Lander</t>
        </is>
      </c>
      <c r="E8" s="13" t="inlineStr">
        <is>
          <t>Location de logements haut de gamme avec service de conciergerie.</t>
        </is>
      </c>
      <c r="F8" s="13" t="inlineStr">
        <is>
          <t>International, familles</t>
        </is>
      </c>
      <c r="G8" s="14" t="inlineStr">
        <is>
          <t>Clients logés dans des appartements de prestige à Paris.</t>
        </is>
      </c>
      <c r="H8" s="14" t="inlineStr">
        <is>
          <t>Commission</t>
        </is>
      </c>
      <c r="I8" s="13" t="inlineStr">
        <is>
          <t>Responsable conciergerie Paris</t>
        </is>
      </c>
      <c r="J8" s="13" t="inlineStr">
        <is>
          <t>B</t>
        </is>
      </c>
      <c r="K8" s="13" t="inlineStr">
        <is>
          <t>Comparatif commercial</t>
        </is>
      </c>
      <c r="L8" s="13" t="inlineStr">
        <is>
          <t>S1</t>
        </is>
      </c>
      <c r="M8" s="15" t="inlineStr">
        <is>
          <t>À qualifier</t>
        </is>
      </c>
      <c r="N8" s="16" t="n"/>
      <c r="O8" s="15" t="inlineStr">
        <is>
          <t>Identifier l'interlocuteur</t>
        </is>
      </c>
      <c r="P8" s="15" t="n"/>
      <c r="Q8" s="15" t="n"/>
    </row>
    <row r="9">
      <c r="A9" s="13" t="inlineStr">
        <is>
          <t>PR08</t>
        </is>
      </c>
      <c r="B9" s="13" t="inlineStr">
        <is>
          <t>Conciergerie de luxe</t>
        </is>
      </c>
      <c r="C9" s="13" t="inlineStr">
        <is>
          <t>1. Conciergeries lifestyle à Paris</t>
        </is>
      </c>
      <c r="D9" s="13" t="inlineStr">
        <is>
          <t>Mister Concierge, Art de Vie, Avant-Garde Conciergerie, RH Conciergerie Privée</t>
        </is>
      </c>
      <c r="E9" s="13" t="inlineStr">
        <is>
          <t>Autres conciergeries de luxe citées par les comparatifs 2026.</t>
        </is>
      </c>
      <c r="F9" s="13" t="inlineStr">
        <is>
          <t>BtoC premium</t>
        </is>
      </c>
      <c r="G9" s="14" t="inlineStr">
        <is>
          <t>À qualifier une par une.</t>
        </is>
      </c>
      <c r="H9" s="14" t="inlineStr">
        <is>
          <t>Commission</t>
        </is>
      </c>
      <c r="I9" s="13" t="inlineStr">
        <is>
          <t>Direction</t>
        </is>
      </c>
      <c r="J9" s="13" t="inlineStr">
        <is>
          <t>C</t>
        </is>
      </c>
      <c r="K9" s="13" t="inlineStr">
        <is>
          <t>Comparatif commercial</t>
        </is>
      </c>
      <c r="L9" s="13" t="inlineStr">
        <is>
          <t>S1, S3</t>
        </is>
      </c>
      <c r="M9" s="15" t="inlineStr">
        <is>
          <t>À qualifier</t>
        </is>
      </c>
      <c r="N9" s="16" t="n"/>
      <c r="O9" s="15" t="inlineStr">
        <is>
          <t>Identifier l'interlocuteur</t>
        </is>
      </c>
      <c r="P9" s="15" t="n"/>
      <c r="Q9" s="15" t="n"/>
    </row>
    <row r="10">
      <c r="A10" s="13" t="inlineStr">
        <is>
          <t>PR09</t>
        </is>
      </c>
      <c r="B10" s="13" t="inlineStr">
        <is>
          <t>Conciergerie de luxe</t>
        </is>
      </c>
      <c r="C10" s="13" t="inlineStr">
        <is>
          <t>1. Conciergeries lifestyle à Paris</t>
        </is>
      </c>
      <c r="D10" s="13" t="inlineStr">
        <is>
          <t>Jani Properties Conciergerie</t>
        </is>
      </c>
      <c r="E10" s="13" t="inlineStr">
        <is>
          <t>Service parisien pour clientèle VIP : transport privé, hébergement, événementiel.</t>
        </is>
      </c>
      <c r="F10" s="13" t="inlineStr">
        <is>
          <t>International</t>
        </is>
      </c>
      <c r="G10" s="14" t="inlineStr">
        <is>
          <t>Relais VIP.</t>
        </is>
      </c>
      <c r="H10" s="14" t="inlineStr">
        <is>
          <t>Commission</t>
        </is>
      </c>
      <c r="I10" s="13" t="inlineStr">
        <is>
          <t>Direction</t>
        </is>
      </c>
      <c r="J10" s="13" t="inlineStr">
        <is>
          <t>C</t>
        </is>
      </c>
      <c r="K10" s="13" t="inlineStr">
        <is>
          <t>Site / annonce</t>
        </is>
      </c>
      <c r="L10" s="13" t="inlineStr">
        <is>
          <t>S4</t>
        </is>
      </c>
      <c r="M10" s="15" t="inlineStr">
        <is>
          <t>À qualifier</t>
        </is>
      </c>
      <c r="N10" s="16" t="n"/>
      <c r="O10" s="15" t="inlineStr">
        <is>
          <t>Identifier l'interlocuteur</t>
        </is>
      </c>
      <c r="P10" s="15" t="n"/>
      <c r="Q10" s="15" t="n"/>
    </row>
    <row r="11">
      <c r="A11" s="13" t="inlineStr">
        <is>
          <t>PR10</t>
        </is>
      </c>
      <c r="B11" s="13" t="inlineStr">
        <is>
          <t>Conciergerie de luxe</t>
        </is>
      </c>
      <c r="C11" s="13" t="inlineStr">
        <is>
          <t>2. Conciergeries de réseau / entreprise</t>
        </is>
      </c>
      <c r="D11" s="13" t="inlineStr">
        <is>
          <t>John Paul (groupe Accor)</t>
        </is>
      </c>
      <c r="E11" s="13" t="inlineStr">
        <is>
          <t>Conciergerie premium : recrute des « concierges premium » à Paris ; programmes de fidélisation pour marques et entreprises.</t>
        </is>
      </c>
      <c r="F11" s="13" t="inlineStr">
        <is>
          <t>BtoC premium via marques, BtoB</t>
        </is>
      </c>
      <c r="G11" s="14" t="inlineStr">
        <is>
          <t>Gère les programmes de clients premium de grandes marques.</t>
        </is>
      </c>
      <c r="H11" s="14" t="inlineStr">
        <is>
          <t>Référencement dans le catalogue d'expériences</t>
        </is>
      </c>
      <c r="I11" s="13" t="inlineStr">
        <is>
          <t>Responsable des partenariats</t>
        </is>
      </c>
      <c r="J11" s="13" t="inlineStr">
        <is>
          <t>A</t>
        </is>
      </c>
      <c r="K11" s="13" t="inlineStr">
        <is>
          <t>Offres d'emploi (Journal des Palaces)</t>
        </is>
      </c>
      <c r="L11" s="13" t="inlineStr">
        <is>
          <t>S5</t>
        </is>
      </c>
      <c r="M11" s="15" t="inlineStr">
        <is>
          <t>À qualifier</t>
        </is>
      </c>
      <c r="N11" s="16" t="n"/>
      <c r="O11" s="15" t="inlineStr">
        <is>
          <t>Identifier l'interlocuteur</t>
        </is>
      </c>
      <c r="P11" s="15" t="n"/>
      <c r="Q11" s="15" t="n"/>
    </row>
    <row r="12">
      <c r="A12" s="13" t="inlineStr">
        <is>
          <t>PR11</t>
        </is>
      </c>
      <c r="B12" s="13" t="inlineStr">
        <is>
          <t>Conciergerie de luxe</t>
        </is>
      </c>
      <c r="C12" s="13" t="inlineStr">
        <is>
          <t>2. Conciergeries de réseau / entreprise</t>
        </is>
      </c>
      <c r="D12" s="13" t="inlineStr">
        <is>
          <t>Quintessentially</t>
        </is>
      </c>
      <c r="E12" s="13" t="inlineStr">
        <is>
          <t>Conciergerie internationale sur adhésion (citée sur des forums de voyageurs ; présence parisienne à vérifier).</t>
        </is>
      </c>
      <c r="F12" s="13" t="inlineStr">
        <is>
          <t>International, BtoC premium</t>
        </is>
      </c>
      <c r="G12" s="14" t="inlineStr">
        <is>
          <t>Membres ultra-premium.</t>
        </is>
      </c>
      <c r="H12" s="14" t="inlineStr">
        <is>
          <t>Commission</t>
        </is>
      </c>
      <c r="I12" s="13" t="inlineStr">
        <is>
          <t>Responsable des partenariats</t>
        </is>
      </c>
      <c r="J12" s="13" t="inlineStr">
        <is>
          <t>A</t>
        </is>
      </c>
      <c r="K12" s="13" t="inlineStr">
        <is>
          <t>Forum (anecdotique)</t>
        </is>
      </c>
      <c r="L12" s="13" t="inlineStr">
        <is>
          <t>S6</t>
        </is>
      </c>
      <c r="M12" s="15" t="inlineStr">
        <is>
          <t>À qualifier</t>
        </is>
      </c>
      <c r="N12" s="16" t="n"/>
      <c r="O12" s="15" t="inlineStr">
        <is>
          <t>Identifier l'interlocuteur</t>
        </is>
      </c>
      <c r="P12" s="15" t="n"/>
      <c r="Q12" s="15" t="n"/>
    </row>
    <row r="13">
      <c r="A13" s="13" t="inlineStr">
        <is>
          <t>PR12</t>
        </is>
      </c>
      <c r="B13" s="13" t="inlineStr">
        <is>
          <t>Conciergerie de luxe</t>
        </is>
      </c>
      <c r="C13" s="13" t="inlineStr">
        <is>
          <t>2. Conciergeries de réseau / entreprise</t>
        </is>
      </c>
      <c r="D13" s="13" t="inlineStr">
        <is>
          <t>Ten Lifestyle Group ; Generali Concierge Services</t>
        </is>
      </c>
      <c r="E13" s="13" t="inlineStr">
        <is>
          <t>Conciergeries pour banques et assureurs (Generali cité dans des offres d'emploi parisiennes ; Ten à vérifier).</t>
        </is>
      </c>
      <c r="F13" s="13" t="inlineStr">
        <is>
          <t>Porteurs de cartes, clients d'assureurs</t>
        </is>
      </c>
      <c r="G13" s="14" t="inlineStr">
        <is>
          <t>Accès indirect à des milliers de clients premium.</t>
        </is>
      </c>
      <c r="H13" s="14" t="inlineStr">
        <is>
          <t>Référencement</t>
        </is>
      </c>
      <c r="I13" s="13" t="inlineStr">
        <is>
          <t>Responsable de l'offre expériences</t>
        </is>
      </c>
      <c r="J13" s="13" t="inlineStr">
        <is>
          <t>B</t>
        </is>
      </c>
      <c r="K13" s="13" t="inlineStr">
        <is>
          <t>Offres d'emploi</t>
        </is>
      </c>
      <c r="L13" s="13" t="inlineStr">
        <is>
          <t>S5</t>
        </is>
      </c>
      <c r="M13" s="15" t="inlineStr">
        <is>
          <t>À qualifier</t>
        </is>
      </c>
      <c r="N13" s="16" t="n"/>
      <c r="O13" s="15" t="inlineStr">
        <is>
          <t>Identifier l'interlocuteur</t>
        </is>
      </c>
      <c r="P13" s="15" t="n"/>
      <c r="Q13" s="15" t="n"/>
    </row>
    <row r="14">
      <c r="A14" s="17" t="inlineStr">
        <is>
          <t>PR13</t>
        </is>
      </c>
      <c r="B14" s="18" t="inlineStr">
        <is>
          <t>Autre prescripteur</t>
        </is>
      </c>
      <c r="C14" s="17" t="inlineStr">
        <is>
          <t>3. Concierges d'hôtels et palaces</t>
        </is>
      </c>
      <c r="D14" s="17" t="inlineStr">
        <is>
          <t>Les Clefs d'Or France (association des concierges d'hôtels)</t>
        </is>
      </c>
      <c r="E14" s="17" t="inlineStr">
        <is>
          <t>Section française de l'Union internationale (≈ 4 000 membres dans 80 pays) ; 420 adhérents en France (chiffre ancien) ; 30 nouveaux membres en 2025, une vingtaine en mai 2026.</t>
        </is>
      </c>
      <c r="F14" s="17" t="inlineStr">
        <is>
          <t>International, palaces</t>
        </is>
      </c>
      <c r="G14" s="14" t="inlineStr">
        <is>
          <t>Les chefs concierges des palaces recommandent chaque soir des tables à des clients très fortunés.</t>
        </is>
      </c>
      <c r="H14" s="14" t="inlineStr">
        <is>
          <t>Invitation à une soirée test ; commission</t>
        </is>
      </c>
      <c r="I14" s="17" t="inlineStr">
        <is>
          <t>Bureau de l'association</t>
        </is>
      </c>
      <c r="J14" s="17" t="inlineStr">
        <is>
          <t>A</t>
        </is>
      </c>
      <c r="K14" s="17" t="inlineStr">
        <is>
          <t>Presse spécialisée</t>
        </is>
      </c>
      <c r="L14" s="17" t="inlineStr">
        <is>
          <t>S7, S8, S9</t>
        </is>
      </c>
      <c r="M14" s="15" t="inlineStr">
        <is>
          <t>À qualifier</t>
        </is>
      </c>
      <c r="N14" s="16" t="n"/>
      <c r="O14" s="15" t="inlineStr">
        <is>
          <t>Identifier l'interlocuteur</t>
        </is>
      </c>
      <c r="P14" s="15" t="n"/>
      <c r="Q14" s="15" t="n"/>
    </row>
    <row r="15">
      <c r="A15" s="17" t="inlineStr">
        <is>
          <t>PR14</t>
        </is>
      </c>
      <c r="B15" s="18" t="inlineStr">
        <is>
          <t>Autre prescripteur</t>
        </is>
      </c>
      <c r="C15" s="17" t="inlineStr">
        <is>
          <t>3. Concierges d'hôtels et palaces</t>
        </is>
      </c>
      <c r="D15" s="17" t="inlineStr">
        <is>
          <t>Chefs concierges des palaces parisiens (un par un)</t>
        </is>
      </c>
      <c r="E15" s="17" t="inlineStr">
        <is>
          <t>Proposition : démarcher directement les concierges Clefs d'Or des palaces et grands hôtels.</t>
        </is>
      </c>
      <c r="F15" s="17" t="inlineStr">
        <is>
          <t>International</t>
        </is>
      </c>
      <c r="G15" s="14" t="inlineStr">
        <is>
          <t>Relais le plus direct vers la clientèle internationale.</t>
        </is>
      </c>
      <c r="H15" s="14" t="inlineStr">
        <is>
          <t>Soirée découverte offerte ; commission</t>
        </is>
      </c>
      <c r="I15" s="17" t="inlineStr">
        <is>
          <t>Chef concierge</t>
        </is>
      </c>
      <c r="J15" s="17" t="inlineStr">
        <is>
          <t>A</t>
        </is>
      </c>
      <c r="K15" s="17" t="inlineStr">
        <is>
          <t>Proposition</t>
        </is>
      </c>
      <c r="L15" s="17" t="inlineStr">
        <is>
          <t>—</t>
        </is>
      </c>
      <c r="M15" s="15" t="inlineStr">
        <is>
          <t>À qualifier</t>
        </is>
      </c>
      <c r="N15" s="16" t="n"/>
      <c r="O15" s="15" t="inlineStr">
        <is>
          <t>Identifier l'interlocuteur</t>
        </is>
      </c>
      <c r="P15" s="15" t="n"/>
      <c r="Q15" s="15" t="n"/>
    </row>
    <row r="16">
      <c r="A16" s="17" t="inlineStr">
        <is>
          <t>PR15</t>
        </is>
      </c>
      <c r="B16" s="18" t="inlineStr">
        <is>
          <t>Autre prescripteur</t>
        </is>
      </c>
      <c r="C16" s="17" t="inlineStr">
        <is>
          <t>3. Concierges d'hôtels et palaces</t>
        </is>
      </c>
      <c r="D16" s="17" t="inlineStr">
        <is>
          <t>Forbes Travel Guide — Chairman's Club</t>
        </is>
      </c>
      <c r="E16" s="17" t="inlineStr">
        <is>
          <t>Dîner organisé à Paris en août 2025 avec des directeurs d'hôtels et une dizaine de clients très fortunés.</t>
        </is>
      </c>
      <c r="F16" s="17" t="inlineStr">
        <is>
          <t>UHNW international</t>
        </is>
      </c>
      <c r="G16" s="14" t="inlineStr">
        <is>
          <t>Réseau qui organise déjà des dîners privés pour une clientèle très fortunée.</t>
        </is>
      </c>
      <c r="H16" s="14" t="inlineStr">
        <is>
          <t>Coproduction d'un dîner</t>
        </is>
      </c>
      <c r="I16" s="17" t="inlineStr">
        <is>
          <t>Responsable du Chairman's Club</t>
        </is>
      </c>
      <c r="J16" s="17" t="inlineStr">
        <is>
          <t>B</t>
        </is>
      </c>
      <c r="K16" s="17" t="inlineStr">
        <is>
          <t>Presse spécialisée</t>
        </is>
      </c>
      <c r="L16" s="17" t="inlineStr">
        <is>
          <t>S10</t>
        </is>
      </c>
      <c r="M16" s="15" t="inlineStr">
        <is>
          <t>À qualifier</t>
        </is>
      </c>
      <c r="N16" s="16" t="n"/>
      <c r="O16" s="15" t="inlineStr">
        <is>
          <t>Identifier l'interlocuteur</t>
        </is>
      </c>
      <c r="P16" s="15" t="n"/>
      <c r="Q16" s="15" t="n"/>
    </row>
    <row r="17">
      <c r="A17" s="17" t="inlineStr">
        <is>
          <t>PR16</t>
        </is>
      </c>
      <c r="B17" s="18" t="inlineStr">
        <is>
          <t>Autre prescripteur</t>
        </is>
      </c>
      <c r="C17" s="17" t="inlineStr">
        <is>
          <t>4. Cartes bancaires premium</t>
        </is>
      </c>
      <c r="D17" s="17" t="inlineStr">
        <is>
          <t>American Express Centurion et Platinum (conciergerie)</t>
        </is>
      </c>
      <c r="E17" s="17" t="inlineStr">
        <is>
          <t>Centurion sur invitation (cotisation ≈ 4 000 €/an) ; Platinum avec conciergerie 24h/24 (≈ 708 €/an).</t>
        </is>
      </c>
      <c r="F17" s="17" t="inlineStr">
        <is>
          <t>BtoC premium</t>
        </is>
      </c>
      <c r="G17" s="14" t="inlineStr">
        <is>
          <t>Les conciergeries de cartes cherchent des expériences exclusives à proposer.</t>
        </is>
      </c>
      <c r="H17" s="14" t="inlineStr">
        <is>
          <t>Accès réservé aux porteurs ; places en avant-première</t>
        </is>
      </c>
      <c r="I17" s="17" t="inlineStr">
        <is>
          <t>Responsable des partenariats expériences</t>
        </is>
      </c>
      <c r="J17" s="17" t="inlineStr">
        <is>
          <t>A</t>
        </is>
      </c>
      <c r="K17" s="17" t="inlineStr">
        <is>
          <t>Comparatif bancaire</t>
        </is>
      </c>
      <c r="L17" s="17" t="inlineStr">
        <is>
          <t>S11</t>
        </is>
      </c>
      <c r="M17" s="15" t="inlineStr">
        <is>
          <t>À qualifier</t>
        </is>
      </c>
      <c r="N17" s="16" t="n"/>
      <c r="O17" s="15" t="inlineStr">
        <is>
          <t>Identifier l'interlocuteur</t>
        </is>
      </c>
      <c r="P17" s="15" t="n"/>
      <c r="Q17" s="15" t="n"/>
    </row>
    <row r="18">
      <c r="A18" s="17" t="inlineStr">
        <is>
          <t>PR17</t>
        </is>
      </c>
      <c r="B18" s="18" t="inlineStr">
        <is>
          <t>Autre prescripteur</t>
        </is>
      </c>
      <c r="C18" s="17" t="inlineStr">
        <is>
          <t>4. Cartes bancaires premium</t>
        </is>
      </c>
      <c r="D18" s="17" t="inlineStr">
        <is>
          <t>Mastercard World Elite / World Legend — Priceless</t>
        </is>
      </c>
      <c r="E18" s="17" t="inlineStr">
        <is>
          <t>Programme Priceless : expériences exclusives (gastronomie, culture) ; World Legend lancée en juillet 2025.</t>
        </is>
      </c>
      <c r="F18" s="17" t="inlineStr">
        <is>
          <t>BtoC premium</t>
        </is>
      </c>
      <c r="G18" s="14" t="inlineStr">
        <is>
          <t>Plateforme d'expériences gastronomiques existante.</t>
        </is>
      </c>
      <c r="H18" s="14" t="inlineStr">
        <is>
          <t>Référencement Priceless</t>
        </is>
      </c>
      <c r="I18" s="17" t="inlineStr">
        <is>
          <t>Équipe Priceless France</t>
        </is>
      </c>
      <c r="J18" s="17" t="inlineStr">
        <is>
          <t>B</t>
        </is>
      </c>
      <c r="K18" s="17" t="inlineStr">
        <is>
          <t>Comparatif bancaire</t>
        </is>
      </c>
      <c r="L18" s="17" t="inlineStr">
        <is>
          <t>S12</t>
        </is>
      </c>
      <c r="M18" s="15" t="inlineStr">
        <is>
          <t>À qualifier</t>
        </is>
      </c>
      <c r="N18" s="16" t="n"/>
      <c r="O18" s="15" t="inlineStr">
        <is>
          <t>Identifier l'interlocuteur</t>
        </is>
      </c>
      <c r="P18" s="15" t="n"/>
      <c r="Q18" s="15" t="n"/>
    </row>
    <row r="19">
      <c r="A19" s="17" t="inlineStr">
        <is>
          <t>PR18</t>
        </is>
      </c>
      <c r="B19" s="18" t="inlineStr">
        <is>
          <t>Autre prescripteur</t>
        </is>
      </c>
      <c r="C19" s="17" t="inlineStr">
        <is>
          <t>4. Cartes bancaires premium</t>
        </is>
      </c>
      <c r="D19" s="17" t="inlineStr">
        <is>
          <t>Visa Infinite (conciergerie)</t>
        </is>
      </c>
      <c r="E19" s="17" t="inlineStr">
        <is>
          <t>Carte premium avec conciergerie (revenus ≈ 60 000 €/an demandés, 300 à 400 €/an).</t>
        </is>
      </c>
      <c r="F19" s="17" t="inlineStr">
        <is>
          <t>BtoC premium</t>
        </is>
      </c>
      <c r="G19" s="14" t="inlineStr">
        <is>
          <t>Même logique que Priceless.</t>
        </is>
      </c>
      <c r="H19" s="14" t="inlineStr">
        <is>
          <t>Référencement</t>
        </is>
      </c>
      <c r="I19" s="17" t="inlineStr">
        <is>
          <t>Équipe partenariats Visa France</t>
        </is>
      </c>
      <c r="J19" s="17" t="inlineStr">
        <is>
          <t>C</t>
        </is>
      </c>
      <c r="K19" s="17" t="inlineStr">
        <is>
          <t>Comparatif bancaire</t>
        </is>
      </c>
      <c r="L19" s="17" t="inlineStr">
        <is>
          <t>S12</t>
        </is>
      </c>
      <c r="M19" s="15" t="inlineStr">
        <is>
          <t>À qualifier</t>
        </is>
      </c>
      <c r="N19" s="16" t="n"/>
      <c r="O19" s="15" t="inlineStr">
        <is>
          <t>Identifier l'interlocuteur</t>
        </is>
      </c>
      <c r="P19" s="15" t="n"/>
      <c r="Q19" s="15" t="n"/>
    </row>
    <row r="20">
      <c r="A20" s="17" t="inlineStr">
        <is>
          <t>PR19</t>
        </is>
      </c>
      <c r="B20" s="18" t="inlineStr">
        <is>
          <t>Autre prescripteur</t>
        </is>
      </c>
      <c r="C20" s="17" t="inlineStr">
        <is>
          <t>5. Agences de voyage de luxe et DMC</t>
        </is>
      </c>
      <c r="D20" s="17" t="inlineStr">
        <is>
          <t>Le Connoisseur</t>
        </is>
      </c>
      <c r="E20" s="17" t="inlineStr">
        <is>
          <t>Agence réceptive parisienne (DMC) : expériences locales, gastronomie, métiers d'art, lieux d'exception.</t>
        </is>
      </c>
      <c r="F20" s="17" t="inlineStr">
        <is>
          <t>International</t>
        </is>
      </c>
      <c r="G20" s="14" t="inlineStr">
        <is>
          <t>Vend déjà des expériences gastronomiques privées à Paris.</t>
        </is>
      </c>
      <c r="H20" s="14" t="inlineStr">
        <is>
          <t>Commission revendeur</t>
        </is>
      </c>
      <c r="I20" s="17" t="inlineStr">
        <is>
          <t>Direction</t>
        </is>
      </c>
      <c r="J20" s="17" t="inlineStr">
        <is>
          <t>A</t>
        </is>
      </c>
      <c r="K20" s="17" t="inlineStr">
        <is>
          <t>Site de l'agence</t>
        </is>
      </c>
      <c r="L20" s="17" t="inlineStr">
        <is>
          <t>S13</t>
        </is>
      </c>
      <c r="M20" s="15" t="inlineStr">
        <is>
          <t>À qualifier</t>
        </is>
      </c>
      <c r="N20" s="16" t="n"/>
      <c r="O20" s="15" t="inlineStr">
        <is>
          <t>Identifier l'interlocuteur</t>
        </is>
      </c>
      <c r="P20" s="15" t="n"/>
      <c r="Q20" s="15" t="n"/>
    </row>
    <row r="21">
      <c r="A21" s="17" t="inlineStr">
        <is>
          <t>PR20</t>
        </is>
      </c>
      <c r="B21" s="18" t="inlineStr">
        <is>
          <t>Autre prescripteur</t>
        </is>
      </c>
      <c r="C21" s="17" t="inlineStr">
        <is>
          <t>5. Agences de voyage de luxe et DMC</t>
        </is>
      </c>
      <c r="D21" s="17" t="inlineStr">
        <is>
          <t>WeTasteParis</t>
        </is>
      </c>
      <c r="E21" s="17" t="inlineStr">
        <is>
          <t>DMC d'expériences culinaires et œnologiques haut de gamme (Paris, Champagne), pour concepteurs de voyages et agences de luxe.</t>
        </is>
      </c>
      <c r="F21" s="17" t="inlineStr">
        <is>
          <t>International, agences</t>
        </is>
      </c>
      <c r="G21" s="14" t="inlineStr">
        <is>
          <t>Distribue vers les agences de luxe : effet multiplicateur.</t>
        </is>
      </c>
      <c r="H21" s="14" t="inlineStr">
        <is>
          <t>Commission revendeur</t>
        </is>
      </c>
      <c r="I21" s="17" t="inlineStr">
        <is>
          <t>Partenariats</t>
        </is>
      </c>
      <c r="J21" s="17" t="inlineStr">
        <is>
          <t>A</t>
        </is>
      </c>
      <c r="K21" s="17" t="inlineStr">
        <is>
          <t>Site de l'agence</t>
        </is>
      </c>
      <c r="L21" s="17" t="inlineStr">
        <is>
          <t>S14</t>
        </is>
      </c>
      <c r="M21" s="15" t="inlineStr">
        <is>
          <t>À qualifier</t>
        </is>
      </c>
      <c r="N21" s="16" t="n"/>
      <c r="O21" s="15" t="inlineStr">
        <is>
          <t>Identifier l'interlocuteur</t>
        </is>
      </c>
      <c r="P21" s="15" t="n"/>
      <c r="Q21" s="15" t="n"/>
    </row>
    <row r="22">
      <c r="A22" s="17" t="inlineStr">
        <is>
          <t>PR21</t>
        </is>
      </c>
      <c r="B22" s="18" t="inlineStr">
        <is>
          <t>Autre prescripteur</t>
        </is>
      </c>
      <c r="C22" s="17" t="inlineStr">
        <is>
          <t>5. Agences de voyage de luxe et DMC</t>
        </is>
      </c>
      <c r="D22" s="17" t="inlineStr">
        <is>
          <t>Finding France ; La Voyagiste Paris ; Eluxfrance</t>
        </is>
      </c>
      <c r="E22" s="17" t="inlineStr">
        <is>
          <t>DMC et agences de voyages privés haut de gamme (palaces, chauffeurs, tables étoilées).</t>
        </is>
      </c>
      <c r="F22" s="17" t="inlineStr">
        <is>
          <t>International</t>
        </is>
      </c>
      <c r="G22" s="14" t="inlineStr">
        <is>
          <t>Clients en séjour à Paris.</t>
        </is>
      </c>
      <c r="H22" s="14" t="inlineStr">
        <is>
          <t>Commission revendeur</t>
        </is>
      </c>
      <c r="I22" s="17" t="inlineStr">
        <is>
          <t>Direction</t>
        </is>
      </c>
      <c r="J22" s="17" t="inlineStr">
        <is>
          <t>B</t>
        </is>
      </c>
      <c r="K22" s="17" t="inlineStr">
        <is>
          <t>Sites des agences</t>
        </is>
      </c>
      <c r="L22" s="17" t="inlineStr">
        <is>
          <t>S15, S16, S17</t>
        </is>
      </c>
      <c r="M22" s="15" t="inlineStr">
        <is>
          <t>À qualifier</t>
        </is>
      </c>
      <c r="N22" s="16" t="n"/>
      <c r="O22" s="15" t="inlineStr">
        <is>
          <t>Identifier l'interlocuteur</t>
        </is>
      </c>
      <c r="P22" s="15" t="n"/>
      <c r="Q22" s="15" t="n"/>
    </row>
    <row r="23">
      <c r="A23" s="17" t="inlineStr">
        <is>
          <t>PR22</t>
        </is>
      </c>
      <c r="B23" s="18" t="inlineStr">
        <is>
          <t>Autre prescripteur</t>
        </is>
      </c>
      <c r="C23" s="17" t="inlineStr">
        <is>
          <t>5. Agences de voyage de luxe et DMC</t>
        </is>
      </c>
      <c r="D23" s="17" t="inlineStr">
        <is>
          <t>Hautes Expériences</t>
        </is>
      </c>
      <c r="E23" s="17" t="inlineStr">
        <is>
          <t>Agence événementielle de luxe en gastronomie expérientielle (repas immersifs, lieux insolites).</t>
        </is>
      </c>
      <c r="F23" s="17" t="inlineStr">
        <is>
          <t>BtoB, BtoC premium</t>
        </is>
      </c>
      <c r="G23" s="14" t="inlineStr">
        <is>
          <t>Concurrent-partenaire : à étudier avant toute proposition.</t>
        </is>
      </c>
      <c r="H23" s="14" t="inlineStr">
        <is>
          <t>Coproduction éventuelle</t>
        </is>
      </c>
      <c r="I23" s="17" t="inlineStr">
        <is>
          <t>Direction</t>
        </is>
      </c>
      <c r="J23" s="17" t="inlineStr">
        <is>
          <t>B</t>
        </is>
      </c>
      <c r="K23" s="17" t="inlineStr">
        <is>
          <t>Site de l'agence</t>
        </is>
      </c>
      <c r="L23" s="17" t="inlineStr">
        <is>
          <t>S18</t>
        </is>
      </c>
      <c r="M23" s="15" t="inlineStr">
        <is>
          <t>À qualifier</t>
        </is>
      </c>
      <c r="N23" s="16" t="n"/>
      <c r="O23" s="15" t="inlineStr">
        <is>
          <t>Identifier l'interlocuteur</t>
        </is>
      </c>
      <c r="P23" s="15" t="n"/>
      <c r="Q23" s="15" t="n"/>
    </row>
    <row r="24">
      <c r="A24" s="17" t="inlineStr">
        <is>
          <t>PR23</t>
        </is>
      </c>
      <c r="B24" s="18" t="inlineStr">
        <is>
          <t>Autre prescripteur</t>
        </is>
      </c>
      <c r="C24" s="17" t="inlineStr">
        <is>
          <t>5. Agences de voyage de luxe et DMC</t>
        </is>
      </c>
      <c r="D24" s="17" t="inlineStr">
        <is>
          <t>Eating Europe ; ByFood (visites et expériences privées)</t>
        </is>
      </c>
      <c r="E24" s="17" t="inlineStr">
        <is>
          <t>Opérateurs de visites gastronomiques privées ; ByFood propose aussi des expériences de luxe (Champagne, Dom Pérignon).</t>
        </is>
      </c>
      <c r="F24" s="17" t="inlineStr">
        <is>
          <t>International</t>
        </is>
      </c>
      <c r="G24" s="14" t="inlineStr">
        <is>
          <t>Prolonger une visite par un dîner Pop Tables.</t>
        </is>
      </c>
      <c r="H24" s="14" t="inlineStr">
        <is>
          <t>Commission</t>
        </is>
      </c>
      <c r="I24" s="17" t="inlineStr">
        <is>
          <t>Partenariats</t>
        </is>
      </c>
      <c r="J24" s="17" t="inlineStr">
        <is>
          <t>C</t>
        </is>
      </c>
      <c r="K24" s="17" t="inlineStr">
        <is>
          <t>Sites des opérateurs</t>
        </is>
      </c>
      <c r="L24" s="17" t="inlineStr">
        <is>
          <t>S19, S20</t>
        </is>
      </c>
      <c r="M24" s="15" t="inlineStr">
        <is>
          <t>À qualifier</t>
        </is>
      </c>
      <c r="N24" s="16" t="n"/>
      <c r="O24" s="15" t="inlineStr">
        <is>
          <t>Identifier l'interlocuteur</t>
        </is>
      </c>
      <c r="P24" s="15" t="n"/>
      <c r="Q24" s="15" t="n"/>
    </row>
    <row r="25">
      <c r="A25" s="17" t="inlineStr">
        <is>
          <t>PR24</t>
        </is>
      </c>
      <c r="B25" s="18" t="inlineStr">
        <is>
          <t>Autre prescripteur</t>
        </is>
      </c>
      <c r="C25" s="17" t="inlineStr">
        <is>
          <t>6. Médias, guides et influence food</t>
        </is>
      </c>
      <c r="D25" s="17" t="inlineStr">
        <is>
          <t>Le Fooding</t>
        </is>
      </c>
      <c r="E25" s="17" t="inlineStr">
        <is>
          <t>Guide et média de référence ; agenda des résidences et dîners éphémères.</t>
        </is>
      </c>
      <c r="F25" s="17" t="inlineStr">
        <is>
          <t>Foodies</t>
        </is>
      </c>
      <c r="G25" s="14" t="inlineStr">
        <is>
          <t>La communauté foodie parisienne lit son agenda.</t>
        </is>
      </c>
      <c r="H25" s="14" t="inlineStr">
        <is>
          <t>Partenariat éditorial / annonce des drops</t>
        </is>
      </c>
      <c r="I25" s="17" t="inlineStr">
        <is>
          <t>Rédaction / partenariats</t>
        </is>
      </c>
      <c r="J25" s="17" t="inlineStr">
        <is>
          <t>A</t>
        </is>
      </c>
      <c r="K25" s="17" t="inlineStr">
        <is>
          <t>Média</t>
        </is>
      </c>
      <c r="L25" s="17" t="inlineStr">
        <is>
          <t>S21</t>
        </is>
      </c>
      <c r="M25" s="15" t="inlineStr">
        <is>
          <t>À qualifier</t>
        </is>
      </c>
      <c r="N25" s="16" t="n"/>
      <c r="O25" s="15" t="inlineStr">
        <is>
          <t>Identifier l'interlocuteur</t>
        </is>
      </c>
      <c r="P25" s="15" t="n"/>
      <c r="Q25" s="15" t="n"/>
    </row>
    <row r="26">
      <c r="A26" s="17" t="inlineStr">
        <is>
          <t>PR25</t>
        </is>
      </c>
      <c r="B26" s="18" t="inlineStr">
        <is>
          <t>Autre prescripteur</t>
        </is>
      </c>
      <c r="C26" s="17" t="inlineStr">
        <is>
          <t>6. Médias, guides et influence food</t>
        </is>
      </c>
      <c r="D26" s="17" t="inlineStr">
        <is>
          <t>Paris by Mouth</t>
        </is>
      </c>
      <c r="E26" s="17" t="inlineStr">
        <is>
          <t>Média anglophone sur la gastronomie parisienne (critique, actualité des ouvertures et fermetures).</t>
        </is>
      </c>
      <c r="F26" s="17" t="inlineStr">
        <is>
          <t>Foodies, international</t>
        </is>
      </c>
      <c r="G26" s="14" t="inlineStr">
        <is>
          <t>Touche les foodies anglophones de passage ou installés à Paris.</t>
        </is>
      </c>
      <c r="H26" s="14" t="inlineStr">
        <is>
          <t>Article, partenariat</t>
        </is>
      </c>
      <c r="I26" s="17" t="inlineStr">
        <is>
          <t>Rédaction</t>
        </is>
      </c>
      <c r="J26" s="17" t="inlineStr">
        <is>
          <t>B</t>
        </is>
      </c>
      <c r="K26" s="17" t="inlineStr">
        <is>
          <t>Média</t>
        </is>
      </c>
      <c r="L26" s="17" t="inlineStr">
        <is>
          <t>S22</t>
        </is>
      </c>
      <c r="M26" s="15" t="inlineStr">
        <is>
          <t>À qualifier</t>
        </is>
      </c>
      <c r="N26" s="16" t="n"/>
      <c r="O26" s="15" t="inlineStr">
        <is>
          <t>Identifier l'interlocuteur</t>
        </is>
      </c>
      <c r="P26" s="15" t="n"/>
      <c r="Q26" s="15" t="n"/>
    </row>
    <row r="27">
      <c r="A27" s="17" t="inlineStr">
        <is>
          <t>PR26</t>
        </is>
      </c>
      <c r="B27" s="18" t="inlineStr">
        <is>
          <t>Autre prescripteur</t>
        </is>
      </c>
      <c r="C27" s="17" t="inlineStr">
        <is>
          <t>6. Médias, guides et influence food</t>
        </is>
      </c>
      <c r="D27" s="17" t="inlineStr">
        <is>
          <t>Fine Dining Lovers ; Gault&amp;Millau ; Guide Michelin (rubrique actualités)</t>
        </is>
      </c>
      <c r="E27" s="17" t="inlineStr">
        <is>
          <t>Médias gastronomiques qui couvrent pop-up et résidences de chefs.</t>
        </is>
      </c>
      <c r="F27" s="17" t="inlineStr">
        <is>
          <t>Foodies</t>
        </is>
      </c>
      <c r="G27" s="14" t="inlineStr">
        <is>
          <t>Crédibilité auprès des gastronomes.</t>
        </is>
      </c>
      <c r="H27" s="14" t="inlineStr">
        <is>
          <t>Relation presse</t>
        </is>
      </c>
      <c r="I27" s="17" t="inlineStr">
        <is>
          <t>Rédactions</t>
        </is>
      </c>
      <c r="J27" s="17" t="inlineStr">
        <is>
          <t>B</t>
        </is>
      </c>
      <c r="K27" s="17" t="inlineStr">
        <is>
          <t>Médias</t>
        </is>
      </c>
      <c r="L27" s="17" t="inlineStr">
        <is>
          <t>S23</t>
        </is>
      </c>
      <c r="M27" s="15" t="inlineStr">
        <is>
          <t>À qualifier</t>
        </is>
      </c>
      <c r="N27" s="16" t="n"/>
      <c r="O27" s="15" t="inlineStr">
        <is>
          <t>Identifier l'interlocuteur</t>
        </is>
      </c>
      <c r="P27" s="15" t="n"/>
      <c r="Q27" s="15" t="n"/>
    </row>
    <row r="28">
      <c r="A28" s="17" t="inlineStr">
        <is>
          <t>PR27</t>
        </is>
      </c>
      <c r="B28" s="18" t="inlineStr">
        <is>
          <t>Autre prescripteur</t>
        </is>
      </c>
      <c r="C28" s="17" t="inlineStr">
        <is>
          <t>6. Médias, guides et influence food</t>
        </is>
      </c>
      <c r="D28" s="17" t="inlineStr">
        <is>
          <t>LeParisFoodAlex (créatrice de contenu)</t>
        </is>
      </c>
      <c r="E28" s="17" t="inlineStr">
        <is>
          <t>Citée par Kolsquare parmi les figures de l'exploration gastronomique parisienne (juillet 2026).</t>
        </is>
      </c>
      <c r="F28" s="17" t="inlineStr">
        <is>
          <t>Foodies</t>
        </is>
      </c>
      <c r="G28" s="14" t="inlineStr">
        <is>
          <t>Micro-influence ciblée sur Paris.</t>
        </is>
      </c>
      <c r="H28" s="14" t="inlineStr">
        <is>
          <t>Invitation à une soirée</t>
        </is>
      </c>
      <c r="I28" s="17" t="inlineStr">
        <is>
          <t>Créatrice (compte professionnel)</t>
        </is>
      </c>
      <c r="J28" s="17" t="inlineStr">
        <is>
          <t>B</t>
        </is>
      </c>
      <c r="K28" s="17" t="inlineStr">
        <is>
          <t>Classement d'agence</t>
        </is>
      </c>
      <c r="L28" s="17" t="inlineStr">
        <is>
          <t>S24</t>
        </is>
      </c>
      <c r="M28" s="15" t="inlineStr">
        <is>
          <t>À qualifier</t>
        </is>
      </c>
      <c r="N28" s="16" t="n"/>
      <c r="O28" s="15" t="inlineStr">
        <is>
          <t>Identifier l'interlocuteur</t>
        </is>
      </c>
      <c r="P28" s="15" t="n"/>
      <c r="Q28" s="15" t="n"/>
    </row>
    <row r="29">
      <c r="A29" s="17" t="inlineStr">
        <is>
          <t>PR28</t>
        </is>
      </c>
      <c r="B29" s="18" t="inlineStr">
        <is>
          <t>Autre prescripteur</t>
        </is>
      </c>
      <c r="C29" s="17" t="inlineStr">
        <is>
          <t>6. Médias, guides et influence food</t>
        </is>
      </c>
      <c r="D29" s="17" t="inlineStr">
        <is>
          <t>Omnivore / Sirha Food (Luc Dubanchet)</t>
        </is>
      </c>
      <c r="E29" s="17" t="inlineStr">
        <is>
          <t>Événementiel gastronomique (festival Omnivore).</t>
        </is>
      </c>
      <c r="F29" s="17" t="inlineStr">
        <is>
          <t>Foodies, chefs</t>
        </is>
      </c>
      <c r="G29" s="14" t="inlineStr">
        <is>
          <t>Accès aux chefs et à la communauté foodie ; partenariat événementiel.</t>
        </is>
      </c>
      <c r="H29" s="14" t="inlineStr">
        <is>
          <t>Soirée off du festival</t>
        </is>
      </c>
      <c r="I29" s="17" t="inlineStr">
        <is>
          <t>Direction</t>
        </is>
      </c>
      <c r="J29" s="17" t="inlineStr">
        <is>
          <t>B</t>
        </is>
      </c>
      <c r="K29" s="17" t="inlineStr">
        <is>
          <t>Classement d'agence</t>
        </is>
      </c>
      <c r="L29" s="17" t="inlineStr">
        <is>
          <t>S25</t>
        </is>
      </c>
      <c r="M29" s="15" t="inlineStr">
        <is>
          <t>À qualifier</t>
        </is>
      </c>
      <c r="N29" s="16" t="n"/>
      <c r="O29" s="15" t="inlineStr">
        <is>
          <t>Identifier l'interlocuteur</t>
        </is>
      </c>
      <c r="P29" s="15" t="n"/>
      <c r="Q29" s="15" t="n"/>
    </row>
    <row r="30">
      <c r="A30" s="17" t="inlineStr">
        <is>
          <t>PR29</t>
        </is>
      </c>
      <c r="B30" s="18" t="inlineStr">
        <is>
          <t>Autre prescripteur</t>
        </is>
      </c>
      <c r="C30" s="17" t="inlineStr">
        <is>
          <t>7. Gestion de fortune et family offices</t>
        </is>
      </c>
      <c r="D30" s="17" t="inlineStr">
        <is>
          <t>AFFO — Association française des family offices</t>
        </is>
      </c>
      <c r="E30" s="17" t="inlineStr">
        <is>
          <t>Association dont MJ&amp;Cie (multi-family office parisien fondé en 2001) est membre.</t>
        </is>
      </c>
      <c r="F30" s="17" t="inlineStr">
        <is>
          <t>Familles fortunées</t>
        </is>
      </c>
      <c r="G30" s="14" t="inlineStr">
        <is>
          <t>Un seul interlocuteur pour toucher plusieurs family offices.</t>
        </is>
      </c>
      <c r="H30" s="14" t="inlineStr">
        <is>
          <t>Soirée pour membres</t>
        </is>
      </c>
      <c r="I30" s="17" t="inlineStr">
        <is>
          <t>Délégation générale</t>
        </is>
      </c>
      <c r="J30" s="17" t="inlineStr">
        <is>
          <t>B</t>
        </is>
      </c>
      <c r="K30" s="17" t="inlineStr">
        <is>
          <t>Annuaire spécialisé</t>
        </is>
      </c>
      <c r="L30" s="17" t="inlineStr">
        <is>
          <t>S26</t>
        </is>
      </c>
      <c r="M30" s="15" t="inlineStr">
        <is>
          <t>À qualifier</t>
        </is>
      </c>
      <c r="N30" s="16" t="n"/>
      <c r="O30" s="15" t="inlineStr">
        <is>
          <t>Identifier l'interlocuteur</t>
        </is>
      </c>
      <c r="P30" s="15" t="n"/>
      <c r="Q30" s="15" t="n"/>
    </row>
    <row r="31">
      <c r="A31" s="17" t="inlineStr">
        <is>
          <t>PR30</t>
        </is>
      </c>
      <c r="B31" s="18" t="inlineStr">
        <is>
          <t>Autre prescripteur</t>
        </is>
      </c>
      <c r="C31" s="17" t="inlineStr">
        <is>
          <t>7. Gestion de fortune et family offices</t>
        </is>
      </c>
      <c r="D31" s="17" t="inlineStr">
        <is>
          <t>Family offices parisiens : Sycomore Family Office, MJ&amp;Cie, Odax Wealth Partners</t>
        </is>
      </c>
      <c r="E31" s="17" t="inlineStr">
        <is>
          <t>Sycomore : plus d'1 Md€ pour une vingtaine de familles ; Odax : antenne aux Champs-Élysées.</t>
        </is>
      </c>
      <c r="F31" s="17" t="inlineStr">
        <is>
          <t>Familles fortunées</t>
        </is>
      </c>
      <c r="G31" s="14" t="inlineStr">
        <is>
          <t>Cadeau ou événement pour leurs familles clientes.</t>
        </is>
      </c>
      <c r="H31" s="14" t="inlineStr">
        <is>
          <t>Privatisation clé en main</t>
        </is>
      </c>
      <c r="I31" s="17" t="inlineStr">
        <is>
          <t>Associé·e / responsable relation client</t>
        </is>
      </c>
      <c r="J31" s="17" t="inlineStr">
        <is>
          <t>B</t>
        </is>
      </c>
      <c r="K31" s="17" t="inlineStr">
        <is>
          <t>Annuaires spécialisés</t>
        </is>
      </c>
      <c r="L31" s="17" t="inlineStr">
        <is>
          <t>S26, S27, S28</t>
        </is>
      </c>
      <c r="M31" s="15" t="inlineStr">
        <is>
          <t>À qualifier</t>
        </is>
      </c>
      <c r="N31" s="16" t="n"/>
      <c r="O31" s="15" t="inlineStr">
        <is>
          <t>Identifier l'interlocuteur</t>
        </is>
      </c>
      <c r="P31" s="15" t="n"/>
      <c r="Q31" s="15" t="n"/>
    </row>
    <row r="32">
      <c r="A32" s="17" t="inlineStr">
        <is>
          <t>PR31</t>
        </is>
      </c>
      <c r="B32" s="18" t="inlineStr">
        <is>
          <t>Autre prescripteur</t>
        </is>
      </c>
      <c r="C32" s="17" t="inlineStr">
        <is>
          <t>7. Gestion de fortune et family offices</t>
        </is>
      </c>
      <c r="D32" s="17" t="inlineStr">
        <is>
          <t>Banques privées (BNP Paribas Banque Privée…)</t>
        </is>
      </c>
      <c r="E32" s="17" t="inlineStr">
        <is>
          <t>BNP Paribas Banque Privée à partir de 250 000 € d'actifs financiers.</t>
        </is>
      </c>
      <c r="F32" s="17" t="inlineStr">
        <is>
          <t>BtoC premium</t>
        </is>
      </c>
      <c r="G32" s="14" t="inlineStr">
        <is>
          <t>Organisent des événements clients (rappel du fichier BtoB) ; relais vers leurs clients.</t>
        </is>
      </c>
      <c r="H32" s="14" t="inlineStr">
        <is>
          <t>Privatisation ; offre pour clients</t>
        </is>
      </c>
      <c r="I32" s="17" t="inlineStr">
        <is>
          <t>Responsable marketing clientèle privée</t>
        </is>
      </c>
      <c r="J32" s="17" t="inlineStr">
        <is>
          <t>B</t>
        </is>
      </c>
      <c r="K32" s="17" t="inlineStr">
        <is>
          <t>Offres d'emploi</t>
        </is>
      </c>
      <c r="L32" s="17" t="inlineStr">
        <is>
          <t>S29</t>
        </is>
      </c>
      <c r="M32" s="15" t="inlineStr">
        <is>
          <t>À qualifier</t>
        </is>
      </c>
      <c r="N32" s="16" t="n"/>
      <c r="O32" s="15" t="inlineStr">
        <is>
          <t>Identifier l'interlocuteur</t>
        </is>
      </c>
      <c r="P32" s="15" t="n"/>
      <c r="Q32" s="15" t="n"/>
    </row>
    <row r="33">
      <c r="A33" s="17" t="inlineStr">
        <is>
          <t>PR32</t>
        </is>
      </c>
      <c r="B33" s="18" t="inlineStr">
        <is>
          <t>Autre prescripteur</t>
        </is>
      </c>
      <c r="C33" s="17" t="inlineStr">
        <is>
          <t>8. Caves et écoles de dégustation</t>
        </is>
      </c>
      <c r="D33" s="17" t="inlineStr">
        <is>
          <t>Grains Nobles (Paris 5e)</t>
        </is>
      </c>
      <c r="E33" s="17" t="inlineStr">
        <is>
          <t>Cave et école de dégustation : initiation, master class, commandes groupées.</t>
        </is>
      </c>
      <c r="F33" s="17" t="inlineStr">
        <is>
          <t>Foodies, amateurs de vin</t>
        </is>
      </c>
      <c r="G33" s="14" t="inlineStr">
        <is>
          <t>Communauté d'élèves passionnés de vin : soirée accord mets-vins.</t>
        </is>
      </c>
      <c r="H33" s="14" t="inlineStr">
        <is>
          <t>Places réservées aux élèves</t>
        </is>
      </c>
      <c r="I33" s="17" t="inlineStr">
        <is>
          <t>Gérant·e</t>
        </is>
      </c>
      <c r="J33" s="17" t="inlineStr">
        <is>
          <t>B</t>
        </is>
      </c>
      <c r="K33" s="17" t="inlineStr">
        <is>
          <t>Annuaire</t>
        </is>
      </c>
      <c r="L33" s="17" t="inlineStr">
        <is>
          <t>S30</t>
        </is>
      </c>
      <c r="M33" s="15" t="inlineStr">
        <is>
          <t>À qualifier</t>
        </is>
      </c>
      <c r="N33" s="16" t="n"/>
      <c r="O33" s="15" t="inlineStr">
        <is>
          <t>Identifier l'interlocuteur</t>
        </is>
      </c>
      <c r="P33" s="15" t="n"/>
      <c r="Q33" s="15" t="n"/>
    </row>
    <row r="34">
      <c r="A34" s="17" t="inlineStr">
        <is>
          <t>PR33</t>
        </is>
      </c>
      <c r="B34" s="18" t="inlineStr">
        <is>
          <t>Autre prescripteur</t>
        </is>
      </c>
      <c r="C34" s="17" t="inlineStr">
        <is>
          <t>8. Caves et écoles de dégustation</t>
        </is>
      </c>
      <c r="D34" s="17" t="inlineStr">
        <is>
          <t>Grands cavistes parisiens (Legrand Filles et Fils, Lavinia, Caves Taillevent)</t>
        </is>
      </c>
      <c r="E34" s="17" t="inlineStr">
        <is>
          <t>Proposition : caves de référence avec une clientèle d'amateurs ; programmes d'événements non vérifiés.</t>
        </is>
      </c>
      <c r="F34" s="17" t="inlineStr">
        <is>
          <t>Foodies, amateurs de vin</t>
        </is>
      </c>
      <c r="G34" s="14" t="inlineStr">
        <is>
          <t>Relais naturel pour le « troisième inaccessible : la cave ».</t>
        </is>
      </c>
      <c r="H34" s="14" t="inlineStr">
        <is>
          <t>Partenariat vins ; places pour leurs clients</t>
        </is>
      </c>
      <c r="I34" s="17" t="inlineStr">
        <is>
          <t>Responsable événements</t>
        </is>
      </c>
      <c r="J34" s="17" t="inlineStr">
        <is>
          <t>B</t>
        </is>
      </c>
      <c r="K34" s="17" t="inlineStr">
        <is>
          <t>Proposition (non vérifié)</t>
        </is>
      </c>
      <c r="L34" s="17" t="inlineStr">
        <is>
          <t>—</t>
        </is>
      </c>
      <c r="M34" s="15" t="inlineStr">
        <is>
          <t>À qualifier</t>
        </is>
      </c>
      <c r="N34" s="16" t="n"/>
      <c r="O34" s="15" t="inlineStr">
        <is>
          <t>Identifier l'interlocuteur</t>
        </is>
      </c>
      <c r="P34" s="15" t="n"/>
      <c r="Q34" s="15" t="n"/>
    </row>
  </sheetData>
  <autoFilter ref="A1:Q34"/>
  <conditionalFormatting sqref="J2:J64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dataValidations count="1">
    <dataValidation sqref="M2:M64" showDropDown="0" showInputMessage="0" showErrorMessage="0" allowBlank="1" type="list">
      <formula1>"À qualifier,Contact identifié,Contacté,Rendez-vous,Soirée test proposée,Partenariat en discussion,Accord signé,Refus,En pause"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95" customWidth="1" min="3" max="3"/>
    <col width="14" customWidth="1" min="4" max="4"/>
  </cols>
  <sheetData>
    <row r="1">
      <c r="A1" s="19" t="inlineStr">
        <is>
          <t>Réf.</t>
        </is>
      </c>
      <c r="B1" s="19" t="inlineStr">
        <is>
          <t>Source</t>
        </is>
      </c>
      <c r="C1" s="19" t="inlineStr">
        <is>
          <t>Lien</t>
        </is>
      </c>
      <c r="D1" s="19" t="inlineStr">
        <is>
          <t>Date</t>
        </is>
      </c>
    </row>
    <row r="2">
      <c r="A2" s="4" t="inlineStr">
        <is>
          <t>S1</t>
        </is>
      </c>
      <c r="B2" s="4" t="inlineStr">
        <is>
          <t>Allovoyages, conciergerie de luxe Paris : 10 services comparés</t>
        </is>
      </c>
      <c r="C2" s="4" t="inlineStr">
        <is>
          <t>https://allovoyages.fr/a-la-une/conciergerie-de-luxe-paris/</t>
        </is>
      </c>
      <c r="D2" s="4" t="inlineStr">
        <is>
          <t>2026</t>
        </is>
      </c>
    </row>
    <row r="3">
      <c r="A3" s="4" t="inlineStr">
        <is>
          <t>S2</t>
        </is>
      </c>
      <c r="B3" s="4" t="inlineStr">
        <is>
          <t>Les meilleures conciergeries, top 10 conciergeries de luxe Paris</t>
        </is>
      </c>
      <c r="C3" s="4" t="inlineStr">
        <is>
          <t>https://les-meilleures-conciergeries.fr/meilleures-conciergeries-luxe-paris/</t>
        </is>
      </c>
      <c r="D3" s="4" t="inlineStr">
        <is>
          <t>2026</t>
        </is>
      </c>
    </row>
    <row r="4">
      <c r="A4" s="4" t="inlineStr">
        <is>
          <t>S3</t>
        </is>
      </c>
      <c r="B4" s="4" t="inlineStr">
        <is>
          <t>Conciergeries-luxe.fr, Paris</t>
        </is>
      </c>
      <c r="C4" s="4" t="inlineStr">
        <is>
          <t>https://www.conciergeries-luxe.fr/villes/paris</t>
        </is>
      </c>
      <c r="D4" s="4" t="inlineStr">
        <is>
          <t>2026</t>
        </is>
      </c>
    </row>
    <row r="5">
      <c r="A5" s="4" t="inlineStr">
        <is>
          <t>S4</t>
        </is>
      </c>
      <c r="B5" s="4" t="inlineStr">
        <is>
          <t>Intermedialab, top 5 des conciergeries de luxe à Paris en 2026</t>
        </is>
      </c>
      <c r="C5" s="4" t="inlineStr">
        <is>
          <t>https://www.intermedialab.eu/top-5-des-conciergeries-de-luxe-a-paris-en-2026/</t>
        </is>
      </c>
      <c r="D5" s="4" t="inlineStr">
        <is>
          <t>2026</t>
        </is>
      </c>
    </row>
    <row r="6">
      <c r="A6" s="4" t="inlineStr">
        <is>
          <t>S5</t>
        </is>
      </c>
      <c r="B6" s="4" t="inlineStr">
        <is>
          <t>Journal des Palaces, offre Concierge Premium John Paul Paris</t>
        </is>
      </c>
      <c r="C6" s="4" t="inlineStr">
        <is>
          <t>https://www.journaldespalaces.com/carriere/offre-306182-Concierge-Premium-Profil-Agent-de-voyage--John-Paul-Paris.html</t>
        </is>
      </c>
      <c r="D6" s="4" t="inlineStr">
        <is>
          <t>2026</t>
        </is>
      </c>
    </row>
    <row r="7">
      <c r="A7" s="4" t="inlineStr">
        <is>
          <t>S6</t>
        </is>
      </c>
      <c r="B7" s="4" t="inlineStr">
        <is>
          <t>FlyerTalk, best hotel concierge in Paris (forum)</t>
        </is>
      </c>
      <c r="C7" s="4" t="inlineStr">
        <is>
          <t>https://www.flyertalk.com/forum/showthread.php?p=19793234</t>
        </is>
      </c>
      <c r="D7" s="4" t="inlineStr">
        <is>
          <t>non datée</t>
        </is>
      </c>
    </row>
    <row r="8">
      <c r="A8" s="4" t="inlineStr">
        <is>
          <t>S7</t>
        </is>
      </c>
      <c r="B8" s="4" t="inlineStr">
        <is>
          <t>Journal du Luxe, record de Clefs d'Or dans un palace parisien</t>
        </is>
      </c>
      <c r="C8" s="4" t="inlineStr">
        <is>
          <t>https://www.journalduluxe.fr/fr/lifestyle/ce-palace-parisien-decroche-un-nombre-record-de-clefs-d-or/amp</t>
        </is>
      </c>
      <c r="D8" s="4" t="inlineStr">
        <is>
          <t>non datée</t>
        </is>
      </c>
    </row>
    <row r="9">
      <c r="A9" s="4" t="inlineStr">
        <is>
          <t>S8</t>
        </is>
      </c>
      <c r="B9" s="4" t="inlineStr">
        <is>
          <t>Journal des Palaces, élection à la tête des Clefs d'Or France (420 adhérents)</t>
        </is>
      </c>
      <c r="C9" s="4" t="inlineStr">
        <is>
          <t>https://www.journaldespalaces.com/communique-28479-elections-de-monsieur-lionel-lorans-a-la-tete-des-clefs-d-or-france.html</t>
        </is>
      </c>
      <c r="D9" s="4" t="inlineStr">
        <is>
          <t>ancienne</t>
        </is>
      </c>
    </row>
    <row r="10">
      <c r="A10" s="4" t="inlineStr">
        <is>
          <t>S9</t>
        </is>
      </c>
      <c r="B10" s="4" t="inlineStr">
        <is>
          <t>Journal des Palaces, une nouvelle génération de concierges reçoit les Clefs d'Or</t>
        </is>
      </c>
      <c r="C10" s="4" t="inlineStr">
        <is>
          <t>https://www.journaldespalaces.com/article-78177-nnvn-nement-une-nouvelle-gn-nn-ration-de-concierges-embarque-avec-les-clefs-d-or.html</t>
        </is>
      </c>
      <c r="D10" s="4" t="inlineStr">
        <is>
          <t>mai 2026</t>
        </is>
      </c>
    </row>
    <row r="11">
      <c r="A11" s="4" t="inlineStr">
        <is>
          <t>S10</t>
        </is>
      </c>
      <c r="B11" s="4" t="inlineStr">
        <is>
          <t>Journal des Palaces, le Chairman's Club du Forbes Travel Guide signe une première parisienne</t>
        </is>
      </c>
      <c r="C11" s="4" t="inlineStr">
        <is>
          <t>https://www.journaldespalaces.com/article-75735-evenements-le-chairman-s-club-du-forbes-travel-guide-signe-une-premiere-parisienne.html</t>
        </is>
      </c>
      <c r="D11" s="4" t="inlineStr">
        <is>
          <t>août 2025</t>
        </is>
      </c>
    </row>
    <row r="12">
      <c r="A12" s="4" t="inlineStr">
        <is>
          <t>S11</t>
        </is>
      </c>
      <c r="B12" s="4" t="inlineStr">
        <is>
          <t>Selectra, American Express Centurion en bref</t>
        </is>
      </c>
      <c r="C12" s="4" t="inlineStr">
        <is>
          <t>https://selectra.info/finance/banques/american-express/centurion</t>
        </is>
      </c>
      <c r="D12" s="4" t="inlineStr">
        <is>
          <t>2026</t>
        </is>
      </c>
    </row>
    <row r="13">
      <c r="A13" s="4" t="inlineStr">
        <is>
          <t>S12</t>
        </is>
      </c>
      <c r="B13" s="4" t="inlineStr">
        <is>
          <t>Meilleurtaux, Mastercard World Elite : avantages et comparatif 2026</t>
        </is>
      </c>
      <c r="C13" s="4" t="inlineStr">
        <is>
          <t>https://banque.meilleurtaux.com/frais-bancaires/moyen-de-paiement/carte-bancaire/mastercard-world-elite.html</t>
        </is>
      </c>
      <c r="D13" s="4" t="inlineStr">
        <is>
          <t>2026</t>
        </is>
      </c>
    </row>
    <row r="14">
      <c r="A14" s="4" t="inlineStr">
        <is>
          <t>S13</t>
        </is>
      </c>
      <c r="B14" s="4" t="inlineStr">
        <is>
          <t>Le Connoisseur</t>
        </is>
      </c>
      <c r="C14" s="4" t="inlineStr">
        <is>
          <t>https://www.le-connoisseur.com/fr</t>
        </is>
      </c>
      <c r="D14" s="4" t="inlineStr">
        <is>
          <t>consulté le 28/10/2026</t>
        </is>
      </c>
    </row>
    <row r="15">
      <c r="A15" s="4" t="inlineStr">
        <is>
          <t>S14</t>
        </is>
      </c>
      <c r="B15" s="4" t="inlineStr">
        <is>
          <t>WeTasteParis, Paris DMC for luxury food &amp; wine experiences</t>
        </is>
      </c>
      <c r="C15" s="4" t="inlineStr">
        <is>
          <t>https://wetasteparis.com/paris-dmc-for-luxury-food-wine-experiences/</t>
        </is>
      </c>
      <c r="D15" s="4" t="inlineStr">
        <is>
          <t>consulté le 28/10/2026</t>
        </is>
      </c>
    </row>
    <row r="16">
      <c r="A16" s="4" t="inlineStr">
        <is>
          <t>S15</t>
        </is>
      </c>
      <c r="B16" s="4" t="inlineStr">
        <is>
          <t>Finding France, DMC France</t>
        </is>
      </c>
      <c r="C16" s="4" t="inlineStr">
        <is>
          <t>https://finding-france.com/dmc-france-travel-and-events/</t>
        </is>
      </c>
      <c r="D16" s="4" t="inlineStr">
        <is>
          <t>consulté le 28/10/2026</t>
        </is>
      </c>
    </row>
    <row r="17">
      <c r="A17" s="4" t="inlineStr">
        <is>
          <t>S16</t>
        </is>
      </c>
      <c r="B17" s="4" t="inlineStr">
        <is>
          <t>La Voyagiste Paris</t>
        </is>
      </c>
      <c r="C17" s="4" t="inlineStr">
        <is>
          <t>https://lavoyagisteparis.com/</t>
        </is>
      </c>
      <c r="D17" s="4" t="inlineStr">
        <is>
          <t>consulté le 28/10/2026</t>
        </is>
      </c>
    </row>
    <row r="18">
      <c r="A18" s="4" t="inlineStr">
        <is>
          <t>S17</t>
        </is>
      </c>
      <c r="B18" s="4" t="inlineStr">
        <is>
          <t>Eluxfrance</t>
        </is>
      </c>
      <c r="C18" s="4" t="inlineStr">
        <is>
          <t>https://eluxfrance.com/en/</t>
        </is>
      </c>
      <c r="D18" s="4" t="inlineStr">
        <is>
          <t>consulté le 28/10/2026</t>
        </is>
      </c>
    </row>
    <row r="19">
      <c r="A19" s="4" t="inlineStr">
        <is>
          <t>S18</t>
        </is>
      </c>
      <c r="B19" s="4" t="inlineStr">
        <is>
          <t>Hautes Expériences, agence événementielle de luxe</t>
        </is>
      </c>
      <c r="C19" s="4" t="inlineStr">
        <is>
          <t>https://www.hautesexperiences.com/en/agence-evenementielle-luxe-paris</t>
        </is>
      </c>
      <c r="D19" s="4" t="inlineStr">
        <is>
          <t>consulté le 28/10/2026</t>
        </is>
      </c>
    </row>
    <row r="20">
      <c r="A20" s="4" t="inlineStr">
        <is>
          <t>S19</t>
        </is>
      </c>
      <c r="B20" s="4" t="inlineStr">
        <is>
          <t>Eating Europe, private food tours Paris</t>
        </is>
      </c>
      <c r="C20" s="4" t="inlineStr">
        <is>
          <t>https://www.eatingeurope.com/paris/private-paris-morning-tour/</t>
        </is>
      </c>
      <c r="D20" s="4" t="inlineStr">
        <is>
          <t>consulté le 28/10/2026</t>
        </is>
      </c>
    </row>
    <row r="21">
      <c r="A21" s="4" t="inlineStr">
        <is>
          <t>S20</t>
        </is>
      </c>
      <c r="B21" s="4" t="inlineStr">
        <is>
          <t>ByFood, Paris food experiences</t>
        </is>
      </c>
      <c r="C21" s="4" t="inlineStr">
        <is>
          <t>https://www.byfood.com/paris-food-experiences</t>
        </is>
      </c>
      <c r="D21" s="4" t="inlineStr">
        <is>
          <t>consulté le 28/10/2026</t>
        </is>
      </c>
    </row>
    <row r="22">
      <c r="A22" s="4" t="inlineStr">
        <is>
          <t>S21</t>
        </is>
      </c>
      <c r="B22" s="4" t="inlineStr">
        <is>
          <t>Le Fooding, actualités</t>
        </is>
      </c>
      <c r="C22" s="4" t="inlineStr">
        <is>
          <t>https://lefooding.com/actus?page=37</t>
        </is>
      </c>
      <c r="D22" s="4" t="inlineStr">
        <is>
          <t>consulté le 28/10/2026</t>
        </is>
      </c>
    </row>
    <row r="23">
      <c r="A23" s="4" t="inlineStr">
        <is>
          <t>S22</t>
        </is>
      </c>
      <c r="B23" s="4" t="inlineStr">
        <is>
          <t>Paris by Mouth</t>
        </is>
      </c>
      <c r="C23" s="4" t="inlineStr">
        <is>
          <t>https://parisbymouth.com/hemicycle/</t>
        </is>
      </c>
      <c r="D23" s="4" t="inlineStr">
        <is>
          <t>consulté le 28/10/2026</t>
        </is>
      </c>
    </row>
    <row r="24">
      <c r="A24" s="4" t="inlineStr">
        <is>
          <t>S23</t>
        </is>
      </c>
      <c r="B24" s="4" t="inlineStr">
        <is>
          <t>Fine Dining Lovers, Gault&amp;Millau, Guide Michelin (rubriques actualités)</t>
        </is>
      </c>
      <c r="C24" s="4" t="inlineStr">
        <is>
          <t>https://guide.michelin.com/fr/fr/articles/news-and-views</t>
        </is>
      </c>
      <c r="D24" s="4" t="inlineStr">
        <is>
          <t>consulté le 28/10/2026</t>
        </is>
      </c>
    </row>
    <row r="25">
      <c r="A25" s="4" t="inlineStr">
        <is>
          <t>S24</t>
        </is>
      </c>
      <c r="B25" s="4" t="inlineStr">
        <is>
          <t>Kolsquare, top 10 des influenceuses food et restaurants</t>
        </is>
      </c>
      <c r="C25" s="4" t="inlineStr">
        <is>
          <t>https://www.kolsquare.com/fr/top-influencers/top-10-des-influenceuses-food-restaurant</t>
        </is>
      </c>
      <c r="D25" s="4" t="inlineStr">
        <is>
          <t>juillet 2026</t>
        </is>
      </c>
    </row>
    <row r="26">
      <c r="A26" s="4" t="inlineStr">
        <is>
          <t>S25</t>
        </is>
      </c>
      <c r="B26" s="4" t="inlineStr">
        <is>
          <t>Heepsy, top influenceurs Instagram food à Paris</t>
        </is>
      </c>
      <c r="C26" s="4" t="inlineStr">
        <is>
          <t>https://www.heepsy.com/fr/trouver-influenceurs/instagram/food/paris</t>
        </is>
      </c>
      <c r="D26" s="4" t="inlineStr">
        <is>
          <t>octobre 2026</t>
        </is>
      </c>
    </row>
    <row r="27">
      <c r="A27" s="4" t="inlineStr">
        <is>
          <t>S26</t>
        </is>
      </c>
      <c r="B27" s="4" t="inlineStr">
        <is>
          <t>And Simple, MJ&amp;Cie (membre de l'AFFO)</t>
        </is>
      </c>
      <c r="C27" s="4" t="inlineStr">
        <is>
          <t>https://andsimple.co/family-offices/mj-cie</t>
        </is>
      </c>
      <c r="D27" s="4" t="inlineStr">
        <is>
          <t>consulté le 28/10/2026</t>
        </is>
      </c>
    </row>
    <row r="28">
      <c r="A28" s="4" t="inlineStr">
        <is>
          <t>S27</t>
        </is>
      </c>
      <c r="B28" s="4" t="inlineStr">
        <is>
          <t>Family Office Hub, Sycomore Family Office</t>
        </is>
      </c>
      <c r="C28" s="4" t="inlineStr">
        <is>
          <t>https://familyofficehub.io/family-office-portraits/sycomore-family-office-paris-based-multi-family-office-focus-asset-management/</t>
        </is>
      </c>
      <c r="D28" s="4" t="inlineStr">
        <is>
          <t>consulté le 28/10/2026</t>
        </is>
      </c>
    </row>
    <row r="29">
      <c r="A29" s="4" t="inlineStr">
        <is>
          <t>S28</t>
        </is>
      </c>
      <c r="B29" s="4" t="inlineStr">
        <is>
          <t>Paperjam, Odax Wealth Partners ouvre un family office à Paris</t>
        </is>
      </c>
      <c r="C29" s="4" t="inlineStr">
        <is>
          <t>https://paperjam.lu/article/odax-wealth-partners-ouvre-un-family-office-a-paris</t>
        </is>
      </c>
      <c r="D29" s="4" t="inlineStr">
        <is>
          <t>non établie</t>
        </is>
      </c>
    </row>
    <row r="30">
      <c r="A30" s="4" t="inlineStr">
        <is>
          <t>S29</t>
        </is>
      </c>
      <c r="B30" s="4" t="inlineStr">
        <is>
          <t>BNP Paribas, offre banquier privé</t>
        </is>
      </c>
      <c r="C30" s="4" t="inlineStr">
        <is>
          <t>https://group.bnpparibas/en/careers/job-offer/banquier-prive-h-f-1</t>
        </is>
      </c>
      <c r="D30" s="4" t="inlineStr">
        <is>
          <t>2026</t>
        </is>
      </c>
    </row>
    <row r="31">
      <c r="A31" s="4" t="inlineStr">
        <is>
          <t>S30</t>
        </is>
      </c>
      <c r="B31" s="4" t="inlineStr">
        <is>
          <t>Groupon, Grains Nobles Paris 5e</t>
        </is>
      </c>
      <c r="C31" s="4" t="inlineStr">
        <is>
          <t>https://www.groupon.fr/biz/paris/grains-nobles-5eme</t>
        </is>
      </c>
      <c r="D31" s="4" t="inlineStr">
        <is>
          <t>non datée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2026-10-28T18:39:42Z</dcterms:created>
  <dcterms:modified xmlns:dcterms="http://purl.org/dc/terms/" xmlns:xsi="http://www.w3.org/2001/XMLSchema-instance" xsi:type="dcterms:W3CDTF">2026-10-28T18:39:42Z</dcterms:modified>
</cp:coreProperties>
</file>