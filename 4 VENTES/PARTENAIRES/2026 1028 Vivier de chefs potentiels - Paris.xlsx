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Chefs" sheetId="3" state="visible" r:id="rId3"/>
    <sheet xmlns:r="http://schemas.openxmlformats.org/officeDocument/2006/relationships" name="Sources" sheetId="4" state="visible" r:id="rId4"/>
  </sheets>
  <definedNames>
    <definedName name="_xlnm._FilterDatabase" localSheetId="2" hidden="1">'Chefs'!$A$1:$Q$29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b val="1"/>
      <color rgb="004A1028"/>
      <sz val="15"/>
    </font>
    <font>
      <i val="1"/>
      <color rgb="00666666"/>
      <sz val="10"/>
    </font>
    <font>
      <b val="1"/>
      <color rgb="004A1028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E3F1EA"/>
      </patternFill>
    </fill>
    <fill>
      <patternFill patternType="solid">
        <fgColor rgb="00FBE3CF"/>
      </patternFill>
    </fill>
    <fill>
      <patternFill patternType="solid">
        <fgColor rgb="00FFF6D6"/>
      </patternFill>
    </fill>
    <fill>
      <patternFill patternType="solid">
        <fgColor rgb="004A1028"/>
      </patternFill>
    </fill>
  </fills>
  <borders count="2">
    <border>
      <left/>
      <right/>
      <top/>
      <bottom/>
      <diagonal/>
    </border>
    <border>
      <left style="thin">
        <color rgb="00D9CFD3"/>
      </left>
      <right style="thin">
        <color rgb="00D9CFD3"/>
      </right>
      <top style="thin">
        <color rgb="00D9CFD3"/>
      </top>
      <bottom style="thin">
        <color rgb="00D9CF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5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4" fillId="5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FF3C4"/>
        </patternFill>
      </fill>
    </dxf>
    <dxf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Pop Tables — Vivier de chefs potentiels à Paris (passés par l'étoilé ou indépendants reconnus)</t>
        </is>
      </c>
    </row>
    <row r="2">
      <c r="A2" s="2" t="inlineStr">
        <is>
          <t>Pôle Ventes · 28/10/2026 · Document de travail, non validé · à transmettre au pôle Produit</t>
        </is>
      </c>
    </row>
    <row r="4">
      <c r="A4" s="3" t="inlineStr">
        <is>
          <t>À lire d'abord</t>
        </is>
      </c>
    </row>
    <row r="5">
      <c r="A5" s="4" t="inlineStr">
        <is>
          <t>La sélection des chefs relève du pôle Produit (décision D-18 du 28/10/2026). Ce fichier est un vivier proposé par les Ventes : il ne vaut ni choix, ni contact.</t>
        </is>
      </c>
    </row>
    <row r="6">
      <c r="A6" s="4" t="inlineStr"/>
    </row>
    <row r="7">
      <c r="A7" s="3" t="inlineStr">
        <is>
          <t>Code couleur</t>
        </is>
      </c>
    </row>
    <row r="8">
      <c r="A8" s="5" t="inlineStr">
        <is>
          <t>VERT : fait public, daté et sourcé (colonne Sources, onglet Sources).</t>
        </is>
      </c>
    </row>
    <row r="9">
      <c r="A9" s="6" t="inlineStr">
        <is>
          <t>ORANGE : inférence de l'assistant IA (disponibilité probable, intérêt pour Pop Tables), à vérifier.</t>
        </is>
      </c>
    </row>
    <row r="10">
      <c r="A10" s="7" t="inlineStr">
        <is>
          <t>JAUNE : colonnes de suivi à remplir par l'équipe.</t>
        </is>
      </c>
    </row>
    <row r="11">
      <c r="A11" s="4" t="inlineStr"/>
    </row>
    <row r="12">
      <c r="A12" s="3" t="inlineStr">
        <is>
          <t>Priorités (proposition)</t>
        </is>
      </c>
    </row>
    <row r="13">
      <c r="A13" s="4" t="inlineStr">
        <is>
          <t>A = profil le plus proche du cadre Pop Tables (chef rare ou sans table à Paris, habitué de l'éphémère) et disponibilité probable. B = intéressant, disponibilité à négocier. C = grand nom en poste : soirée exceptionnelle ou à quatre mains seulement.</t>
        </is>
      </c>
    </row>
    <row r="14">
      <c r="A14" s="4" t="inlineStr"/>
    </row>
    <row r="15">
      <c r="A15" s="3" t="inlineStr">
        <is>
          <t>Précautions</t>
        </is>
      </c>
    </row>
    <row r="16">
      <c r="A16" s="4" t="inlineStr">
        <is>
          <t>• Informations professionnelles publiques uniquement ; aucune coordonnée personnelle. Approche par le restaurant, le compte professionnel ou l'agent.</t>
        </is>
      </c>
    </row>
    <row r="17">
      <c r="A17" s="4" t="inlineStr">
        <is>
          <t>• Les chiffres et parcours présentés par un chef sur son propre site sont des argumentaires. Vérifier les maisons et les dates avant toute proposition.</t>
        </is>
      </c>
    </row>
    <row r="18">
      <c r="A18" s="4" t="inlineStr">
        <is>
          <t>• Ne promettre ni rémunération, ni date, ni lieu avant validation (Produit, Finance, Direction).</t>
        </is>
      </c>
    </row>
    <row r="19">
      <c r="A19" s="4" t="inlineStr">
        <is>
          <t>• Les chefs de la catégorie 6 sont en poste dans des restaurants récemment distingués : ils sont accessibles à Paris, donc moins « rares » au sens de la philosophie du projet.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Vivier de chefs : synthèse</t>
        </is>
      </c>
    </row>
    <row r="3">
      <c r="A3" s="8" t="inlineStr">
        <is>
          <t>Catégorie</t>
        </is>
      </c>
      <c r="B3" s="8" t="inlineStr">
        <is>
          <t>Chefs</t>
        </is>
      </c>
      <c r="C3" s="8" t="inlineStr">
        <is>
          <t>Priorité A</t>
        </is>
      </c>
      <c r="D3" s="8" t="inlineStr">
        <is>
          <t>Priorité B</t>
        </is>
      </c>
      <c r="E3" s="8" t="inlineStr">
        <is>
          <t>Priorité C</t>
        </is>
      </c>
    </row>
    <row r="4">
      <c r="A4" s="9" t="inlineStr">
        <is>
          <t>1. Chef étoilé en transition</t>
        </is>
      </c>
      <c r="B4" s="9">
        <f>COUNTIF(Chefs!$C$2:$C$29,A4)</f>
        <v/>
      </c>
      <c r="C4" s="9">
        <f>COUNTIFS(Chefs!$C$2:$C$29,A4,Chefs!$J$2:$J$29,"A")</f>
        <v/>
      </c>
      <c r="D4" s="9">
        <f>COUNTIFS(Chefs!$C$2:$C$29,A4,Chefs!$J$2:$J$29,"B")</f>
        <v/>
      </c>
      <c r="E4" s="9">
        <f>COUNTIFS(Chefs!$C$2:$C$29,A4,Chefs!$J$2:$J$29,"C")</f>
        <v/>
      </c>
    </row>
    <row r="5">
      <c r="A5" s="9" t="inlineStr">
        <is>
          <t>2. Chef étoilé hors Paris, déjà venu en pop-up</t>
        </is>
      </c>
      <c r="B5" s="9">
        <f>COUNTIF(Chefs!$C$2:$C$29,A5)</f>
        <v/>
      </c>
      <c r="C5" s="9">
        <f>COUNTIFS(Chefs!$C$2:$C$29,A5,Chefs!$J$2:$J$29,"A")</f>
        <v/>
      </c>
      <c r="D5" s="9">
        <f>COUNTIFS(Chefs!$C$2:$C$29,A5,Chefs!$J$2:$J$29,"B")</f>
        <v/>
      </c>
      <c r="E5" s="9">
        <f>COUNTIFS(Chefs!$C$2:$C$29,A5,Chefs!$J$2:$J$29,"C")</f>
        <v/>
      </c>
    </row>
    <row r="6">
      <c r="A6" s="9" t="inlineStr">
        <is>
          <t>3. Chef indépendant / pop-up / supper club</t>
        </is>
      </c>
      <c r="B6" s="9">
        <f>COUNTIF(Chefs!$C$2:$C$29,A6)</f>
        <v/>
      </c>
      <c r="C6" s="9">
        <f>COUNTIFS(Chefs!$C$2:$C$29,A6,Chefs!$J$2:$J$29,"A")</f>
        <v/>
      </c>
      <c r="D6" s="9">
        <f>COUNTIFS(Chefs!$C$2:$C$29,A6,Chefs!$J$2:$J$29,"B")</f>
        <v/>
      </c>
      <c r="E6" s="9">
        <f>COUNTIFS(Chefs!$C$2:$C$29,A6,Chefs!$J$2:$J$29,"C")</f>
        <v/>
      </c>
    </row>
    <row r="7">
      <c r="A7" s="9" t="inlineStr">
        <is>
          <t>4. Second ou ancien d'une maison étoilée</t>
        </is>
      </c>
      <c r="B7" s="9">
        <f>COUNTIF(Chefs!$C$2:$C$29,A7)</f>
        <v/>
      </c>
      <c r="C7" s="9">
        <f>COUNTIFS(Chefs!$C$2:$C$29,A7,Chefs!$J$2:$J$29,"A")</f>
        <v/>
      </c>
      <c r="D7" s="9">
        <f>COUNTIFS(Chefs!$C$2:$C$29,A7,Chefs!$J$2:$J$29,"B")</f>
        <v/>
      </c>
      <c r="E7" s="9">
        <f>COUNTIFS(Chefs!$C$2:$C$29,A7,Chefs!$J$2:$J$29,"C")</f>
        <v/>
      </c>
    </row>
    <row r="8">
      <c r="A8" s="9" t="inlineStr">
        <is>
          <t>5. Chef privé passé par l'étoilé</t>
        </is>
      </c>
      <c r="B8" s="9">
        <f>COUNTIF(Chefs!$C$2:$C$29,A8)</f>
        <v/>
      </c>
      <c r="C8" s="9">
        <f>COUNTIFS(Chefs!$C$2:$C$29,A8,Chefs!$J$2:$J$29,"A")</f>
        <v/>
      </c>
      <c r="D8" s="9">
        <f>COUNTIFS(Chefs!$C$2:$C$29,A8,Chefs!$J$2:$J$29,"B")</f>
        <v/>
      </c>
      <c r="E8" s="9">
        <f>COUNTIFS(Chefs!$C$2:$C$29,A8,Chefs!$J$2:$J$29,"C")</f>
        <v/>
      </c>
    </row>
    <row r="9">
      <c r="A9" s="9" t="inlineStr">
        <is>
          <t>6. Nouveau talent distingué en 2026 (en poste)</t>
        </is>
      </c>
      <c r="B9" s="9">
        <f>COUNTIF(Chefs!$C$2:$C$29,A9)</f>
        <v/>
      </c>
      <c r="C9" s="9">
        <f>COUNTIFS(Chefs!$C$2:$C$29,A9,Chefs!$J$2:$J$29,"A")</f>
        <v/>
      </c>
      <c r="D9" s="9">
        <f>COUNTIFS(Chefs!$C$2:$C$29,A9,Chefs!$J$2:$J$29,"B")</f>
        <v/>
      </c>
      <c r="E9" s="9">
        <f>COUNTIFS(Chefs!$C$2:$C$29,A9,Chefs!$J$2:$J$29,"C")</f>
        <v/>
      </c>
    </row>
    <row r="10">
      <c r="A10" s="9" t="inlineStr">
        <is>
          <t>7. Meilleur Ouvrier de France</t>
        </is>
      </c>
      <c r="B10" s="9">
        <f>COUNTIF(Chefs!$C$2:$C$29,A10)</f>
        <v/>
      </c>
      <c r="C10" s="9">
        <f>COUNTIFS(Chefs!$C$2:$C$29,A10,Chefs!$J$2:$J$29,"A")</f>
        <v/>
      </c>
      <c r="D10" s="9">
        <f>COUNTIFS(Chefs!$C$2:$C$29,A10,Chefs!$J$2:$J$29,"B")</f>
        <v/>
      </c>
      <c r="E10" s="9">
        <f>COUNTIFS(Chefs!$C$2:$C$29,A10,Chefs!$J$2:$J$29,"C")</f>
        <v/>
      </c>
    </row>
    <row r="11">
      <c r="A11" s="10" t="inlineStr">
        <is>
          <t>Total</t>
        </is>
      </c>
      <c r="B11" s="10">
        <f>SUM(B4:B10)</f>
        <v/>
      </c>
      <c r="C11" s="10">
        <f>SUM(C4:C10)</f>
        <v/>
      </c>
      <c r="D11" s="10">
        <f>SUM(D4:D10)</f>
        <v/>
      </c>
      <c r="E11" s="10">
        <f>SUM(E4:E10)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20" customWidth="1" min="4" max="4"/>
    <col width="52" customWidth="1" min="5" max="5"/>
    <col width="28" customWidth="1" min="6" max="6"/>
    <col width="28" customWidth="1" min="7" max="7"/>
    <col width="36" customWidth="1" min="8" max="8"/>
    <col width="24" customWidth="1" min="9" max="9"/>
    <col width="9" customWidth="1" min="10" max="10"/>
    <col width="24" customWidth="1" min="11" max="11"/>
    <col width="10" customWidth="1" min="12" max="12"/>
    <col width="16" customWidth="1" min="13" max="13"/>
    <col width="13" customWidth="1" min="14" max="14"/>
    <col width="24" customWidth="1" min="15" max="15"/>
    <col width="13" customWidth="1" min="16" max="16"/>
    <col width="28" customWidth="1" min="17" max="17"/>
  </cols>
  <sheetData>
    <row r="1" ht="40" customHeight="1">
      <c r="A1" s="11" t="inlineStr">
        <is>
          <t>ID</t>
        </is>
      </c>
      <c r="B1" s="11" t="inlineStr">
        <is>
          <t>Chef</t>
        </is>
      </c>
      <c r="C1" s="11" t="inlineStr">
        <is>
          <t>Catégorie</t>
        </is>
      </c>
      <c r="D1" s="11" t="inlineStr">
        <is>
          <t>Cuisine</t>
        </is>
      </c>
      <c r="E1" s="11" t="inlineStr">
        <is>
          <t>Parcours et faits publics (datés)</t>
        </is>
      </c>
      <c r="F1" s="11" t="inlineStr">
        <is>
          <t>Situation connue</t>
        </is>
      </c>
      <c r="G1" s="11" t="inlineStr">
        <is>
          <t>Disponibilité probable (inférence)</t>
        </is>
      </c>
      <c r="H1" s="11" t="inlineStr">
        <is>
          <t>Pourquoi pour Pop Tables (inférence)</t>
        </is>
      </c>
      <c r="I1" s="11" t="inlineStr">
        <is>
          <t>Canal d'approche</t>
        </is>
      </c>
      <c r="J1" s="11" t="inlineStr">
        <is>
          <t>Priorité</t>
        </is>
      </c>
      <c r="K1" s="11" t="inlineStr">
        <is>
          <t>À vérifier</t>
        </is>
      </c>
      <c r="L1" s="11" t="inlineStr">
        <is>
          <t>Sources</t>
        </is>
      </c>
      <c r="M1" s="11" t="inlineStr">
        <is>
          <t>Statut</t>
        </is>
      </c>
      <c r="N1" s="11" t="inlineStr">
        <is>
          <t>Date dernier contact</t>
        </is>
      </c>
      <c r="O1" s="11" t="inlineStr">
        <is>
          <t>Prochaine action</t>
        </is>
      </c>
      <c r="P1" s="11" t="inlineStr">
        <is>
          <t>Responsable</t>
        </is>
      </c>
      <c r="Q1" s="11" t="inlineStr">
        <is>
          <t>Commentaires</t>
        </is>
      </c>
    </row>
    <row r="2">
      <c r="A2" s="12" t="inlineStr">
        <is>
          <t>CH01</t>
        </is>
      </c>
      <c r="B2" s="12" t="inlineStr">
        <is>
          <t>Boris Campanella</t>
        </is>
      </c>
      <c r="C2" s="12" t="inlineStr">
        <is>
          <t>1. Chef étoilé en transition</t>
        </is>
      </c>
      <c r="D2" s="12" t="inlineStr">
        <is>
          <t>Gastronomie française de palace</t>
        </is>
      </c>
      <c r="E2" s="13" t="inlineStr">
        <is>
          <t>Chef exécutif et directeur de la gastronomie de l'Hôtel de Crillon pendant 8 ans ; L'Écrin (4 toques Gault&amp;Millau, étoilé) fermé le 31/12/2025.</t>
        </is>
      </c>
      <c r="F2" s="13" t="inlineStr">
        <is>
          <t>A quitté le Crillon le 31/12/2025 ; prochaine destination non annoncée.</t>
        </is>
      </c>
      <c r="G2" s="14" t="inlineStr">
        <is>
          <t>Probablement disponible pour des soirées ponctuelles pendant sa transition.</t>
        </is>
      </c>
      <c r="H2" s="14" t="inlineStr">
        <is>
          <t>Signature de palace sans adresse actuelle : exactement « le chef qu'on ne peut plus réserver ».</t>
        </is>
      </c>
      <c r="I2" s="12" t="inlineStr">
        <is>
          <t>Réseau professionnel / LinkedIn</t>
        </is>
      </c>
      <c r="J2" s="12" t="inlineStr">
        <is>
          <t>A</t>
        </is>
      </c>
      <c r="K2" s="12" t="inlineStr">
        <is>
          <t>Nouveau poste éventuel depuis janvier 2026</t>
        </is>
      </c>
      <c r="L2" s="12" t="inlineStr">
        <is>
          <t>S1, S2</t>
        </is>
      </c>
      <c r="M2" s="15" t="inlineStr">
        <is>
          <t>À qualifier</t>
        </is>
      </c>
      <c r="N2" s="16" t="n"/>
      <c r="O2" s="15" t="inlineStr">
        <is>
          <t>Vérifier la situation actuelle</t>
        </is>
      </c>
      <c r="P2" s="15" t="n"/>
      <c r="Q2" s="15" t="n"/>
    </row>
    <row r="3">
      <c r="A3" s="12" t="inlineStr">
        <is>
          <t>CH02</t>
        </is>
      </c>
      <c r="B3" s="12" t="inlineStr">
        <is>
          <t>Adeline Grattard</t>
        </is>
      </c>
      <c r="C3" s="12" t="inlineStr">
        <is>
          <t>1. Chef étoilé en transition</t>
        </is>
      </c>
      <c r="D3" s="12" t="inlineStr">
        <is>
          <t>Franco-chinoise, accords thé</t>
        </is>
      </c>
      <c r="E3" s="13" t="inlineStr">
        <is>
          <t>Yam'Tcha (1 étoile, rue Saint-Honoré) fermé le 20/12/2025 ; garde la boutique rue Sauval ; bistrot Yam'Tcha annoncé pour mars 2026.</t>
        </is>
      </c>
      <c r="F3" s="13" t="inlineStr">
        <is>
          <t>Restaurant étoilé fermé ; bistrot annoncé (ouverture non confirmée).</t>
        </is>
      </c>
      <c r="G3" s="14" t="inlineStr">
        <is>
          <t>Disponible pour des dîners d'exception si le bistrot lui laisse des soirs.</t>
        </is>
      </c>
      <c r="H3" s="14" t="inlineStr">
        <is>
          <t>Cuisine rare à Paris, notoriété forte : fidèles de Yam'Tcha sans table étoilée.</t>
        </is>
      </c>
      <c r="I3" s="12" t="inlineStr">
        <is>
          <t>Via la boutique Yam'Tcha / compte professionnel</t>
        </is>
      </c>
      <c r="J3" s="12" t="inlineStr">
        <is>
          <t>A</t>
        </is>
      </c>
      <c r="K3" s="12" t="inlineStr">
        <is>
          <t>Ouverture effective du bistrot</t>
        </is>
      </c>
      <c r="L3" s="12" t="inlineStr">
        <is>
          <t>S3</t>
        </is>
      </c>
      <c r="M3" s="15" t="inlineStr">
        <is>
          <t>À qualifier</t>
        </is>
      </c>
      <c r="N3" s="16" t="n"/>
      <c r="O3" s="15" t="inlineStr">
        <is>
          <t>Vérifier la situation actuelle</t>
        </is>
      </c>
      <c r="P3" s="15" t="n"/>
      <c r="Q3" s="15" t="n"/>
    </row>
    <row r="4">
      <c r="A4" s="12" t="inlineStr">
        <is>
          <t>CH03</t>
        </is>
      </c>
      <c r="B4" s="12" t="inlineStr">
        <is>
          <t>Florent Pietravalle</t>
        </is>
      </c>
      <c r="C4" s="12" t="inlineStr">
        <is>
          <t>2. Chef étoilé hors Paris, déjà venu en pop-up</t>
        </is>
      </c>
      <c r="D4" s="12" t="inlineStr">
        <is>
          <t>Provençale gastronomique</t>
        </is>
      </c>
      <c r="E4" s="13" t="inlineStr">
        <is>
          <t>Chef étoilé de La Mirande (Avignon) ; premier pop-up en France au Mandarin Oriental Lutetia, 19/06–19/07/2025, du jeudi au samedi.</t>
        </is>
      </c>
      <c r="F4" s="13" t="inlineStr">
        <is>
          <t>En poste à Avignon.</t>
        </is>
      </c>
      <c r="G4" s="14" t="inlineStr">
        <is>
          <t>Déjà rodé au pop-up parisien ; disponibilité à négocier.</t>
        </is>
      </c>
      <c r="H4" s="14" t="inlineStr">
        <is>
          <t>Chef étoilé absent de Paris : cœur de la philosophie Pop Tables.</t>
        </is>
      </c>
      <c r="I4" s="12" t="inlineStr">
        <is>
          <t>Via La Mirande ou l'équipe du Lutetia</t>
        </is>
      </c>
      <c r="J4" s="12" t="inlineStr">
        <is>
          <t>A</t>
        </is>
      </c>
      <c r="K4" s="12" t="inlineStr">
        <is>
          <t>Calendrier 2027</t>
        </is>
      </c>
      <c r="L4" s="12" t="inlineStr">
        <is>
          <t>S7, S8</t>
        </is>
      </c>
      <c r="M4" s="15" t="inlineStr">
        <is>
          <t>À qualifier</t>
        </is>
      </c>
      <c r="N4" s="16" t="n"/>
      <c r="O4" s="15" t="inlineStr">
        <is>
          <t>Vérifier la situation actuelle</t>
        </is>
      </c>
      <c r="P4" s="15" t="n"/>
      <c r="Q4" s="15" t="n"/>
    </row>
    <row r="5">
      <c r="A5" s="12" t="inlineStr">
        <is>
          <t>CH04</t>
        </is>
      </c>
      <c r="B5" s="12" t="inlineStr">
        <is>
          <t>Alexandre Gauthier</t>
        </is>
      </c>
      <c r="C5" s="12" t="inlineStr">
        <is>
          <t>2. Chef étoilé hors Paris, déjà venu en pop-up</t>
        </is>
      </c>
      <c r="D5" s="12" t="inlineStr">
        <is>
          <t>Gastronomie d'auteur (Côte d'Opale)</t>
        </is>
      </c>
      <c r="E5" s="13" t="inlineStr">
        <is>
          <t>Chef de La Grenouillère ; restaurant éphémère à Paris dans un lieu secret en avril 2024, dîner à 520 € par personne.</t>
        </is>
      </c>
      <c r="F5" s="13" t="inlineStr">
        <is>
          <t>En poste à La Grenouillère.</t>
        </is>
      </c>
      <c r="G5" s="14" t="inlineStr">
        <is>
          <t>A déjà fait l'éphémère parisien à un prix très élevé.</t>
        </is>
      </c>
      <c r="H5" s="14" t="inlineStr">
        <is>
          <t>Preuve qu'une clientèle paie 500 € pour un grand chef de passage.</t>
        </is>
      </c>
      <c r="I5" s="12" t="inlineStr">
        <is>
          <t>Via La Grenouillère</t>
        </is>
      </c>
      <c r="J5" s="12" t="inlineStr">
        <is>
          <t>A</t>
        </is>
      </c>
      <c r="K5" s="12" t="inlineStr">
        <is>
          <t>Envie de renouveler</t>
        </is>
      </c>
      <c r="L5" s="12" t="inlineStr">
        <is>
          <t>S9</t>
        </is>
      </c>
      <c r="M5" s="15" t="inlineStr">
        <is>
          <t>À qualifier</t>
        </is>
      </c>
      <c r="N5" s="16" t="n"/>
      <c r="O5" s="15" t="inlineStr">
        <is>
          <t>Vérifier la situation actuelle</t>
        </is>
      </c>
      <c r="P5" s="15" t="n"/>
      <c r="Q5" s="15" t="n"/>
    </row>
    <row r="6">
      <c r="A6" s="12" t="inlineStr">
        <is>
          <t>CH05</t>
        </is>
      </c>
      <c r="B6" s="12" t="inlineStr">
        <is>
          <t>Alexy Algar-Denos</t>
        </is>
      </c>
      <c r="C6" s="12" t="inlineStr">
        <is>
          <t>3. Chef indépendant / pop-up / supper club</t>
        </is>
      </c>
      <c r="D6" s="12" t="inlineStr">
        <is>
          <t>Cuisine d'auteur</t>
        </is>
      </c>
      <c r="E6" s="13" t="inlineStr">
        <is>
          <t>Finaliste de Top Chef 2026 (protégé de Glenn Viel) ; pop-up Cramat' à Saint-Cloud jusqu'à fin septembre 2026 ; Cramat' Paris 9 annoncé.</t>
        </is>
      </c>
      <c r="F6" s="13" t="inlineStr">
        <is>
          <t>Chef de pop-up.</t>
        </is>
      </c>
      <c r="G6" s="14" t="inlineStr">
        <is>
          <t>Format éphémère déjà pratiqué.</t>
        </is>
      </c>
      <c r="H6" s="14" t="inlineStr">
        <is>
          <t>Notoriété récente + habitude du pop-up.</t>
        </is>
      </c>
      <c r="I6" s="12" t="inlineStr">
        <is>
          <t>Compte professionnel Cramat'</t>
        </is>
      </c>
      <c r="J6" s="12" t="inlineStr">
        <is>
          <t>A</t>
        </is>
      </c>
      <c r="K6" s="12" t="inlineStr">
        <is>
          <t>Dates de Cramat' Paris 9</t>
        </is>
      </c>
      <c r="L6" s="12" t="inlineStr">
        <is>
          <t>S10, S11</t>
        </is>
      </c>
      <c r="M6" s="15" t="inlineStr">
        <is>
          <t>À qualifier</t>
        </is>
      </c>
      <c r="N6" s="16" t="n"/>
      <c r="O6" s="15" t="inlineStr">
        <is>
          <t>Vérifier la situation actuelle</t>
        </is>
      </c>
      <c r="P6" s="15" t="n"/>
      <c r="Q6" s="15" t="n"/>
    </row>
    <row r="7">
      <c r="A7" s="12" t="inlineStr">
        <is>
          <t>CH06</t>
        </is>
      </c>
      <c r="B7" s="12" t="inlineStr">
        <is>
          <t>Jesús Durón</t>
        </is>
      </c>
      <c r="C7" s="12" t="inlineStr">
        <is>
          <t>3. Chef indépendant / pop-up / supper club</t>
        </is>
      </c>
      <c r="D7" s="12" t="inlineStr">
        <is>
          <t>Mexicaine contemporaine</t>
        </is>
      </c>
      <c r="E7" s="13" t="inlineStr">
        <is>
          <t>Chef invité de la résidence Fulgurances (Paris 11e), 22/07–10/08/2024 ; menus pour une table éphémère de We Are Ona pendant Art Basel Paris.</t>
        </is>
      </c>
      <c r="F7" s="13" t="inlineStr">
        <is>
          <t>Chef de résidences et de pop-up.</t>
        </is>
      </c>
      <c r="G7" s="14" t="inlineStr">
        <is>
          <t>Habitué des formats éphémères.</t>
        </is>
      </c>
      <c r="H7" s="14" t="inlineStr">
        <is>
          <t>Grand chef étranger : correspond à l'exemple « soirée mexicaine » du projet.</t>
        </is>
      </c>
      <c r="I7" s="12" t="inlineStr">
        <is>
          <t>Via Fulgurances</t>
        </is>
      </c>
      <c r="J7" s="12" t="inlineStr">
        <is>
          <t>A</t>
        </is>
      </c>
      <c r="K7" s="12" t="inlineStr">
        <is>
          <t>Présence à Paris</t>
        </is>
      </c>
      <c r="L7" s="12" t="inlineStr">
        <is>
          <t>S12, S13</t>
        </is>
      </c>
      <c r="M7" s="15" t="inlineStr">
        <is>
          <t>À qualifier</t>
        </is>
      </c>
      <c r="N7" s="16" t="n"/>
      <c r="O7" s="15" t="inlineStr">
        <is>
          <t>Vérifier la situation actuelle</t>
        </is>
      </c>
      <c r="P7" s="15" t="n"/>
      <c r="Q7" s="15" t="n"/>
    </row>
    <row r="8">
      <c r="A8" s="12" t="inlineStr">
        <is>
          <t>CH07</t>
        </is>
      </c>
      <c r="B8" s="12" t="inlineStr">
        <is>
          <t>Dalad Kambhu</t>
        </is>
      </c>
      <c r="C8" s="12" t="inlineStr">
        <is>
          <t>3. Chef indépendant / pop-up / supper club</t>
        </is>
      </c>
      <c r="D8" s="12" t="inlineStr">
        <is>
          <t>Thaïlandaise</t>
        </is>
      </c>
      <c r="E8" s="13" t="inlineStr">
        <is>
          <t>Table éphémère « Dalad's » avec l'artiste Rirkrit Tiravanija pendant Art Basel Paris, 18–25/10/2026.</t>
        </is>
      </c>
      <c r="F8" s="13" t="inlineStr">
        <is>
          <t>Cheffe de table éphémère.</t>
        </is>
      </c>
      <c r="G8" s="14" t="inlineStr">
        <is>
          <t>À vérifier.</t>
        </is>
      </c>
      <c r="H8" s="14" t="inlineStr">
        <is>
          <t>Gastronomie thaïe d'excellence, quasi absente de Paris (philosophie du projet).</t>
        </is>
      </c>
      <c r="I8" s="12" t="inlineStr">
        <is>
          <t>Via l'organisateur de Dalad's</t>
        </is>
      </c>
      <c r="J8" s="12" t="inlineStr">
        <is>
          <t>A</t>
        </is>
      </c>
      <c r="K8" s="12" t="inlineStr">
        <is>
          <t>Base et disponibilités</t>
        </is>
      </c>
      <c r="L8" s="12" t="inlineStr">
        <is>
          <t>S15</t>
        </is>
      </c>
      <c r="M8" s="15" t="inlineStr">
        <is>
          <t>À qualifier</t>
        </is>
      </c>
      <c r="N8" s="16" t="n"/>
      <c r="O8" s="15" t="inlineStr">
        <is>
          <t>Vérifier la situation actuelle</t>
        </is>
      </c>
      <c r="P8" s="15" t="n"/>
      <c r="Q8" s="15" t="n"/>
    </row>
    <row r="9">
      <c r="A9" s="12" t="inlineStr">
        <is>
          <t>CH08</t>
        </is>
      </c>
      <c r="B9" s="12" t="inlineStr">
        <is>
          <t>Aboubakar Bamba</t>
        </is>
      </c>
      <c r="C9" s="12" t="inlineStr">
        <is>
          <t>4. Second ou ancien d'une maison étoilée</t>
        </is>
      </c>
      <c r="D9" s="12" t="inlineStr">
        <is>
          <t>Gastronomique</t>
        </is>
      </c>
      <c r="E9" s="13" t="inlineStr">
        <is>
          <t>Candidat Top Chef 2026 ; chef privé à Paris ; passé chez David Toutain (2 étoiles).</t>
        </is>
      </c>
      <c r="F9" s="13" t="inlineStr">
        <is>
          <t>Chef privé.</t>
        </is>
      </c>
      <c r="G9" s="14" t="inlineStr">
        <is>
          <t>Élevée.</t>
        </is>
      </c>
      <c r="H9" s="14" t="inlineStr">
        <is>
          <t>Formé dans une grande maison, sans restaurant, notoriété télévisée.</t>
        </is>
      </c>
      <c r="I9" s="12" t="inlineStr">
        <is>
          <t>Compte professionnel</t>
        </is>
      </c>
      <c r="J9" s="12" t="inlineStr">
        <is>
          <t>A</t>
        </is>
      </c>
      <c r="K9" s="12" t="inlineStr"/>
      <c r="L9" s="12" t="inlineStr">
        <is>
          <t>S16</t>
        </is>
      </c>
      <c r="M9" s="15" t="inlineStr">
        <is>
          <t>À qualifier</t>
        </is>
      </c>
      <c r="N9" s="16" t="n"/>
      <c r="O9" s="15" t="inlineStr">
        <is>
          <t>Vérifier la situation actuelle</t>
        </is>
      </c>
      <c r="P9" s="15" t="n"/>
      <c r="Q9" s="15" t="n"/>
    </row>
    <row r="10">
      <c r="A10" s="12" t="inlineStr">
        <is>
          <t>CH09</t>
        </is>
      </c>
      <c r="B10" s="12" t="inlineStr">
        <is>
          <t>Flavio Lucarini et Aurora Storari</t>
        </is>
      </c>
      <c r="C10" s="12" t="inlineStr">
        <is>
          <t>1. Chef étoilé en transition</t>
        </is>
      </c>
      <c r="D10" s="12" t="inlineStr">
        <is>
          <t>Gastronomie italienne / pâtisserie</t>
        </is>
      </c>
      <c r="E10" s="13" t="inlineStr">
        <is>
          <t>Chef et cheffe pâtissière d'Hémicycle (étoilé, Paris 7e), fermé fin 2025 ; passés à Substance (même groupe).</t>
        </is>
      </c>
      <c r="F10" s="13" t="inlineStr">
        <is>
          <t>En poste à Substance (Paris 16e).</t>
        </is>
      </c>
      <c r="G10" s="14" t="inlineStr">
        <is>
          <t>Moyenne : Substance est fermé samedi et dimanche (base HEC Cuisine Innovation).</t>
        </is>
      </c>
      <c r="H10" s="14" t="inlineStr">
        <is>
          <t>Duo chef + pâtissière, cuisine italienne d'auteur.</t>
        </is>
      </c>
      <c r="I10" s="12" t="inlineStr">
        <is>
          <t>Via Substance</t>
        </is>
      </c>
      <c r="J10" s="12" t="inlineStr">
        <is>
          <t>B</t>
        </is>
      </c>
      <c r="K10" s="12" t="inlineStr">
        <is>
          <t>Rôle exact à Substance</t>
        </is>
      </c>
      <c r="L10" s="12" t="inlineStr">
        <is>
          <t>S6</t>
        </is>
      </c>
      <c r="M10" s="15" t="inlineStr">
        <is>
          <t>À qualifier</t>
        </is>
      </c>
      <c r="N10" s="16" t="n"/>
      <c r="O10" s="15" t="inlineStr">
        <is>
          <t>Vérifier la situation actuelle</t>
        </is>
      </c>
      <c r="P10" s="15" t="n"/>
      <c r="Q10" s="15" t="n"/>
    </row>
    <row r="11">
      <c r="A11" s="12" t="inlineStr">
        <is>
          <t>CH10</t>
        </is>
      </c>
      <c r="B11" s="12" t="inlineStr">
        <is>
          <t>Viviana Pisacane</t>
        </is>
      </c>
      <c r="C11" s="12" t="inlineStr">
        <is>
          <t>2. Chef étoilé hors Paris, déjà venu en pop-up</t>
        </is>
      </c>
      <c r="D11" s="12" t="inlineStr">
        <is>
          <t>Italienne (Naples) / lyonnaise</t>
        </is>
      </c>
      <c r="E11" s="13" t="inlineStr">
        <is>
          <t>Gagnante de Top Chef 2026 (finale du 10/06/2026, brigade d'Hélène Darroze) ; dirige Le Bœuf d'Argent (Vieux Lyon).</t>
        </is>
      </c>
      <c r="F11" s="13" t="inlineStr">
        <is>
          <t>En poste à Lyon.</t>
        </is>
      </c>
      <c r="G11" s="14" t="inlineStr">
        <is>
          <t>Notoriété télévisée très récente ; déplacements à prévoir.</t>
        </is>
      </c>
      <c r="H11" s="14" t="inlineStr">
        <is>
          <t>Visage connu du grand public, absente de Paris.</t>
        </is>
      </c>
      <c r="I11" s="12" t="inlineStr">
        <is>
          <t>Via Le Bœuf d'Argent / agent</t>
        </is>
      </c>
      <c r="J11" s="12" t="inlineStr">
        <is>
          <t>B</t>
        </is>
      </c>
      <c r="K11" s="12" t="inlineStr">
        <is>
          <t>Agent et sollicitations</t>
        </is>
      </c>
      <c r="L11" s="12" t="inlineStr">
        <is>
          <t>S10</t>
        </is>
      </c>
      <c r="M11" s="15" t="inlineStr">
        <is>
          <t>À qualifier</t>
        </is>
      </c>
      <c r="N11" s="16" t="n"/>
      <c r="O11" s="15" t="inlineStr">
        <is>
          <t>Vérifier la situation actuelle</t>
        </is>
      </c>
      <c r="P11" s="15" t="n"/>
      <c r="Q11" s="15" t="n"/>
    </row>
    <row r="12">
      <c r="A12" s="12" t="inlineStr">
        <is>
          <t>CH11</t>
        </is>
      </c>
      <c r="B12" s="12" t="inlineStr">
        <is>
          <t>Raimundo Briones</t>
        </is>
      </c>
      <c r="C12" s="12" t="inlineStr">
        <is>
          <t>3. Chef indépendant / pop-up / supper club</t>
        </is>
      </c>
      <c r="D12" s="12" t="inlineStr">
        <is>
          <t>Chilienne / créative</t>
        </is>
      </c>
      <c r="E12" s="13" t="inlineStr">
        <is>
          <t>Chef chilien, ancien architecte ; supper club ACR Paris en lieu non dévoilé et commandes privées (guide promotionnel, 01/06/2026).</t>
        </is>
      </c>
      <c r="F12" s="13" t="inlineStr">
        <is>
          <t>Sans adresse fixe.</t>
        </is>
      </c>
      <c r="G12" s="14" t="inlineStr">
        <is>
          <t>Élevée.</t>
        </is>
      </c>
      <c r="H12" s="14" t="inlineStr">
        <is>
          <t>Déjà rodé aux dîners privés en lieu secret.</t>
        </is>
      </c>
      <c r="I12" s="12" t="inlineStr">
        <is>
          <t>Compte professionnel ACR Paris</t>
        </is>
      </c>
      <c r="J12" s="12" t="inlineStr">
        <is>
          <t>B</t>
        </is>
      </c>
      <c r="K12" s="12" t="inlineStr">
        <is>
          <t>Soirées déclarées (licence, hygiène)</t>
        </is>
      </c>
      <c r="L12" s="12" t="inlineStr">
        <is>
          <t>S14</t>
        </is>
      </c>
      <c r="M12" s="15" t="inlineStr">
        <is>
          <t>À qualifier</t>
        </is>
      </c>
      <c r="N12" s="16" t="n"/>
      <c r="O12" s="15" t="inlineStr">
        <is>
          <t>Vérifier la situation actuelle</t>
        </is>
      </c>
      <c r="P12" s="15" t="n"/>
      <c r="Q12" s="15" t="n"/>
    </row>
    <row r="13">
      <c r="A13" s="12" t="inlineStr">
        <is>
          <t>CH12</t>
        </is>
      </c>
      <c r="B13" s="12" t="inlineStr">
        <is>
          <t>Matteo Pioppi</t>
        </is>
      </c>
      <c r="C13" s="12" t="inlineStr">
        <is>
          <t>4. Second ou ancien d'une maison étoilée</t>
        </is>
      </c>
      <c r="D13" s="12" t="inlineStr">
        <is>
          <t>Gastronomique</t>
        </is>
      </c>
      <c r="E13" s="13" t="inlineStr">
        <is>
          <t>Candidat Top Chef 2026 ; sous-chef de Blanc (Paris).</t>
        </is>
      </c>
      <c r="F13" s="13" t="inlineStr">
        <is>
          <t>En poste (sous-chef).</t>
        </is>
      </c>
      <c r="G13" s="14" t="inlineStr">
        <is>
          <t>Soirées ponctuelles avec accord de l'employeur.</t>
        </is>
      </c>
      <c r="H13" s="14" t="inlineStr">
        <is>
          <t>Profil « second d'un grand restaurant » visé par le cadre.</t>
        </is>
      </c>
      <c r="I13" s="12" t="inlineStr">
        <is>
          <t>Compte professionnel</t>
        </is>
      </c>
      <c r="J13" s="12" t="inlineStr">
        <is>
          <t>B</t>
        </is>
      </c>
      <c r="K13" s="12" t="inlineStr">
        <is>
          <t>Accord de l'employeur</t>
        </is>
      </c>
      <c r="L13" s="12" t="inlineStr">
        <is>
          <t>S16</t>
        </is>
      </c>
      <c r="M13" s="15" t="inlineStr">
        <is>
          <t>À qualifier</t>
        </is>
      </c>
      <c r="N13" s="16" t="n"/>
      <c r="O13" s="15" t="inlineStr">
        <is>
          <t>Vérifier la situation actuelle</t>
        </is>
      </c>
      <c r="P13" s="15" t="n"/>
      <c r="Q13" s="15" t="n"/>
    </row>
    <row r="14">
      <c r="A14" s="12" t="inlineStr">
        <is>
          <t>CH13</t>
        </is>
      </c>
      <c r="B14" s="12" t="inlineStr">
        <is>
          <t>Dylan Bury</t>
        </is>
      </c>
      <c r="C14" s="12" t="inlineStr">
        <is>
          <t>4. Second ou ancien d'une maison étoilée</t>
        </is>
      </c>
      <c r="D14" s="12" t="inlineStr">
        <is>
          <t>Gastronomique classique</t>
        </is>
      </c>
      <c r="E14" s="13" t="inlineStr">
        <is>
          <t>Candidat Top Chef 2026 ; sous-chef de Maison Rostang (2 étoiles historiques).</t>
        </is>
      </c>
      <c r="F14" s="13" t="inlineStr">
        <is>
          <t>En poste (sous-chef).</t>
        </is>
      </c>
      <c r="G14" s="14" t="inlineStr">
        <is>
          <t>Soirées ponctuelles avec accord de l'employeur.</t>
        </is>
      </c>
      <c r="H14" s="14" t="inlineStr">
        <is>
          <t>Second d'une grande maison parisienne.</t>
        </is>
      </c>
      <c r="I14" s="12" t="inlineStr">
        <is>
          <t>Compte professionnel</t>
        </is>
      </c>
      <c r="J14" s="12" t="inlineStr">
        <is>
          <t>B</t>
        </is>
      </c>
      <c r="K14" s="12" t="inlineStr">
        <is>
          <t>Accord de l'employeur</t>
        </is>
      </c>
      <c r="L14" s="12" t="inlineStr">
        <is>
          <t>S16</t>
        </is>
      </c>
      <c r="M14" s="15" t="inlineStr">
        <is>
          <t>À qualifier</t>
        </is>
      </c>
      <c r="N14" s="16" t="n"/>
      <c r="O14" s="15" t="inlineStr">
        <is>
          <t>Vérifier la situation actuelle</t>
        </is>
      </c>
      <c r="P14" s="15" t="n"/>
      <c r="Q14" s="15" t="n"/>
    </row>
    <row r="15">
      <c r="A15" s="12" t="inlineStr">
        <is>
          <t>CH14</t>
        </is>
      </c>
      <c r="B15" s="12" t="inlineStr">
        <is>
          <t>Benjamin Le Moal</t>
        </is>
      </c>
      <c r="C15" s="12" t="inlineStr">
        <is>
          <t>5. Chef privé passé par l'étoilé</t>
        </is>
      </c>
      <c r="D15" s="12" t="inlineStr">
        <is>
          <t>Gastronomie sur mesure</t>
        </is>
      </c>
      <c r="E15" s="13" t="inlineStr">
        <is>
          <t>Formé à Ferrandi ; expérience en maisons étoilées ; chef privé haut de gamme depuis 2013 (selon son site).</t>
        </is>
      </c>
      <c r="F15" s="13" t="inlineStr">
        <is>
          <t>Chef privé.</t>
        </is>
      </c>
      <c r="G15" s="14" t="inlineStr">
        <is>
          <t>Élevée.</t>
        </is>
      </c>
      <c r="H15" s="14" t="inlineStr">
        <is>
          <t>Habitué d'une clientèle exigeante et internationale, à domicile.</t>
        </is>
      </c>
      <c r="I15" s="12" t="inlineStr">
        <is>
          <t>Site professionnel</t>
        </is>
      </c>
      <c r="J15" s="12" t="inlineStr">
        <is>
          <t>B</t>
        </is>
      </c>
      <c r="K15" s="12" t="inlineStr">
        <is>
          <t>Maisons étoilées précises</t>
        </is>
      </c>
      <c r="L15" s="12" t="inlineStr">
        <is>
          <t>S18</t>
        </is>
      </c>
      <c r="M15" s="15" t="inlineStr">
        <is>
          <t>À qualifier</t>
        </is>
      </c>
      <c r="N15" s="16" t="n"/>
      <c r="O15" s="15" t="inlineStr">
        <is>
          <t>Vérifier la situation actuelle</t>
        </is>
      </c>
      <c r="P15" s="15" t="n"/>
      <c r="Q15" s="15" t="n"/>
    </row>
    <row r="16">
      <c r="A16" s="12" t="inlineStr">
        <is>
          <t>CH15</t>
        </is>
      </c>
      <c r="B16" s="12" t="inlineStr">
        <is>
          <t>Jihyun Kim</t>
        </is>
      </c>
      <c r="C16" s="12" t="inlineStr">
        <is>
          <t>6. Nouveau talent distingué en 2026 (en poste)</t>
        </is>
      </c>
      <c r="D16" s="12" t="inlineStr">
        <is>
          <t>Coréenne / gastronomique</t>
        </is>
      </c>
      <c r="E16" s="13" t="inlineStr">
        <is>
          <t>« Jeune talent » Gault&amp;Millau Île-de-France 2026 ; cheffe d'Ébène (Paris 15e).</t>
        </is>
      </c>
      <c r="F16" s="13" t="inlineStr">
        <is>
          <t>En poste.</t>
        </is>
      </c>
      <c r="G16" s="14" t="inlineStr">
        <is>
          <t>Faible à moyenne.</t>
        </is>
      </c>
      <c r="H16" s="14" t="inlineStr">
        <is>
          <t>Cuisine coréenne d'auteur, rare à Paris.</t>
        </is>
      </c>
      <c r="I16" s="12" t="inlineStr">
        <is>
          <t>Via Ébène</t>
        </is>
      </c>
      <c r="J16" s="12" t="inlineStr">
        <is>
          <t>B</t>
        </is>
      </c>
      <c r="K16" s="12" t="inlineStr"/>
      <c r="L16" s="12" t="inlineStr">
        <is>
          <t>S20</t>
        </is>
      </c>
      <c r="M16" s="15" t="inlineStr">
        <is>
          <t>À qualifier</t>
        </is>
      </c>
      <c r="N16" s="16" t="n"/>
      <c r="O16" s="15" t="inlineStr">
        <is>
          <t>Vérifier la situation actuelle</t>
        </is>
      </c>
      <c r="P16" s="15" t="n"/>
      <c r="Q16" s="15" t="n"/>
    </row>
    <row r="17">
      <c r="A17" s="12" t="inlineStr">
        <is>
          <t>CH16</t>
        </is>
      </c>
      <c r="B17" s="12" t="inlineStr">
        <is>
          <t>Khelil Morin</t>
        </is>
      </c>
      <c r="C17" s="12" t="inlineStr">
        <is>
          <t>6. Nouveau talent distingué en 2026 (en poste)</t>
        </is>
      </c>
      <c r="D17" s="12" t="inlineStr">
        <is>
          <t>À préciser</t>
        </is>
      </c>
      <c r="E17" s="13" t="inlineStr">
        <is>
          <t>Lauréat de la dotation Jeunes Talents Gault&amp;Millau 2026 pour son projet Mara (Paris).</t>
        </is>
      </c>
      <c r="F17" s="13" t="inlineStr">
        <is>
          <t>Restaurant en projet.</t>
        </is>
      </c>
      <c r="G17" s="14" t="inlineStr">
        <is>
          <t>Élevée avant ouverture.</t>
        </is>
      </c>
      <c r="H17" s="14" t="inlineStr">
        <is>
          <t>Soirées test avant l'ouverture de son restaurant : intérêt mutuel.</t>
        </is>
      </c>
      <c r="I17" s="12" t="inlineStr">
        <is>
          <t>Via Gault&amp;Millau / compte professionnel</t>
        </is>
      </c>
      <c r="J17" s="12" t="inlineStr">
        <is>
          <t>B</t>
        </is>
      </c>
      <c r="K17" s="12" t="inlineStr">
        <is>
          <t>Date d'ouverture de Mara</t>
        </is>
      </c>
      <c r="L17" s="12" t="inlineStr">
        <is>
          <t>S21</t>
        </is>
      </c>
      <c r="M17" s="15" t="inlineStr">
        <is>
          <t>À qualifier</t>
        </is>
      </c>
      <c r="N17" s="16" t="n"/>
      <c r="O17" s="15" t="inlineStr">
        <is>
          <t>Vérifier la situation actuelle</t>
        </is>
      </c>
      <c r="P17" s="15" t="n"/>
      <c r="Q17" s="15" t="n"/>
    </row>
    <row r="18">
      <c r="A18" s="12" t="inlineStr">
        <is>
          <t>CH17</t>
        </is>
      </c>
      <c r="B18" s="12" t="inlineStr">
        <is>
          <t>Philip Chronopoulos</t>
        </is>
      </c>
      <c r="C18" s="12" t="inlineStr">
        <is>
          <t>1. Chef étoilé en transition</t>
        </is>
      </c>
      <c r="D18" s="12" t="inlineStr">
        <is>
          <t>Gastronomie française</t>
        </is>
      </c>
      <c r="E18" s="13" t="inlineStr">
        <is>
          <t>Chef du Palais Royal Restaurant (Paris 1er), fermé définitivement ; reprend les cuisines du Taillevent (2 étoiles).</t>
        </is>
      </c>
      <c r="F18" s="13" t="inlineStr">
        <is>
          <t>En poste au Taillevent.</t>
        </is>
      </c>
      <c r="G18" s="14" t="inlineStr">
        <is>
          <t>Faible : chef d'une maison 2 étoiles.</t>
        </is>
      </c>
      <c r="H18" s="14" t="inlineStr">
        <is>
          <t>Grand nom pour une soirée exceptionnelle ou à quatre mains.</t>
        </is>
      </c>
      <c r="I18" s="12" t="inlineStr">
        <is>
          <t>Via Le Taillevent</t>
        </is>
      </c>
      <c r="J18" s="12" t="inlineStr">
        <is>
          <t>C</t>
        </is>
      </c>
      <c r="K18" s="12" t="inlineStr">
        <is>
          <t>Date de prise de poste</t>
        </is>
      </c>
      <c r="L18" s="12" t="inlineStr">
        <is>
          <t>S4, S5</t>
        </is>
      </c>
      <c r="M18" s="15" t="inlineStr">
        <is>
          <t>À qualifier</t>
        </is>
      </c>
      <c r="N18" s="16" t="n"/>
      <c r="O18" s="15" t="inlineStr">
        <is>
          <t>Vérifier la situation actuelle</t>
        </is>
      </c>
      <c r="P18" s="15" t="n"/>
      <c r="Q18" s="15" t="n"/>
    </row>
    <row r="19">
      <c r="A19" s="12" t="inlineStr">
        <is>
          <t>CH18</t>
        </is>
      </c>
      <c r="B19" s="12" t="inlineStr">
        <is>
          <t>Romain Meder</t>
        </is>
      </c>
      <c r="C19" s="12" t="inlineStr">
        <is>
          <t>4. Second ou ancien d'une maison étoilée</t>
        </is>
      </c>
      <c r="D19" s="12" t="inlineStr">
        <is>
          <t>Gastronomie naturelle</t>
        </is>
      </c>
      <c r="E19" s="13" t="inlineStr">
        <is>
          <t>Chef de Prévelle (Paris 7e), étoilé en 2026 ; ancien chef d'Alain Ducasse au Plaza Athénée.</t>
        </is>
      </c>
      <c r="F19" s="13" t="inlineStr">
        <is>
          <t>En poste.</t>
        </is>
      </c>
      <c r="G19" s="14" t="inlineStr">
        <is>
          <t>Faible à moyenne.</t>
        </is>
      </c>
      <c r="H19" s="14" t="inlineStr">
        <is>
          <t>Parcours de palace 3 étoiles ; soirée exceptionnelle ou à quatre mains.</t>
        </is>
      </c>
      <c r="I19" s="12" t="inlineStr">
        <is>
          <t>Via Prévelle</t>
        </is>
      </c>
      <c r="J19" s="12" t="inlineStr">
        <is>
          <t>C</t>
        </is>
      </c>
      <c r="K19" s="12" t="inlineStr"/>
      <c r="L19" s="12" t="inlineStr">
        <is>
          <t>S17, S16</t>
        </is>
      </c>
      <c r="M19" s="15" t="inlineStr">
        <is>
          <t>À qualifier</t>
        </is>
      </c>
      <c r="N19" s="16" t="n"/>
      <c r="O19" s="15" t="inlineStr">
        <is>
          <t>Vérifier la situation actuelle</t>
        </is>
      </c>
      <c r="P19" s="15" t="n"/>
      <c r="Q19" s="15" t="n"/>
    </row>
    <row r="20">
      <c r="A20" s="12" t="inlineStr">
        <is>
          <t>CH19</t>
        </is>
      </c>
      <c r="B20" s="12" t="inlineStr">
        <is>
          <t>Loïc Krimm</t>
        </is>
      </c>
      <c r="C20" s="12" t="inlineStr">
        <is>
          <t>5. Chef privé passé par l'étoilé</t>
        </is>
      </c>
      <c r="D20" s="12" t="inlineStr">
        <is>
          <t>Gastronomie française</t>
        </is>
      </c>
      <c r="E20" s="13" t="inlineStr">
        <is>
          <t>Passé par des maisons 1 et 2 étoiles ; demi-finaliste de la Coupe du monde des chefs à domicile (Paris, septembre 2025) (selon son site).</t>
        </is>
      </c>
      <c r="F20" s="13" t="inlineStr">
        <is>
          <t>Chef privé.</t>
        </is>
      </c>
      <c r="G20" s="14" t="inlineStr">
        <is>
          <t>Élevée.</t>
        </is>
      </c>
      <c r="H20" s="14" t="inlineStr">
        <is>
          <t>Chef privé à parcours étoilé.</t>
        </is>
      </c>
      <c r="I20" s="12" t="inlineStr">
        <is>
          <t>Site professionnel</t>
        </is>
      </c>
      <c r="J20" s="12" t="inlineStr">
        <is>
          <t>C</t>
        </is>
      </c>
      <c r="K20" s="12" t="inlineStr">
        <is>
          <t>Maisons étoilées précises</t>
        </is>
      </c>
      <c r="L20" s="12" t="inlineStr">
        <is>
          <t>S19</t>
        </is>
      </c>
      <c r="M20" s="15" t="inlineStr">
        <is>
          <t>À qualifier</t>
        </is>
      </c>
      <c r="N20" s="16" t="n"/>
      <c r="O20" s="15" t="inlineStr">
        <is>
          <t>Vérifier la situation actuelle</t>
        </is>
      </c>
      <c r="P20" s="15" t="n"/>
      <c r="Q20" s="15" t="n"/>
    </row>
    <row r="21">
      <c r="A21" s="12" t="inlineStr">
        <is>
          <t>CH20</t>
        </is>
      </c>
      <c r="B21" s="12" t="inlineStr">
        <is>
          <t>Takuya Watanabe</t>
        </is>
      </c>
      <c r="C21" s="12" t="inlineStr">
        <is>
          <t>6. Nouveau talent distingué en 2026 (en poste)</t>
        </is>
      </c>
      <c r="D21" s="12" t="inlineStr">
        <is>
          <t>Japonaise</t>
        </is>
      </c>
      <c r="E21" s="13" t="inlineStr">
        <is>
          <t>Chef de Hakuba (Paris 1er), passé à 2 étoiles en 2026.</t>
        </is>
      </c>
      <c r="F21" s="13" t="inlineStr">
        <is>
          <t>En poste.</t>
        </is>
      </c>
      <c r="G21" s="14" t="inlineStr">
        <is>
          <t>Faible.</t>
        </is>
      </c>
      <c r="H21" s="14" t="inlineStr">
        <is>
          <t>Grande cuisine japonaise, rare à Paris ; soirée exceptionnelle.</t>
        </is>
      </c>
      <c r="I21" s="12" t="inlineStr">
        <is>
          <t>Via Hakuba</t>
        </is>
      </c>
      <c r="J21" s="12" t="inlineStr">
        <is>
          <t>C</t>
        </is>
      </c>
      <c r="K21" s="12" t="inlineStr"/>
      <c r="L21" s="12" t="inlineStr">
        <is>
          <t>S17</t>
        </is>
      </c>
      <c r="M21" s="15" t="inlineStr">
        <is>
          <t>À qualifier</t>
        </is>
      </c>
      <c r="N21" s="16" t="n"/>
      <c r="O21" s="15" t="inlineStr">
        <is>
          <t>Vérifier la situation actuelle</t>
        </is>
      </c>
      <c r="P21" s="15" t="n"/>
      <c r="Q21" s="15" t="n"/>
    </row>
    <row r="22">
      <c r="A22" s="12" t="inlineStr">
        <is>
          <t>CH21</t>
        </is>
      </c>
      <c r="B22" s="12" t="inlineStr">
        <is>
          <t>Shawn Joyeux et Toshitaka Omiya</t>
        </is>
      </c>
      <c r="C22" s="12" t="inlineStr">
        <is>
          <t>6. Nouveau talent distingué en 2026 (en poste)</t>
        </is>
      </c>
      <c r="D22" s="12" t="inlineStr">
        <is>
          <t>Franco-japonaise</t>
        </is>
      </c>
      <c r="E22" s="13" t="inlineStr">
        <is>
          <t>Chefs d'Alliance (Paris 5e), passé à 2 étoiles en 2026.</t>
        </is>
      </c>
      <c r="F22" s="13" t="inlineStr">
        <is>
          <t>En poste.</t>
        </is>
      </c>
      <c r="G22" s="14" t="inlineStr">
        <is>
          <t>Faible.</t>
        </is>
      </c>
      <c r="H22" s="14" t="inlineStr">
        <is>
          <t>Duo reconnu ; soirée à quatre mains.</t>
        </is>
      </c>
      <c r="I22" s="12" t="inlineStr">
        <is>
          <t>Via Alliance</t>
        </is>
      </c>
      <c r="J22" s="12" t="inlineStr">
        <is>
          <t>C</t>
        </is>
      </c>
      <c r="K22" s="12" t="inlineStr"/>
      <c r="L22" s="12" t="inlineStr">
        <is>
          <t>S17</t>
        </is>
      </c>
      <c r="M22" s="15" t="inlineStr">
        <is>
          <t>À qualifier</t>
        </is>
      </c>
      <c r="N22" s="16" t="n"/>
      <c r="O22" s="15" t="inlineStr">
        <is>
          <t>Vérifier la situation actuelle</t>
        </is>
      </c>
      <c r="P22" s="15" t="n"/>
      <c r="Q22" s="15" t="n"/>
    </row>
    <row r="23">
      <c r="A23" s="12" t="inlineStr">
        <is>
          <t>CH22</t>
        </is>
      </c>
      <c r="B23" s="12" t="inlineStr">
        <is>
          <t>Camille Gouyer et Frédéric Lorimier</t>
        </is>
      </c>
      <c r="C23" s="12" t="inlineStr">
        <is>
          <t>6. Nouveau talent distingué en 2026 (en poste)</t>
        </is>
      </c>
      <c r="D23" s="12" t="inlineStr">
        <is>
          <t>Gastronomique</t>
        </is>
      </c>
      <c r="E23" s="13" t="inlineStr">
        <is>
          <t>Chefs de Virtus (Paris 12e), passé à 2 étoiles en 2026.</t>
        </is>
      </c>
      <c r="F23" s="13" t="inlineStr">
        <is>
          <t>En poste.</t>
        </is>
      </c>
      <c r="G23" s="14" t="inlineStr">
        <is>
          <t>Faible.</t>
        </is>
      </c>
      <c r="H23" s="14" t="inlineStr">
        <is>
          <t>Duo reconnu ; soirée à quatre mains.</t>
        </is>
      </c>
      <c r="I23" s="12" t="inlineStr">
        <is>
          <t>Via Virtus</t>
        </is>
      </c>
      <c r="J23" s="12" t="inlineStr">
        <is>
          <t>C</t>
        </is>
      </c>
      <c r="K23" s="12" t="inlineStr"/>
      <c r="L23" s="12" t="inlineStr">
        <is>
          <t>S17</t>
        </is>
      </c>
      <c r="M23" s="15" t="inlineStr">
        <is>
          <t>À qualifier</t>
        </is>
      </c>
      <c r="N23" s="16" t="n"/>
      <c r="O23" s="15" t="inlineStr">
        <is>
          <t>Vérifier la situation actuelle</t>
        </is>
      </c>
      <c r="P23" s="15" t="n"/>
      <c r="Q23" s="15" t="n"/>
    </row>
    <row r="24">
      <c r="A24" s="12" t="inlineStr">
        <is>
          <t>CH23</t>
        </is>
      </c>
      <c r="B24" s="12" t="inlineStr">
        <is>
          <t>Martino Ruggieri</t>
        </is>
      </c>
      <c r="C24" s="12" t="inlineStr">
        <is>
          <t>6. Nouveau talent distingué en 2026 (en poste)</t>
        </is>
      </c>
      <c r="D24" s="12" t="inlineStr">
        <is>
          <t>Italienne gastronomique</t>
        </is>
      </c>
      <c r="E24" s="13" t="inlineStr">
        <is>
          <t>Maison Ruggieri (Palais Royal), 1 étoile en 2026 après déménagement.</t>
        </is>
      </c>
      <c r="F24" s="13" t="inlineStr">
        <is>
          <t>En poste.</t>
        </is>
      </c>
      <c r="G24" s="14" t="inlineStr">
        <is>
          <t>Faible.</t>
        </is>
      </c>
      <c r="H24" s="14" t="inlineStr">
        <is>
          <t>Grande cuisine italienne : soirée « Italie » du cadre.</t>
        </is>
      </c>
      <c r="I24" s="12" t="inlineStr">
        <is>
          <t>Via Maison Ruggieri</t>
        </is>
      </c>
      <c r="J24" s="12" t="inlineStr">
        <is>
          <t>C</t>
        </is>
      </c>
      <c r="K24" s="12" t="inlineStr"/>
      <c r="L24" s="12" t="inlineStr">
        <is>
          <t>S17, S6</t>
        </is>
      </c>
      <c r="M24" s="15" t="inlineStr">
        <is>
          <t>À qualifier</t>
        </is>
      </c>
      <c r="N24" s="16" t="n"/>
      <c r="O24" s="15" t="inlineStr">
        <is>
          <t>Vérifier la situation actuelle</t>
        </is>
      </c>
      <c r="P24" s="15" t="n"/>
      <c r="Q24" s="15" t="n"/>
    </row>
    <row r="25">
      <c r="A25" s="12" t="inlineStr">
        <is>
          <t>CH24</t>
        </is>
      </c>
      <c r="B25" s="12" t="inlineStr">
        <is>
          <t>Arthur Dubois</t>
        </is>
      </c>
      <c r="C25" s="12" t="inlineStr">
        <is>
          <t>6. Nouveau talent distingué en 2026 (en poste)</t>
        </is>
      </c>
      <c r="D25" s="12" t="inlineStr">
        <is>
          <t>Gastronomique</t>
        </is>
      </c>
      <c r="E25" s="13" t="inlineStr">
        <is>
          <t>Chef d'Héritages (Paris 8e), étoilé en 2026.</t>
        </is>
      </c>
      <c r="F25" s="13" t="inlineStr">
        <is>
          <t>En poste.</t>
        </is>
      </c>
      <c r="G25" s="14" t="inlineStr">
        <is>
          <t>Faible à moyenne.</t>
        </is>
      </c>
      <c r="H25" s="14" t="inlineStr">
        <is>
          <t>Jeune étoilé.</t>
        </is>
      </c>
      <c r="I25" s="12" t="inlineStr">
        <is>
          <t>Via Héritages</t>
        </is>
      </c>
      <c r="J25" s="12" t="inlineStr">
        <is>
          <t>C</t>
        </is>
      </c>
      <c r="K25" s="12" t="inlineStr"/>
      <c r="L25" s="12" t="inlineStr">
        <is>
          <t>S17</t>
        </is>
      </c>
      <c r="M25" s="15" t="inlineStr">
        <is>
          <t>À qualifier</t>
        </is>
      </c>
      <c r="N25" s="16" t="n"/>
      <c r="O25" s="15" t="inlineStr">
        <is>
          <t>Vérifier la situation actuelle</t>
        </is>
      </c>
      <c r="P25" s="15" t="n"/>
      <c r="Q25" s="15" t="n"/>
    </row>
    <row r="26">
      <c r="A26" s="12" t="inlineStr">
        <is>
          <t>CH25</t>
        </is>
      </c>
      <c r="B26" s="12" t="inlineStr">
        <is>
          <t>Julien Dumas</t>
        </is>
      </c>
      <c r="C26" s="12" t="inlineStr">
        <is>
          <t>6. Nouveau talent distingué en 2026 (en poste)</t>
        </is>
      </c>
      <c r="D26" s="12" t="inlineStr">
        <is>
          <t>Gastronomique</t>
        </is>
      </c>
      <c r="E26" s="13" t="inlineStr">
        <is>
          <t>Chef de Zostera (Paris 16e), étoilé en 2026.</t>
        </is>
      </c>
      <c r="F26" s="13" t="inlineStr">
        <is>
          <t>En poste.</t>
        </is>
      </c>
      <c r="G26" s="14" t="inlineStr">
        <is>
          <t>Faible à moyenne.</t>
        </is>
      </c>
      <c r="H26" s="14" t="inlineStr">
        <is>
          <t>Jeune étoilé.</t>
        </is>
      </c>
      <c r="I26" s="12" t="inlineStr">
        <is>
          <t>Via Zostera</t>
        </is>
      </c>
      <c r="J26" s="12" t="inlineStr">
        <is>
          <t>C</t>
        </is>
      </c>
      <c r="K26" s="12" t="inlineStr"/>
      <c r="L26" s="12" t="inlineStr">
        <is>
          <t>S17</t>
        </is>
      </c>
      <c r="M26" s="15" t="inlineStr">
        <is>
          <t>À qualifier</t>
        </is>
      </c>
      <c r="N26" s="16" t="n"/>
      <c r="O26" s="15" t="inlineStr">
        <is>
          <t>Vérifier la situation actuelle</t>
        </is>
      </c>
      <c r="P26" s="15" t="n"/>
      <c r="Q26" s="15" t="n"/>
    </row>
    <row r="27">
      <c r="A27" s="12" t="inlineStr">
        <is>
          <t>CH26</t>
        </is>
      </c>
      <c r="B27" s="12" t="inlineStr">
        <is>
          <t>Jason Gouzy</t>
        </is>
      </c>
      <c r="C27" s="12" t="inlineStr">
        <is>
          <t>6. Nouveau talent distingué en 2026 (en poste)</t>
        </is>
      </c>
      <c r="D27" s="12" t="inlineStr">
        <is>
          <t>Gastronomique</t>
        </is>
      </c>
      <c r="E27" s="13" t="inlineStr">
        <is>
          <t>« Grand de demain » Gault&amp;Millau Île-de-France 2026, pour Pantagruel (Paris 1er).</t>
        </is>
      </c>
      <c r="F27" s="13" t="inlineStr">
        <is>
          <t>En poste.</t>
        </is>
      </c>
      <c r="G27" s="14" t="inlineStr">
        <is>
          <t>Faible à moyenne.</t>
        </is>
      </c>
      <c r="H27" s="14" t="inlineStr">
        <is>
          <t>Distinction récente.</t>
        </is>
      </c>
      <c r="I27" s="12" t="inlineStr">
        <is>
          <t>Via Pantagruel</t>
        </is>
      </c>
      <c r="J27" s="12" t="inlineStr">
        <is>
          <t>C</t>
        </is>
      </c>
      <c r="K27" s="12" t="inlineStr"/>
      <c r="L27" s="12" t="inlineStr">
        <is>
          <t>S20</t>
        </is>
      </c>
      <c r="M27" s="15" t="inlineStr">
        <is>
          <t>À qualifier</t>
        </is>
      </c>
      <c r="N27" s="16" t="n"/>
      <c r="O27" s="15" t="inlineStr">
        <is>
          <t>Vérifier la situation actuelle</t>
        </is>
      </c>
      <c r="P27" s="15" t="n"/>
      <c r="Q27" s="15" t="n"/>
    </row>
    <row r="28">
      <c r="A28" s="12" t="inlineStr">
        <is>
          <t>CH27</t>
        </is>
      </c>
      <c r="B28" s="12" t="inlineStr">
        <is>
          <t>Tom Meyer</t>
        </is>
      </c>
      <c r="C28" s="12" t="inlineStr">
        <is>
          <t>7. Meilleur Ouvrier de France</t>
        </is>
      </c>
      <c r="D28" s="12" t="inlineStr">
        <is>
          <t>Gastronomique</t>
        </is>
      </c>
      <c r="E28" s="13" t="inlineStr">
        <is>
          <t>Meilleur Ouvrier de France (novembre 2022) ; chef de Granite (Paris 1er), fermé samedi et dimanche (base HEC Cuisine Innovation).</t>
        </is>
      </c>
      <c r="F28" s="13" t="inlineStr">
        <is>
          <t>En poste.</t>
        </is>
      </c>
      <c r="G28" s="14" t="inlineStr">
        <is>
          <t>Faible à moyenne.</t>
        </is>
      </c>
      <c r="H28" s="14" t="inlineStr">
        <is>
          <t>Titre MOF : argument de prestige.</t>
        </is>
      </c>
      <c r="I28" s="12" t="inlineStr">
        <is>
          <t>Via Granite</t>
        </is>
      </c>
      <c r="J28" s="12" t="inlineStr">
        <is>
          <t>C</t>
        </is>
      </c>
      <c r="K28" s="12" t="inlineStr"/>
      <c r="L28" s="12" t="inlineStr">
        <is>
          <t>S22</t>
        </is>
      </c>
      <c r="M28" s="15" t="inlineStr">
        <is>
          <t>À qualifier</t>
        </is>
      </c>
      <c r="N28" s="16" t="n"/>
      <c r="O28" s="15" t="inlineStr">
        <is>
          <t>Vérifier la situation actuelle</t>
        </is>
      </c>
      <c r="P28" s="15" t="n"/>
      <c r="Q28" s="15" t="n"/>
    </row>
    <row r="29">
      <c r="A29" s="12" t="inlineStr">
        <is>
          <t>CH28</t>
        </is>
      </c>
      <c r="B29" s="12" t="inlineStr">
        <is>
          <t>Christophe Raoux</t>
        </is>
      </c>
      <c r="C29" s="12" t="inlineStr">
        <is>
          <t>7. Meilleur Ouvrier de France</t>
        </is>
      </c>
      <c r="D29" s="12" t="inlineStr">
        <is>
          <t>Française classique</t>
        </is>
      </c>
      <c r="E29" s="13" t="inlineStr">
        <is>
          <t>Meilleur Ouvrier de France 2015 ; chef exécutif du Café de la Paix et des restaurants de l'InterContinental Paris Le Grand (à la date de la source).</t>
        </is>
      </c>
      <c r="F29" s="13" t="inlineStr">
        <is>
          <t>Probablement en poste (source ancienne).</t>
        </is>
      </c>
      <c r="G29" s="14" t="inlineStr">
        <is>
          <t>À vérifier.</t>
        </is>
      </c>
      <c r="H29" s="14" t="inlineStr">
        <is>
          <t>Titre MOF, expérience des grands volumes.</t>
        </is>
      </c>
      <c r="I29" s="12" t="inlineStr">
        <is>
          <t>Via l'hôtel</t>
        </is>
      </c>
      <c r="J29" s="12" t="inlineStr">
        <is>
          <t>C</t>
        </is>
      </c>
      <c r="K29" s="12" t="inlineStr">
        <is>
          <t>Poste actuel</t>
        </is>
      </c>
      <c r="L29" s="12" t="inlineStr">
        <is>
          <t>S23</t>
        </is>
      </c>
      <c r="M29" s="15" t="inlineStr">
        <is>
          <t>À qualifier</t>
        </is>
      </c>
      <c r="N29" s="16" t="n"/>
      <c r="O29" s="15" t="inlineStr">
        <is>
          <t>Vérifier la situation actuelle</t>
        </is>
      </c>
      <c r="P29" s="15" t="n"/>
      <c r="Q29" s="15" t="n"/>
    </row>
  </sheetData>
  <autoFilter ref="A1:Q29"/>
  <conditionalFormatting sqref="J2:J59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dataValidations count="1">
    <dataValidation sqref="M2:M59" showDropDown="0" showInputMessage="0" showErrorMessage="0" allowBlank="1" type="list">
      <formula1>"À qualifier,Contact identifié,Contacté,Rencontré,Intéressé,Transmis au Produit,Accord de principe,Contrat signé,Refus,En pause"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95" customWidth="1" min="3" max="3"/>
    <col width="14" customWidth="1" min="4" max="4"/>
  </cols>
  <sheetData>
    <row r="1">
      <c r="A1" s="17" t="inlineStr">
        <is>
          <t>Réf.</t>
        </is>
      </c>
      <c r="B1" s="17" t="inlineStr">
        <is>
          <t>Source</t>
        </is>
      </c>
      <c r="C1" s="17" t="inlineStr">
        <is>
          <t>Lien</t>
        </is>
      </c>
      <c r="D1" s="17" t="inlineStr">
        <is>
          <t>Date</t>
        </is>
      </c>
    </row>
    <row r="2">
      <c r="A2" s="4" t="inlineStr">
        <is>
          <t>S1</t>
        </is>
      </c>
      <c r="B2" s="4" t="inlineStr">
        <is>
          <t>Au cœur du CHR, Boris Campanella quitte l'Hôtel de Crillon</t>
        </is>
      </c>
      <c r="C2" s="4" t="inlineStr">
        <is>
          <t>https://aucoeurduchr.fr/article/nominations-et-mouvements/boris-campanella-quitte-crillon/</t>
        </is>
      </c>
      <c r="D2" s="4" t="inlineStr">
        <is>
          <t>fin 2025</t>
        </is>
      </c>
    </row>
    <row r="3">
      <c r="A3" s="4" t="inlineStr">
        <is>
          <t>S2</t>
        </is>
      </c>
      <c r="B3" s="4" t="inlineStr">
        <is>
          <t>Gault&amp;Millau, L'Écrin va bientôt fermer</t>
        </is>
      </c>
      <c r="C3" s="4" t="inlineStr">
        <is>
          <t>https://fr.gaultmillau.com/en/news/l-ecrin-restaurant-4-toques-de-l-hotel-de-crillon-va-bientot-fermer</t>
        </is>
      </c>
      <c r="D3" s="4" t="inlineStr">
        <is>
          <t>2025</t>
        </is>
      </c>
    </row>
    <row r="4">
      <c r="A4" s="4" t="inlineStr">
        <is>
          <t>S3</t>
        </is>
      </c>
      <c r="B4" s="4" t="inlineStr">
        <is>
          <t>Sortiraparis, fermeture de Yam'Tcha</t>
        </is>
      </c>
      <c r="C4" s="4" t="inlineStr">
        <is>
          <t>https://www.sortiraparis.com/actualites/a-paris/articles/338500-fermeture-de-yam-tcha-le-restaurant-etoile-d-adeline-grattard-a-paris</t>
        </is>
      </c>
      <c r="D4" s="4" t="inlineStr">
        <is>
          <t>décembre 2025</t>
        </is>
      </c>
    </row>
    <row r="5">
      <c r="A5" s="4" t="inlineStr">
        <is>
          <t>S4</t>
        </is>
      </c>
      <c r="B5" s="4" t="inlineStr">
        <is>
          <t>L'Hôtellerie Restauration, Michelin 2026 : rétrogradations et suppressions</t>
        </is>
      </c>
      <c r="C5" s="4" t="inlineStr">
        <is>
          <t>https://www.lhotellerie-restauration.fr/actualite/michelin-2026-les-retrogradations-et-suppressions</t>
        </is>
      </c>
      <c r="D5" s="4" t="inlineStr">
        <is>
          <t>mars 2026</t>
        </is>
      </c>
    </row>
    <row r="6">
      <c r="A6" s="4" t="inlineStr">
        <is>
          <t>S5</t>
        </is>
      </c>
      <c r="B6" s="4" t="inlineStr">
        <is>
          <t>Gilles Pudlowski, Michelin 2026 : les suppressions d'étoiles</t>
        </is>
      </c>
      <c r="C6" s="4" t="inlineStr">
        <is>
          <t>https://www.gillespudlowski.com/421381/actualites/michelin-2026-les-suppressions-detoiles</t>
        </is>
      </c>
      <c r="D6" s="4" t="inlineStr">
        <is>
          <t>mars 2026</t>
        </is>
      </c>
    </row>
    <row r="7">
      <c r="A7" s="4" t="inlineStr">
        <is>
          <t>S6</t>
        </is>
      </c>
      <c r="B7" s="4" t="inlineStr">
        <is>
          <t>Paris by Mouth, Hémicycle (now closed)</t>
        </is>
      </c>
      <c r="C7" s="4" t="inlineStr">
        <is>
          <t>https://parisbymouth.com/hemicycle/</t>
        </is>
      </c>
      <c r="D7" s="4" t="inlineStr">
        <is>
          <t>fin 2025</t>
        </is>
      </c>
    </row>
    <row r="8">
      <c r="A8" s="4" t="inlineStr">
        <is>
          <t>S7</t>
        </is>
      </c>
      <c r="B8" s="4" t="inlineStr">
        <is>
          <t>Guide Michelin, pop-up de Florent Pietravalle au Lutetia</t>
        </is>
      </c>
      <c r="C8" s="4" t="inlineStr">
        <is>
          <t>https://guide.michelin.com/en/article/travel/paris-pop-up-lutetia-hotel-florent-pietravalle</t>
        </is>
      </c>
      <c r="D8" s="4" t="inlineStr">
        <is>
          <t>09/07/2025</t>
        </is>
      </c>
    </row>
    <row r="9">
      <c r="A9" s="4" t="inlineStr">
        <is>
          <t>S8</t>
        </is>
      </c>
      <c r="B9" s="4" t="inlineStr">
        <is>
          <t>Time Out Paris, la cuisine étoilée de Florent Pietravalle s'installe à Paris</t>
        </is>
      </c>
      <c r="C9" s="4" t="inlineStr">
        <is>
          <t>https://www.timeout.fr/paris/actualites/rouget-langoustine-caviar-la-cuisine-etoilee-de-florent-pietravalle-sinstalle-a-paris-061125</t>
        </is>
      </c>
      <c r="D9" s="4" t="inlineStr">
        <is>
          <t>juin 2025</t>
        </is>
      </c>
    </row>
    <row r="10">
      <c r="A10" s="4" t="inlineStr">
        <is>
          <t>S9</t>
        </is>
      </c>
      <c r="B10" s="4" t="inlineStr">
        <is>
          <t>Gault&amp;Millau, Alexandre Gauthier ouvre un restaurant éphémère à Paris</t>
        </is>
      </c>
      <c r="C10" s="4" t="inlineStr">
        <is>
          <t>https://fr.gaultmillau.com/fr/news/alexandre-gauthier-ouvre-un-restaurant-ephemere-a-paris</t>
        </is>
      </c>
      <c r="D10" s="4" t="inlineStr">
        <is>
          <t>avril 2024</t>
        </is>
      </c>
    </row>
    <row r="11">
      <c r="A11" s="4" t="inlineStr">
        <is>
          <t>S10</t>
        </is>
      </c>
      <c r="B11" s="4" t="inlineStr">
        <is>
          <t>Sortiraparis, Top Chef 2026 : qui a gagné la saison 17</t>
        </is>
      </c>
      <c r="C11" s="4" t="inlineStr">
        <is>
          <t>https://www.sortiraparis.com/en/what-to-do-in-paris/cinema-series/articles/347097-top-chef-2026-who-will-win-the-17th-season</t>
        </is>
      </c>
      <c r="D11" s="4" t="inlineStr">
        <is>
          <t>juin 2026</t>
        </is>
      </c>
    </row>
    <row r="12">
      <c r="A12" s="4" t="inlineStr">
        <is>
          <t>S11</t>
        </is>
      </c>
      <c r="B12" s="4" t="inlineStr">
        <is>
          <t>Sortiraparis, Cramat' d'Alexy</t>
        </is>
      </c>
      <c r="C12" s="4" t="inlineStr">
        <is>
          <t>https://www.sortiraparis.com/en/where-to-eat-in-paris/restaurant/articles/347128-alexy-top-chef-finalist-opens-a-pop-up-restaurant-named-cramat-on-the-outskirts-of-paris</t>
        </is>
      </c>
      <c r="D12" s="4" t="inlineStr">
        <is>
          <t>2026</t>
        </is>
      </c>
    </row>
    <row r="13">
      <c r="A13" s="4" t="inlineStr">
        <is>
          <t>S12</t>
        </is>
      </c>
      <c r="B13" s="4" t="inlineStr">
        <is>
          <t>Le Fooding, résidence Fulgurances de Jesús Durón</t>
        </is>
      </c>
      <c r="C13" s="4" t="inlineStr">
        <is>
          <t>https://lefooding.com/actus?page=37</t>
        </is>
      </c>
      <c r="D13" s="4" t="inlineStr">
        <is>
          <t>2024</t>
        </is>
      </c>
    </row>
    <row r="14">
      <c r="A14" s="4" t="inlineStr">
        <is>
          <t>S13</t>
        </is>
      </c>
      <c r="B14" s="4" t="inlineStr">
        <is>
          <t>Time Out Paris, table éphémère de We Are Ona pendant Art Basel Paris</t>
        </is>
      </c>
      <c r="C14" s="4" t="inlineStr">
        <is>
          <t>https://www.timeout.fr/paris/actualites/pour-art-basel-paris-we-are-ona-cache-sa-table-ephemere-chez-un-ancien-carrossier-092925</t>
        </is>
      </c>
      <c r="D14" s="4" t="inlineStr">
        <is>
          <t>non établie</t>
        </is>
      </c>
    </row>
    <row r="15">
      <c r="A15" s="4" t="inlineStr">
        <is>
          <t>S14</t>
        </is>
      </c>
      <c r="B15" s="4" t="inlineStr">
        <is>
          <t>Travel And Retreat, supper clubs de Paris en 2026</t>
        </is>
      </c>
      <c r="C15" s="4" t="inlineStr">
        <is>
          <t>https://travelandretreat.com/2026/06/01/the-best-paris-supper-clubs-in-2026-and-how-to-actually-get-a-seat/</t>
        </is>
      </c>
      <c r="D15" s="4" t="inlineStr">
        <is>
          <t>01/06/2026</t>
        </is>
      </c>
    </row>
    <row r="16">
      <c r="A16" s="4" t="inlineStr">
        <is>
          <t>S15</t>
        </is>
      </c>
      <c r="B16" s="4" t="inlineStr">
        <is>
          <t>Superfuture, Dalad's pop-up restaurant</t>
        </is>
      </c>
      <c r="C16" s="4" t="inlineStr">
        <is>
          <t>https://superfuture.com/2026/10/new-restaurants-bars/paris-dalads-pop-up-restaurant/</t>
        </is>
      </c>
      <c r="D16" s="4" t="inlineStr">
        <is>
          <t>10/2026</t>
        </is>
      </c>
    </row>
    <row r="17">
      <c r="A17" s="4" t="inlineStr">
        <is>
          <t>S16</t>
        </is>
      </c>
      <c r="B17" s="4" t="inlineStr">
        <is>
          <t>Le Bonbon, candidats parisiens de Top Chef saison 17</t>
        </is>
      </c>
      <c r="C17" s="4" t="inlineStr">
        <is>
          <t>https://en.lebonbon.fr/paris/stories/parisian-restaurants-competing-in-the-new-season-of-top</t>
        </is>
      </c>
      <c r="D17" s="4" t="inlineStr">
        <is>
          <t>2026</t>
        </is>
      </c>
    </row>
    <row r="18">
      <c r="A18" s="4" t="inlineStr">
        <is>
          <t>S17</t>
        </is>
      </c>
      <c r="B18" s="4" t="inlineStr">
        <is>
          <t>Gilles Pudlowski, Michelin 2026 : les nouveaux étoilés</t>
        </is>
      </c>
      <c r="C18" s="4" t="inlineStr">
        <is>
          <t>https://www.gillespudlowski.com/?p=421626</t>
        </is>
      </c>
      <c r="D18" s="4" t="inlineStr">
        <is>
          <t>mars 2026</t>
        </is>
      </c>
    </row>
    <row r="19">
      <c r="A19" s="4" t="inlineStr">
        <is>
          <t>S18</t>
        </is>
      </c>
      <c r="B19" s="4" t="inlineStr">
        <is>
          <t>Site de Benjamin Le Moal (argumentaire)</t>
        </is>
      </c>
      <c r="C19" s="4" t="inlineStr">
        <is>
          <t>https://benjaminlemoal.com/en/gastronomie-sur-mesure-a-domicile-lart-de-benjamin-le-moal/</t>
        </is>
      </c>
      <c r="D19" s="4" t="inlineStr">
        <is>
          <t>consulté le 28/10/2026</t>
        </is>
      </c>
    </row>
    <row r="20">
      <c r="A20" s="4" t="inlineStr">
        <is>
          <t>S19</t>
        </is>
      </c>
      <c r="B20" s="4" t="inlineStr">
        <is>
          <t>Site de Loïc Krimm (argumentaire)</t>
        </is>
      </c>
      <c r="C20" s="4" t="inlineStr">
        <is>
          <t>https://chef-loic-krimm.fr/</t>
        </is>
      </c>
      <c r="D20" s="4" t="inlineStr">
        <is>
          <t>consulté le 28/10/2026</t>
        </is>
      </c>
    </row>
    <row r="21">
      <c r="A21" s="4" t="inlineStr">
        <is>
          <t>S20</t>
        </is>
      </c>
      <c r="B21" s="4" t="inlineStr">
        <is>
          <t>Au cœur du CHR, palmarès Gault&amp;Millau 2026 Île-de-France</t>
        </is>
      </c>
      <c r="C21" s="4" t="inlineStr">
        <is>
          <t>https://aucoeurduchr.fr/article/prix-et-concours/gault-millau-palmares-2026-ile-france/</t>
        </is>
      </c>
      <c r="D21" s="4" t="inlineStr">
        <is>
          <t>2026</t>
        </is>
      </c>
    </row>
    <row r="22">
      <c r="A22" s="4" t="inlineStr">
        <is>
          <t>S21</t>
        </is>
      </c>
      <c r="B22" s="4" t="inlineStr">
        <is>
          <t>Gault&amp;Millau, dotation Jeunes Talents Nord-Est 2026</t>
        </is>
      </c>
      <c r="C22" s="4" t="inlineStr">
        <is>
          <t>https://fr.gaultmillau.com/en/news/dotation-jeunes-talents-gault-millau-nord-est-2026-ecole-mederic</t>
        </is>
      </c>
      <c r="D22" s="4" t="inlineStr">
        <is>
          <t>2026</t>
        </is>
      </c>
    </row>
    <row r="23">
      <c r="A23" s="4" t="inlineStr">
        <is>
          <t>S22</t>
        </is>
      </c>
      <c r="B23" s="4" t="inlineStr">
        <is>
          <t>Journal des Palaces, Tom Meyer sacré Meilleur Ouvrier de France</t>
        </is>
      </c>
      <c r="C23" s="4" t="inlineStr">
        <is>
          <t>https://www.journaldespalaces.com/communique-65103-france-recompenses-remises-de-prix-concours-tom-meyer-sacre-meilleur-ouvrier-de-france.html</t>
        </is>
      </c>
      <c r="D23" s="4" t="inlineStr">
        <is>
          <t>11/2022</t>
        </is>
      </c>
    </row>
    <row r="24">
      <c r="A24" s="4" t="inlineStr">
        <is>
          <t>S23</t>
        </is>
      </c>
      <c r="B24" s="4" t="inlineStr">
        <is>
          <t>Hospitality On, Christophe Raoux MOF 2015</t>
        </is>
      </c>
      <c r="C24" s="4" t="inlineStr">
        <is>
          <t>https://hospitality-on.com/fr/restauration/christophe-raoux-cafe-de-la-paix-lun-des-mof-2015</t>
        </is>
      </c>
      <c r="D24" s="4" t="inlineStr">
        <is>
          <t>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2026-10-28T18:30:37Z</dcterms:created>
  <dcterms:modified xmlns:dcterms="http://purl.org/dc/terms/" xmlns:xsi="http://www.w3.org/2001/XMLSchema-instance" xsi:type="dcterms:W3CDTF">2026-10-28T18:30:37Z</dcterms:modified>
</cp:coreProperties>
</file>