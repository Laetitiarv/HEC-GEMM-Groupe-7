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dvini-my.sharepoint.com/personal/xavier_martin_advini_com/Documents/A HEC Cuisnine/"/>
    </mc:Choice>
  </mc:AlternateContent>
  <xr:revisionPtr revIDLastSave="0" documentId="8_{F8BF3035-FD3D-4BF8-9B5E-92AFA44C987E}" xr6:coauthVersionLast="47" xr6:coauthVersionMax="47" xr10:uidLastSave="{00000000-0000-0000-0000-000000000000}"/>
  <bookViews>
    <workbookView xWindow="-98" yWindow="-98" windowWidth="21795" windowHeight="13875" tabRatio="500" xr2:uid="{00000000-000D-0000-FFFF-FFFF00000000}"/>
  </bookViews>
  <sheets>
    <sheet name="Synthèse" sheetId="1" r:id="rId1"/>
    <sheet name="1 Startups scale-ups" sheetId="2" r:id="rId2"/>
    <sheet name="2 Agences conseil" sheetId="3" r:id="rId3"/>
    <sheet name="3 CSE" sheetId="4" r:id="rId4"/>
    <sheet name="4 RH marque employeur" sheetId="5" r:id="rId5"/>
    <sheet name="Sources &amp; méthod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5" l="1"/>
  <c r="D18" i="5"/>
  <c r="D20" i="5" s="1"/>
  <c r="C18" i="5"/>
  <c r="D14" i="5"/>
  <c r="D22" i="5" s="1"/>
  <c r="C14" i="5"/>
  <c r="C22" i="5" s="1"/>
  <c r="C24" i="1" s="1"/>
  <c r="D13" i="5"/>
  <c r="C13" i="5"/>
  <c r="D22" i="4"/>
  <c r="D23" i="4" s="1"/>
  <c r="D25" i="4" s="1"/>
  <c r="C22" i="4"/>
  <c r="C23" i="4" s="1"/>
  <c r="D17" i="4"/>
  <c r="C17" i="4"/>
  <c r="D16" i="4"/>
  <c r="C16" i="4"/>
  <c r="D15" i="4"/>
  <c r="C15" i="4"/>
  <c r="C25" i="3"/>
  <c r="C11" i="1" s="1"/>
  <c r="I11" i="1" s="1"/>
  <c r="C20" i="3"/>
  <c r="C10" i="1" s="1"/>
  <c r="I10" i="1" s="1"/>
  <c r="D11" i="3"/>
  <c r="C11" i="3" s="1"/>
  <c r="D22" i="2"/>
  <c r="C22" i="2"/>
  <c r="D21" i="2"/>
  <c r="D23" i="2" s="1"/>
  <c r="C21" i="2"/>
  <c r="C6" i="1" s="1"/>
  <c r="D12" i="2"/>
  <c r="C10" i="2"/>
  <c r="C23" i="1"/>
  <c r="C20" i="1"/>
  <c r="I16" i="1"/>
  <c r="D16" i="1"/>
  <c r="C16" i="1"/>
  <c r="D15" i="1"/>
  <c r="C15" i="1"/>
  <c r="I15" i="1" s="1"/>
  <c r="I14" i="1"/>
  <c r="D14" i="1"/>
  <c r="C14" i="1"/>
  <c r="D13" i="1"/>
  <c r="C13" i="1"/>
  <c r="I13" i="1" s="1"/>
  <c r="D12" i="1"/>
  <c r="C12" i="1"/>
  <c r="I12" i="1" s="1"/>
  <c r="D11" i="1"/>
  <c r="D10" i="1"/>
  <c r="D9" i="1"/>
  <c r="C9" i="1"/>
  <c r="I9" i="1" s="1"/>
  <c r="D8" i="1"/>
  <c r="D7" i="1"/>
  <c r="C7" i="1"/>
  <c r="I7" i="1" s="1"/>
  <c r="D6" i="1"/>
  <c r="D17" i="1" s="1"/>
  <c r="I6" i="1" l="1"/>
  <c r="I17" i="1" s="1"/>
  <c r="C8" i="1"/>
  <c r="I8" i="1" s="1"/>
  <c r="C29" i="3"/>
  <c r="C25" i="4"/>
  <c r="C22" i="1" s="1"/>
  <c r="C21" i="1"/>
  <c r="C23" i="2"/>
  <c r="C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0" authorId="0" shapeId="0" xr:uid="{00000000-0006-0000-0100-000001000000}">
      <text>
        <r>
          <rPr>
            <sz val="10"/>
            <rFont val="Arial"/>
            <family val="2"/>
          </rPr>
          <t>Estimation : emploi IdF x part de Paris (57 %).</t>
        </r>
      </text>
    </comment>
  </commentList>
</comments>
</file>

<file path=xl/sharedStrings.xml><?xml version="1.0" encoding="utf-8"?>
<sst xmlns="http://schemas.openxmlformats.org/spreadsheetml/2006/main" count="430" uniqueCount="249">
  <si>
    <t>Prospects entreprises par catégorie : Paris et Île-de-France</t>
  </si>
  <si>
    <t>Légende :  VERT = donnée réelle publiée (source citée)   |   ORANGE = estimation ou hypothèse (calcul de Claude)</t>
  </si>
  <si>
    <t>Plateforme de location de restaurants les jours de fermeture (surtout dimanche et lundi soir) à des flying chefs. Cible entreprises : dîners et afterworks du lundi soir.</t>
  </si>
  <si>
    <t>Catégorie</t>
  </si>
  <si>
    <t>Sous-catégorie</t>
  </si>
  <si>
    <t>Prospects Paris</t>
  </si>
  <si>
    <t>Prospects IdF</t>
  </si>
  <si>
    <t>Unité</t>
  </si>
  <si>
    <t>Priorité</t>
  </si>
  <si>
    <t>Événements / prospect / an</t>
  </si>
  <si>
    <t>Budget moyen par événement (€)</t>
  </si>
  <si>
    <t>Marché potentiel Paris (€ / an)</t>
  </si>
  <si>
    <t>Fiabilité</t>
  </si>
  <si>
    <t>1. Startups et scale-ups</t>
  </si>
  <si>
    <t>Startups et scale-ups de 50 à 300 salariés</t>
  </si>
  <si>
    <t>entreprises</t>
  </si>
  <si>
    <t>Haute</t>
  </si>
  <si>
    <t>Faible</t>
  </si>
  <si>
    <t>Startups de 20 à 49 salariés</t>
  </si>
  <si>
    <t>Moyenne</t>
  </si>
  <si>
    <t>2. Agences et conseil</t>
  </si>
  <si>
    <t>Agences de com / pub de 10 salariés ou plus</t>
  </si>
  <si>
    <t>agences</t>
  </si>
  <si>
    <t>Agences de design de 10 salariés ou plus</t>
  </si>
  <si>
    <t>Cabinets d'avocats de plus de 10 avocats</t>
  </si>
  <si>
    <t>cabinets</t>
  </si>
  <si>
    <t>Équipes Big Four (40 pers.)</t>
  </si>
  <si>
    <t>équipes</t>
  </si>
  <si>
    <t>Conseil en stratégie / management de 20+ salariés</t>
  </si>
  <si>
    <t>3. CSE grandes entreprises</t>
  </si>
  <si>
    <t>CSE de 1 000 salariés ou plus</t>
  </si>
  <si>
    <t>CSE</t>
  </si>
  <si>
    <t>CSE de 300 à 999 salariés</t>
  </si>
  <si>
    <t>CSE de 50 à 299 salariés</t>
  </si>
  <si>
    <t>Basse</t>
  </si>
  <si>
    <t>4. RH et marque employeur</t>
  </si>
  <si>
    <t>Équipes RH / office managers (établissements 50+)</t>
  </si>
  <si>
    <t>équipes RH</t>
  </si>
  <si>
    <t>TOTAL (avec recoupements)</t>
  </si>
  <si>
    <t>Volumes complémentaires (pour dimensionner la demande)</t>
  </si>
  <si>
    <t>Salariés des établissements de 50+ à Paris</t>
  </si>
  <si>
    <t>Enveloppe ASC totale des CSE à Paris (€ / an)</t>
  </si>
  <si>
    <t>dont « loisirs et sorties » adressable (€ / an)</t>
  </si>
  <si>
    <t>Pots de départ hors les murs par an à Paris</t>
  </si>
  <si>
    <t>Séminaires / dîners d'équipe de 15-40 pers. par an à Paris</t>
  </si>
  <si>
    <t>Lundis soir disponibles par an</t>
  </si>
  <si>
    <t>Comment lire ce tableau</t>
  </si>
  <si>
    <t>• Les chiffres de prospects sont des ordres de grandeur. Seules les données de cadrage (onglets 1 à 4, cellules vertes) sont publiées ; les comptages par sous-catégorie sont des estimations (orange).</t>
  </si>
  <si>
    <t>• Les catégories se recoupent : une scale-up de 150 salariés a aussi un CSE et une équipe RH. Le total surestime donc le nombre d'entreprises distinctes, d'environ 30 à 40 %.</t>
  </si>
  <si>
    <t>• Colonnes G et H (texte bleu) = hypothèses modifiables : nombre d'événements par prospect et par an, budget moyen d'un événement (location de salle + chef + repas). Le marché potentiel se recalcule.</t>
  </si>
  <si>
    <t>• Le marché potentiel suppose que 100 % des prospects achètent : c'est un plafond, pas une prévision. Une part de marché réaliste en année 1 serait de l'ordre de 1 à 3 %.</t>
  </si>
  <si>
    <t>• Prochaine étape pour fiabiliser : extraction SIRENE (annuaire-entreprises.data.gouv.fr) par code NAF, tranche d'effectif et code postal, pour remplacer les cellules orange par des comptages réels.</t>
  </si>
  <si>
    <t>Cible 1 : Startups et scale-ups de 50 à 300 salariés</t>
  </si>
  <si>
    <t>Culture « team dinner », budgets CSE sous-utilisés, goût pour les lieux atypiques. Zones : Station F (13e), 2e, 9e, 10e, 11e.</t>
  </si>
  <si>
    <t>Indicateur</t>
  </si>
  <si>
    <t>Paris (75)</t>
  </si>
  <si>
    <t>Île-de-France</t>
  </si>
  <si>
    <t>Type</t>
  </si>
  <si>
    <t>Source / méthode</t>
  </si>
  <si>
    <t>Données de cadrage</t>
  </si>
  <si>
    <t>Startups actives en France</t>
  </si>
  <si>
    <t>n.d.</t>
  </si>
  <si>
    <t>Réel</t>
  </si>
  <si>
    <t>Panorama French Tech 2025 (Mission French Tech / Motherbase), oct. 2025. Blog du Modérateur 17/10/2025 : https://www.blogdumoderateur.com/panorama-french-tech-2025/  (valeur France entière, placée en colonne IdF faute de mieux : voir ligne suivante)</t>
  </si>
  <si>
    <t>Start-up en Île-de-France (définition Insee)</t>
  </si>
  <si>
    <t>Insee Analyses Île-de-France n° 209, sept. 2025, données 2022 : « Plus d'une start-up française sur trois est localisée en Île-de-France » https://www.insee.fr/fr/statistiques/8647906</t>
  </si>
  <si>
    <t>Part de Paris dans l'emploi salarié des start-up franciliennes</t>
  </si>
  <si>
    <t>%</t>
  </si>
  <si>
    <t>CCI Paris IdF (Crocis), Enjeux IdF n° 267, nov. 2025 : Paris = 57 % de l'emploi salarié des start-up. https://www.cci-paris-idf.fr/fr/prospective/crocis/economie/start-up-emploi</t>
  </si>
  <si>
    <t>Emploi salarié des start-up franciliennes (ETP)</t>
  </si>
  <si>
    <t>ETP</t>
  </si>
  <si>
    <t>CCI Paris IdF (Crocis) / Insee, données 2022 : 81 700 ETP, taille moyenne 9,3 ETP. Les 10 % de start-up les plus grandes concentrent 60 % de l'emploi.</t>
  </si>
  <si>
    <t>Part des start-up franciliennes qui sont des TPE (moins de 10 salariés)</t>
  </si>
  <si>
    <t>Insee Analyses IdF n° 209 : « ce n'est le cas que de 69 % des start-up ».</t>
  </si>
  <si>
    <t>Emploi moyen des 10 % de start-up les plus grandes</t>
  </si>
  <si>
    <t>ETP / entreprise</t>
  </si>
  <si>
    <t>Estimation</t>
  </si>
  <si>
    <t>Calcul : 60 % de 81 700 ETP répartis sur 10 % de 8 790 start-up, soit environ 56 ETP en moyenne. Montre que le seuil de 50 salariés concerne moins de 10 % des start-up.</t>
  </si>
  <si>
    <t>Projets accompagnés chaque année par Station F (13e)</t>
  </si>
  <si>
    <t>startups / an</t>
  </si>
  <si>
    <t>Maddyness, 24/06/2026 : Station F accompagne « un millier de projets » par an ; plus de 9 000 startups passées par le campus. Ce sont surtout des jeunes pousses de moins de 50 salariés : vivier d'équipes de 10 à 40 personnes.</t>
  </si>
  <si>
    <t>Hypothèses de répartition par taille</t>
  </si>
  <si>
    <t>Part des start-up de 50 à 300 salariés</t>
  </si>
  <si>
    <t>Hypothèse : 31 % des start-up ont 10 salariés ou plus (Insee) et les 10 % plus grandes ont 56 ETP en moyenne : on retient environ 4,5 % entre 50 et 300 salariés. À valider avec la base SIRENE (tranches 50-99, 100-199, 200-249, 250-499) croisée avec la liste French Tech.</t>
  </si>
  <si>
    <t>Part des start-up de 20 à 49 salariés (cible secondaire)</t>
  </si>
  <si>
    <t>Hypothèse, même méthode. Ces équipes ont souvent la taille idéale (15-40 personnes) pour une salle de restaurant mais pas de CSE.</t>
  </si>
  <si>
    <t>Croissance du nombre de start-up 2022 → 2026</t>
  </si>
  <si>
    <t>Hypothèse prudente. La CCI mesure +27 % entre 2017 et 2022 ; l'emploi French Tech progresse encore (+4,6 % au 1er semestre 2025).</t>
  </si>
  <si>
    <t>Prospects</t>
  </si>
  <si>
    <t>Startups et scale-ups de 50 à 300 salariés (CIBLE PRINCIPALE)</t>
  </si>
  <si>
    <t>IdF = 8 790 x 4,5 % x 1,10. Paris = IdF x 57 %.</t>
  </si>
  <si>
    <t>Startups de 20 à 49 salariés (cible secondaire)</t>
  </si>
  <si>
    <t>IdF = 8 790 x 8 % x 1,10. Paris = IdF x 57 %.</t>
  </si>
  <si>
    <t>Salariés dans la cible principale (moyenne de 110 salariés)</t>
  </si>
  <si>
    <t>salariés</t>
  </si>
  <si>
    <t>Hypothèse : 110 salariés en moyenne entre 50 et 300 (distribution très concentrée vers le bas).</t>
  </si>
  <si>
    <t>Zones citées (Station F, 2e, 9e, 10e, 11e) : pas de comptage officiel par arrondissement. Pour les cibler, filtrer la base SIRENE (codes NAF 58.29, 62.01, 62.02, 63.12, tranche d'effectif 50+) par code postal 75002, 75009, 75010, 75011, 75013. Liste de départ utile : French Tech 120 / Next40 (120 entreprises).</t>
  </si>
  <si>
    <t>Cible 2 : Agences et cabinets de conseil</t>
  </si>
  <si>
    <t>Com, pub, design, avocats d'affaires, Big Four : dîners clients et soirées de fin de projet, un chef invité comme argument d'image.</t>
  </si>
  <si>
    <t>2a. Agences de communication et de publicité</t>
  </si>
  <si>
    <t>Agences de publicité et de conseil en communication</t>
  </si>
  <si>
    <t>établissements</t>
  </si>
  <si>
    <t>CCI Paris IdF (Crocis), Enjeux IdF n° 211 « La révolution numérique bouleverse les agences conseils en communication et publicité d'Île-de-France » : plus de 23 700 agences, 45 % des agences françaises. https://www.cci-paris-idf.fr/fr/prospective/crocis/services/revolution-numerique-bouleverse-agences-conseils-communication-publicite-75  (données de la fin des années 2010)</t>
  </si>
  <si>
    <t>Salariés des agences</t>
  </si>
  <si>
    <t>Même source : 45 800 salariés en IdF (47 % de la France), dont plus de 70 % à Paris et dans les Hauts-de-Seine.</t>
  </si>
  <si>
    <t>Part de Paris dans les agences franciliennes</t>
  </si>
  <si>
    <t>Hypothèse : plus de 70 % pour Paris + Hauts-de-Seine réunis (source ci-dessus), dont environ 55 % pour Paris seul.</t>
  </si>
  <si>
    <t>Part des agences de 10 salariés ou plus</t>
  </si>
  <si>
    <t>Hypothèse : 45 800 salariés pour 23 700 agences, soit moins de 2 salariés en moyenne. L'immense majorité sont des indépendants ou des micro-agences.</t>
  </si>
  <si>
    <t>Agences de com / pub de 10 salariés ou plus (prospects)</t>
  </si>
  <si>
    <t>IdF = 23 700 x 5 %. Paris = IdF x 55 %.</t>
  </si>
  <si>
    <t>Agences de design, d'architecture intérieure et studios de création de 10 salariés ou plus</t>
  </si>
  <si>
    <t>Ordre de grandeur à valider via SIRENE (NAF 74.10Z Activités spécialisées de design, tranche 10+).</t>
  </si>
  <si>
    <t>2b. Cabinets d'avocats</t>
  </si>
  <si>
    <t>Avocats inscrits au barreau de Paris</t>
  </si>
  <si>
    <t>avocats</t>
  </si>
  <si>
    <t>Ordre des avocats de Paris, chiffres clés au 10/03/2020 : https://www.avocatparis.org/actualites/chiffres-cles-des-avocats-du-barreau-de-paris  (environ 40 % des avocats de France)</t>
  </si>
  <si>
    <t>Structures d'exercice : SELARL + SELARLU + AARPI (types principaux)</t>
  </si>
  <si>
    <t>structures</t>
  </si>
  <si>
    <t>Même source : 1 342 SELARLU, 843 SELARL, 701 AARPI. Ne compte pas les SCP, SAS, bureaux de cabinets étrangers, etc.</t>
  </si>
  <si>
    <t>Part des avocats exerçant dans un cabinet de 11 à 20 avocats</t>
  </si>
  <si>
    <t>Enquête emploi des avocats 2026, Viavoice pour le CNB (6 083 répondants, Paris = 44 %), fév. 2026.</t>
  </si>
  <si>
    <t>Part des avocats exerçant dans un cabinet de 21 à 30 avocats</t>
  </si>
  <si>
    <t>Même source.</t>
  </si>
  <si>
    <t>Part des avocats exerçant dans un cabinet de plus de 30 avocats</t>
  </si>
  <si>
    <t>Même source. Échantillon national : à Paris la part des grands cabinets est sans doute plus élevée.</t>
  </si>
  <si>
    <t>Cabinets d'avocats de plus de 10 avocats à Paris (prospects)</t>
  </si>
  <si>
    <t>Estimation : avocats de chaque tranche ÷ taille moyenne supposée (15, 25, 80 avocats). Les cabinets d'affaires anglo-saxons et les grands cabinets français sont concentrés dans les 8e, 16e et 17e.</t>
  </si>
  <si>
    <t>2c. Big Four et conseil en stratégie / management</t>
  </si>
  <si>
    <t>Effectif France des Big Four (Deloitte, EY, KPMG, PwC)</t>
  </si>
  <si>
    <t>collaborateurs</t>
  </si>
  <si>
    <t>Rapports de transparence 2025 cités par consulting-numerique.com/big-four : Deloitte 8 800 (France + Afrique francophone), EY plus de 6 500, KPMG plus de 6 600, PwC 7 000 (France + Maghreb). Total légèrement surestimé pour la France seule.</t>
  </si>
  <si>
    <t>Part de l'effectif Big Four basée à Paris / La Défense</t>
  </si>
  <si>
    <t>Hypothèse : sièges à Paris-La Défense (Neuilly, Courbevoie), réseau de bureaux régionaux.</t>
  </si>
  <si>
    <t>Équipes Big Four acheteuses (une équipe ou practice de 40 personnes)</t>
  </si>
  <si>
    <t>Estimation : le vrai décideur est l'associé ou le manager d'une équipe, pas le cabinet. 4 groupes, mais environ 470 budgets d'équipe.</t>
  </si>
  <si>
    <t>Cabinets de conseil en stratégie / management de 20 salariés ou plus</t>
  </si>
  <si>
    <t>Ordre de grandeur à valider via SIRENE (NAF 70.22Z, tranche 20+). Le marché français du conseil en stratégie et management pèse environ 8,8 Md€ (Consultor, 2021), concentré en IdF.</t>
  </si>
  <si>
    <t>Total cible 2</t>
  </si>
  <si>
    <t>Total prospects Agences et conseil</t>
  </si>
  <si>
    <t>prospects</t>
  </si>
  <si>
    <t>Somme des lignes « prospects » ci-dessus (Paris).</t>
  </si>
  <si>
    <t>Cible 3 : CSE des grandes entreprises</t>
  </si>
  <si>
    <t>Activités originales pour les salariés (atelier ou dîner avec un chef), vendues en billetterie. Le CSE est obligatoire à partir de 50 salariés.</t>
  </si>
  <si>
    <t>Établissements de 50 salariés ou plus</t>
  </si>
  <si>
    <t>Insee, Flores fin 2022 (données déjà validées dans le projet).</t>
  </si>
  <si>
    <t>Salariés de ces établissements</t>
  </si>
  <si>
    <t>Insee, Flores fin 2022.</t>
  </si>
  <si>
    <t>Part des entreprises de 50 à 299 salariés dotées d'une instance élue</t>
  </si>
  <si>
    <t>DARES, enquête REPONSE / Analyses 2021.</t>
  </si>
  <si>
    <t>CSE avec budget ASC (entreprises et établissements)</t>
  </si>
  <si>
    <t>Estimation déjà retenue dans le projet : 13 000 à 16 000 en IdF, 4 000 à 5 000 à Paris (milieu de fourchette). Moins que le nombre d'établissements car plusieurs établissements partagent un CSE central, et 84 % seulement en ont un.</t>
  </si>
  <si>
    <t>Segmentation par taille (cible « grandes entreprises » = 300 salariés ou plus)</t>
  </si>
  <si>
    <t>Part des CSE couvrant 300 salariés ou plus</t>
  </si>
  <si>
    <t>Hypothèse : dans la structure Insee des établissements de 50+, environ 80 % ont 50 à 299 salariés. Paris compte plus de sièges sociaux, d'où une part plus élevée.</t>
  </si>
  <si>
    <t>Part des CSE couvrant 1 000 salariés ou plus</t>
  </si>
  <si>
    <t>Hypothèse, même logique.</t>
  </si>
  <si>
    <t>CSE de 300 à 999 salariés (CIBLE PRINCIPALE)</t>
  </si>
  <si>
    <t>Ont un budget ASC significatif, souvent un élu dédié aux activités et une billetterie en ligne.</t>
  </si>
  <si>
    <t>CSE de 1 000 salariés ou plus (grands comptes)</t>
  </si>
  <si>
    <t>Souvent équipés de plateformes de billetterie (Meyclub, Kalidea, Pluxee…) : un référencement dans ces catalogues peut toucher beaucoup de CSE d'un coup.</t>
  </si>
  <si>
    <t>CSE de 50 à 299 salariés (cible secondaire)</t>
  </si>
  <si>
    <t>Budgets plus faibles, souvent sous-utilisés : recoupe en partie la cible 1 (startups).</t>
  </si>
  <si>
    <t>Budget des activités sociales et culturelles (ASC)</t>
  </si>
  <si>
    <t>Budget ASC moyen en % de la masse salariale brute</t>
  </si>
  <si>
    <t>Estimation du Sénat (2013) : environ 0,8 % de la masse salariale brute, citée par LegalPlace https://www.legalplace.fr/guides/budget-asc-cse/ . Pas de minimum légal ; certains accords fixent 0,5 % à 1,25 %.</t>
  </si>
  <si>
    <t>Salaire brut annuel moyen (salariés des établissements de 50+)</t>
  </si>
  <si>
    <t>€ / an</t>
  </si>
  <si>
    <t>Hypothèse d'ordre de grandeur pour Paris et l'IdF (à affiner avec Insee, base Tous salariés).</t>
  </si>
  <si>
    <t>Budget ASC par salarié et par an</t>
  </si>
  <si>
    <t>€ / salarié</t>
  </si>
  <si>
    <t>Salaire brut moyen x 0,8 %.</t>
  </si>
  <si>
    <t>Enveloppe ASC totale (établissements de 50+)</t>
  </si>
  <si>
    <t>Salariés x budget ASC par salarié. Ordre de grandeur de la « poche » dans laquelle la plateforme doit prendre une part.</t>
  </si>
  <si>
    <t>Part de l'enveloppe ASC consacrée aux sorties, loisirs et culture</t>
  </si>
  <si>
    <t>Hypothèse : le reste va surtout aux chèques-cadeaux, vacances et billetterie de spectacles.</t>
  </si>
  <si>
    <t>Enveloppe « loisirs et sorties » adressable</t>
  </si>
  <si>
    <t>Enveloppe ASC x 25 %.</t>
  </si>
  <si>
    <t>Cible 4 : Équipes RH et marque employeur</t>
  </si>
  <si>
    <t>Onboarding, pots de départ, séminaires de petites équipes de 15 à 40 personnes. Le prospect est la direction RH (ou l'office manager) de chaque entreprise.</t>
  </si>
  <si>
    <t>Emploi salarié total</t>
  </si>
  <si>
    <t>Insee Conjoncture Île-de-France, bilan 2024 (juin 2025) : 6 341 800 salariés fin 2024. Les DPAE (embauches) reculent de 4,5 % à Paris en 2024.</t>
  </si>
  <si>
    <t>Part des établissements de 50+ ayant une fonction RH ou office manager sur place</t>
  </si>
  <si>
    <t>Hypothèse : les établissements secondaires (agences, magasins) dépendent souvent d'une DRH située ailleurs ; Paris concentre les sièges.</t>
  </si>
  <si>
    <t>Équipes RH / office managers prospects (établissements de 50+)</t>
  </si>
  <si>
    <t>Établissements de 50+ x part avec RH sur place.</t>
  </si>
  <si>
    <t>Managers d'équipes de 15 à 40 personnes (décideurs pour un séminaire d'équipe)</t>
  </si>
  <si>
    <t>Hypothèse : une équipe de 25 personnes en moyenne. C'est le vrai nombre de « budgets d'équipe » qui peuvent réserver.</t>
  </si>
  <si>
    <t>Occasions par an (volume d'événements théorique)</t>
  </si>
  <si>
    <t>Taux de départ annuel des salariés (turnover)</t>
  </si>
  <si>
    <t>Hypothèse : 15 % par an dans les entreprises tertiaires de 50+ (CDD exclus).</t>
  </si>
  <si>
    <t>Départs par an dans les établissements de 50+</t>
  </si>
  <si>
    <t>départs</t>
  </si>
  <si>
    <t>Salariés x turnover : autant d'arrivées (onboarding) que de départs (pots de départ).</t>
  </si>
  <si>
    <t>Part des départs donnant lieu à un pot hors du bureau</t>
  </si>
  <si>
    <t>Hypothèse : la plupart des pots restent au bureau ou au bar d'à côté.</t>
  </si>
  <si>
    <t>Pots de départ hors les murs par an</t>
  </si>
  <si>
    <t>événements / an</t>
  </si>
  <si>
    <t>Départs x 5 %.</t>
  </si>
  <si>
    <t>Séminaires ou dîners d'équipe hors les murs par équipe et par an</t>
  </si>
  <si>
    <t>par équipe</t>
  </si>
  <si>
    <t>Hypothèse : un événement d'équipe par an (séminaire, fin d'année, team building).</t>
  </si>
  <si>
    <t>Séminaires et dîners d'équipe de 15 à 40 personnes par an</t>
  </si>
  <si>
    <t>Équipes x 1 événement par an.</t>
  </si>
  <si>
    <t>Sources et méthode</t>
  </si>
  <si>
    <t>Toutes les sources consultées le 28/10/2026.</t>
  </si>
  <si>
    <t>Source</t>
  </si>
  <si>
    <t>Ce qu'on en tire</t>
  </si>
  <si>
    <t>Lien</t>
  </si>
  <si>
    <t>Insee Analyses Île-de-France n° 209 (sept. 2025, données 2022)</t>
  </si>
  <si>
    <t>8 790 start-up en IdF, 69 % de TPE, Paris &gt; 50 % des start-up</t>
  </si>
  <si>
    <t>https://www.insee.fr/fr/statistiques/8647906</t>
  </si>
  <si>
    <t>CCI Paris IdF, Crocis, Enjeux IdF n° 267 (nov. 2025)</t>
  </si>
  <si>
    <t>81 700 ETP dans les start-up franciliennes, 57 % de l'emploi à Paris, top 10 % = 60 % de l'emploi</t>
  </si>
  <si>
    <t>https://www.cci-paris-idf.fr/fr/prospective/crocis/economie/start-up-emploi</t>
  </si>
  <si>
    <t>Panorama French Tech 2025 (Blog du Modérateur, 17/10/2025)</t>
  </si>
  <si>
    <t>18 000 startups, 450 000 emplois en France</t>
  </si>
  <si>
    <t>https://www.blogdumoderateur.com/panorama-french-tech-2025/</t>
  </si>
  <si>
    <t>Maddyness, 24/06/2026</t>
  </si>
  <si>
    <t>Station F : un millier de projets accompagnés par an, 9 000+ startups passées par le campus</t>
  </si>
  <si>
    <t>https://www.maddyness.com/2026/06/24/comment-se-porte-station-f-a-laube-de-feter-sa-premiere-decennie-dexistence/</t>
  </si>
  <si>
    <t>CCI Paris IdF, Crocis, Enjeux IdF n° 211</t>
  </si>
  <si>
    <t>23 700 agences de pub / com en IdF, 45 800 salariés, 70 % à Paris + 92</t>
  </si>
  <si>
    <t>https://www.cci-paris-idf.fr/fr/prospective/crocis/services/revolution-numerique-bouleverse-agences-conseils-communication-publicite-75</t>
  </si>
  <si>
    <t>Ordre des avocats de Paris, chiffres clés (mars 2020)</t>
  </si>
  <si>
    <t>30 526 avocats ; 1 342 SELARLU, 843 SELARL, 701 AARPI</t>
  </si>
  <si>
    <t>https://www.avocatparis.org/actualites/chiffres-cles-des-avocats-du-barreau-de-paris</t>
  </si>
  <si>
    <t>CNB / Viavoice, Enquête emploi des avocats 2026</t>
  </si>
  <si>
    <t>Répartition des avocats par taille de cabinet</t>
  </si>
  <si>
    <t>https://cnb.avocat.fr/medias/file/enquete-emploi-avocats-2026---viavoice-pour-le-cnb-6a10296eec05a6.15527835.pdf</t>
  </si>
  <si>
    <t>Rapports de transparence Big Four 2025 (via consulting-numerique.com)</t>
  </si>
  <si>
    <t>Effectifs France : Deloitte 8 800, EY 6 500, KPMG 6 600, PwC 7 000</t>
  </si>
  <si>
    <t>https://consulting-numerique.com/big-four</t>
  </si>
  <si>
    <t>Insee, Flores fin 2022 (déjà dans le projet)</t>
  </si>
  <si>
    <t>18 702 établissements de 50+ en IdF (3,85 M salariés), 5 527 à Paris (1,11 M)</t>
  </si>
  <si>
    <t>insee.fr</t>
  </si>
  <si>
    <t>DARES 2021</t>
  </si>
  <si>
    <t>84 % des entreprises de 50 à 299 salariés ont une instance élue</t>
  </si>
  <si>
    <t>dares.travail-emploi.gouv.fr</t>
  </si>
  <si>
    <t>LegalPlace, citant le Sénat (2013)</t>
  </si>
  <si>
    <t>Budget ASC moyen environ 0,8 % de la masse salariale brute</t>
  </si>
  <si>
    <t>https://www.legalplace.fr/guides/budget-asc-cse/</t>
  </si>
  <si>
    <t>Insee Conjoncture IdF, bilan 2024 (juin 2025)</t>
  </si>
  <si>
    <t>6,34 M salariés en IdF fin 2024 ; DPAE -4,5 % à Paris</t>
  </si>
  <si>
    <t>https://www.insee.fr/fr/statistiques/fichier/8354209/if_inc_54_emploi.pdf</t>
  </si>
  <si>
    <t>Limites :</t>
  </si>
  <si>
    <t>• Pas d'accès direct à la base SIRENE depuis l'environnement de travail : les comptages par code NAF x tranche d'effectif x arrondissement restent à faire.</t>
  </si>
  <si>
    <t>• Les chiffres des agences de communication (Crocis n° 211) et des avocats (2020) datent de plusieurs années ; les volumes ont probablement augmenté.</t>
  </si>
  <si>
    <t>• Le budget ASC moyen (0,8 %) est une estimation ancienne du Sénat, il n'existe pas de statistique officielle récente.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</si>
</sst>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&quot; €&quot;"/>
    <numFmt numFmtId="166" formatCode="0.0%"/>
  </numFmts>
  <fonts count="14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9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  <font>
      <sz val="11"/>
      <name val="Arial"/>
      <charset val="1"/>
    </font>
    <font>
      <sz val="9"/>
      <name val="Arial"/>
      <charset val="1"/>
    </font>
    <font>
      <sz val="11"/>
      <color rgb="FF80808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BFBFBF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wrapText="1"/>
    </xf>
    <xf numFmtId="0" fontId="11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3" fontId="6" fillId="3" borderId="1" xfId="0" applyNumberFormat="1" applyFont="1" applyFill="1" applyBorder="1" applyAlignment="1">
      <alignment vertical="top" wrapText="1"/>
    </xf>
    <xf numFmtId="164" fontId="7" fillId="3" borderId="1" xfId="0" applyNumberFormat="1" applyFont="1" applyFill="1" applyBorder="1" applyAlignment="1">
      <alignment vertical="top" wrapText="1"/>
    </xf>
    <xf numFmtId="165" fontId="7" fillId="3" borderId="1" xfId="0" applyNumberFormat="1" applyFont="1" applyFill="1" applyBorder="1" applyAlignment="1">
      <alignment vertical="top" wrapText="1"/>
    </xf>
    <xf numFmtId="165" fontId="6" fillId="3" borderId="1" xfId="0" applyNumberFormat="1" applyFont="1" applyFill="1" applyBorder="1" applyAlignment="1">
      <alignment vertical="top" wrapText="1"/>
    </xf>
    <xf numFmtId="0" fontId="8" fillId="0" borderId="1" xfId="0" applyFont="1" applyBorder="1"/>
    <xf numFmtId="3" fontId="8" fillId="0" borderId="1" xfId="0" applyNumberFormat="1" applyFont="1" applyBorder="1"/>
    <xf numFmtId="165" fontId="8" fillId="0" borderId="1" xfId="0" applyNumberFormat="1" applyFont="1" applyBorder="1"/>
    <xf numFmtId="0" fontId="9" fillId="0" borderId="0" xfId="0" applyFont="1"/>
    <xf numFmtId="0" fontId="10" fillId="0" borderId="1" xfId="0" applyFont="1" applyBorder="1"/>
    <xf numFmtId="3" fontId="6" fillId="4" borderId="1" xfId="0" applyNumberFormat="1" applyFont="1" applyFill="1" applyBorder="1"/>
    <xf numFmtId="165" fontId="6" fillId="3" borderId="1" xfId="0" applyNumberFormat="1" applyFont="1" applyFill="1" applyBorder="1"/>
    <xf numFmtId="3" fontId="6" fillId="3" borderId="1" xfId="0" applyNumberFormat="1" applyFont="1" applyFill="1" applyBorder="1"/>
    <xf numFmtId="3" fontId="7" fillId="4" borderId="1" xfId="0" applyNumberFormat="1" applyFont="1" applyFill="1" applyBorder="1"/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2" fillId="4" borderId="1" xfId="0" applyFont="1" applyFill="1" applyBorder="1" applyAlignment="1">
      <alignment horizontal="center" vertical="top"/>
    </xf>
    <xf numFmtId="3" fontId="7" fillId="4" borderId="1" xfId="0" applyNumberFormat="1" applyFont="1" applyFill="1" applyBorder="1" applyAlignment="1">
      <alignment vertical="top"/>
    </xf>
    <xf numFmtId="0" fontId="11" fillId="0" borderId="1" xfId="0" applyFont="1" applyBorder="1" applyAlignment="1">
      <alignment vertical="top" wrapText="1"/>
    </xf>
    <xf numFmtId="9" fontId="7" fillId="4" borderId="1" xfId="0" applyNumberFormat="1" applyFont="1" applyFill="1" applyBorder="1" applyAlignment="1">
      <alignment vertical="top"/>
    </xf>
    <xf numFmtId="3" fontId="10" fillId="3" borderId="1" xfId="0" applyNumberFormat="1" applyFont="1" applyFill="1" applyBorder="1" applyAlignment="1">
      <alignment vertical="top"/>
    </xf>
    <xf numFmtId="0" fontId="12" fillId="3" borderId="1" xfId="0" applyFont="1" applyFill="1" applyBorder="1" applyAlignment="1">
      <alignment horizontal="center" vertical="top"/>
    </xf>
    <xf numFmtId="3" fontId="6" fillId="3" borderId="1" xfId="0" applyNumberFormat="1" applyFont="1" applyFill="1" applyBorder="1" applyAlignment="1">
      <alignment vertical="top"/>
    </xf>
    <xf numFmtId="166" fontId="7" fillId="3" borderId="1" xfId="0" applyNumberFormat="1" applyFont="1" applyFill="1" applyBorder="1" applyAlignment="1">
      <alignment vertical="top"/>
    </xf>
    <xf numFmtId="9" fontId="7" fillId="3" borderId="1" xfId="0" applyNumberFormat="1" applyFont="1" applyFill="1" applyBorder="1" applyAlignment="1">
      <alignment vertical="top"/>
    </xf>
    <xf numFmtId="3" fontId="7" fillId="3" borderId="1" xfId="0" applyNumberFormat="1" applyFont="1" applyFill="1" applyBorder="1" applyAlignment="1">
      <alignment vertical="top"/>
    </xf>
    <xf numFmtId="166" fontId="7" fillId="4" borderId="1" xfId="0" applyNumberFormat="1" applyFont="1" applyFill="1" applyBorder="1" applyAlignment="1">
      <alignment vertical="top"/>
    </xf>
    <xf numFmtId="165" fontId="6" fillId="3" borderId="1" xfId="0" applyNumberFormat="1" applyFont="1" applyFill="1" applyBorder="1" applyAlignment="1">
      <alignment vertical="top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4.25" x14ac:dyDescent="0.45"/>
  <cols>
    <col min="1" max="1" width="30" customWidth="1"/>
    <col min="2" max="2" width="50" customWidth="1"/>
    <col min="3" max="5" width="14" customWidth="1"/>
    <col min="6" max="6" width="11" customWidth="1"/>
    <col min="7" max="7" width="14" customWidth="1"/>
    <col min="8" max="8" width="15" customWidth="1"/>
    <col min="9" max="9" width="18" customWidth="1"/>
    <col min="10" max="10" width="14" customWidth="1"/>
  </cols>
  <sheetData>
    <row r="1" spans="1:10" ht="17.649999999999999" x14ac:dyDescent="0.5">
      <c r="A1" s="3" t="s">
        <v>0</v>
      </c>
    </row>
    <row r="2" spans="1:10" x14ac:dyDescent="0.45">
      <c r="A2" s="4" t="s">
        <v>1</v>
      </c>
    </row>
    <row r="3" spans="1:10" x14ac:dyDescent="0.45">
      <c r="A3" s="5" t="s">
        <v>2</v>
      </c>
    </row>
    <row r="5" spans="1:10" ht="41.65" x14ac:dyDescent="0.4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spans="1:10" x14ac:dyDescent="0.45">
      <c r="A6" s="7" t="s">
        <v>13</v>
      </c>
      <c r="B6" s="8" t="s">
        <v>14</v>
      </c>
      <c r="C6" s="9">
        <f>'1 Startups scale-ups'!$C$21</f>
        <v>248.00985000000003</v>
      </c>
      <c r="D6" s="9">
        <f>IF(ISNUMBER('1 Startups scale-ups'!$D$21),'1 Startups scale-ups'!$D$21,"n.d.")</f>
        <v>435.10500000000008</v>
      </c>
      <c r="E6" s="8" t="s">
        <v>15</v>
      </c>
      <c r="F6" s="8" t="s">
        <v>16</v>
      </c>
      <c r="G6" s="10">
        <v>2</v>
      </c>
      <c r="H6" s="11">
        <v>2500</v>
      </c>
      <c r="I6" s="12">
        <f t="shared" ref="I6:I16" si="0">C6*G6*H6</f>
        <v>1240049.2500000002</v>
      </c>
      <c r="J6" s="8" t="s">
        <v>17</v>
      </c>
    </row>
    <row r="7" spans="1:10" x14ac:dyDescent="0.45">
      <c r="A7" s="7" t="s">
        <v>13</v>
      </c>
      <c r="B7" s="8" t="s">
        <v>18</v>
      </c>
      <c r="C7" s="9">
        <f>'1 Startups scale-ups'!$C$22</f>
        <v>440.90640000000002</v>
      </c>
      <c r="D7" s="9">
        <f>IF(ISNUMBER('1 Startups scale-ups'!$D$22),'1 Startups scale-ups'!$D$22,"n.d.")</f>
        <v>773.5200000000001</v>
      </c>
      <c r="E7" s="8" t="s">
        <v>15</v>
      </c>
      <c r="F7" s="8" t="s">
        <v>19</v>
      </c>
      <c r="G7" s="10">
        <v>1</v>
      </c>
      <c r="H7" s="11">
        <v>2000</v>
      </c>
      <c r="I7" s="12">
        <f t="shared" si="0"/>
        <v>881812.8</v>
      </c>
      <c r="J7" s="8" t="s">
        <v>17</v>
      </c>
    </row>
    <row r="8" spans="1:10" x14ac:dyDescent="0.45">
      <c r="A8" s="7" t="s">
        <v>20</v>
      </c>
      <c r="B8" s="8" t="s">
        <v>21</v>
      </c>
      <c r="C8" s="9">
        <f>'2 Agences conseil'!$C$11</f>
        <v>651.75</v>
      </c>
      <c r="D8" s="9">
        <f>IF(ISNUMBER('2 Agences conseil'!$D$11),'2 Agences conseil'!$D$11,"n.d.")</f>
        <v>1185</v>
      </c>
      <c r="E8" s="8" t="s">
        <v>22</v>
      </c>
      <c r="F8" s="8" t="s">
        <v>16</v>
      </c>
      <c r="G8" s="10">
        <v>2</v>
      </c>
      <c r="H8" s="11">
        <v>2500</v>
      </c>
      <c r="I8" s="12">
        <f t="shared" si="0"/>
        <v>3258750</v>
      </c>
      <c r="J8" s="8" t="s">
        <v>19</v>
      </c>
    </row>
    <row r="9" spans="1:10" x14ac:dyDescent="0.45">
      <c r="A9" s="7" t="s">
        <v>20</v>
      </c>
      <c r="B9" s="8" t="s">
        <v>23</v>
      </c>
      <c r="C9" s="9">
        <f>'2 Agences conseil'!$C$12</f>
        <v>150</v>
      </c>
      <c r="D9" s="9">
        <f>IF(ISNUMBER('2 Agences conseil'!$D$12),'2 Agences conseil'!$D$12,"n.d.")</f>
        <v>220</v>
      </c>
      <c r="E9" s="8" t="s">
        <v>22</v>
      </c>
      <c r="F9" s="8" t="s">
        <v>19</v>
      </c>
      <c r="G9" s="10">
        <v>1</v>
      </c>
      <c r="H9" s="11">
        <v>2000</v>
      </c>
      <c r="I9" s="12">
        <f t="shared" si="0"/>
        <v>300000</v>
      </c>
      <c r="J9" s="8" t="s">
        <v>17</v>
      </c>
    </row>
    <row r="10" spans="1:10" x14ac:dyDescent="0.45">
      <c r="A10" s="7" t="s">
        <v>20</v>
      </c>
      <c r="B10" s="8" t="s">
        <v>24</v>
      </c>
      <c r="C10" s="9">
        <f>'2 Agences conseil'!$C$20</f>
        <v>205.03296666666668</v>
      </c>
      <c r="D10" s="9" t="str">
        <f>IF(ISNUMBER('2 Agences conseil'!$D$20),'2 Agences conseil'!$D$20,"n.d.")</f>
        <v>n.d.</v>
      </c>
      <c r="E10" s="8" t="s">
        <v>25</v>
      </c>
      <c r="F10" s="8" t="s">
        <v>16</v>
      </c>
      <c r="G10" s="10">
        <v>3</v>
      </c>
      <c r="H10" s="11">
        <v>3500</v>
      </c>
      <c r="I10" s="12">
        <f t="shared" si="0"/>
        <v>2152846.1500000004</v>
      </c>
      <c r="J10" s="8" t="s">
        <v>19</v>
      </c>
    </row>
    <row r="11" spans="1:10" x14ac:dyDescent="0.45">
      <c r="A11" s="7" t="s">
        <v>20</v>
      </c>
      <c r="B11" s="8" t="s">
        <v>26</v>
      </c>
      <c r="C11" s="9">
        <f>'2 Agences conseil'!$C$25</f>
        <v>469.625</v>
      </c>
      <c r="D11" s="9" t="str">
        <f>IF(ISNUMBER('2 Agences conseil'!$D$25),'2 Agences conseil'!$D$25,"n.d.")</f>
        <v>n.d.</v>
      </c>
      <c r="E11" s="8" t="s">
        <v>27</v>
      </c>
      <c r="F11" s="8" t="s">
        <v>19</v>
      </c>
      <c r="G11" s="10">
        <v>1</v>
      </c>
      <c r="H11" s="11">
        <v>3000</v>
      </c>
      <c r="I11" s="12">
        <f t="shared" si="0"/>
        <v>1408875</v>
      </c>
      <c r="J11" s="8" t="s">
        <v>19</v>
      </c>
    </row>
    <row r="12" spans="1:10" x14ac:dyDescent="0.45">
      <c r="A12" s="7" t="s">
        <v>20</v>
      </c>
      <c r="B12" s="8" t="s">
        <v>28</v>
      </c>
      <c r="C12" s="9">
        <f>'2 Agences conseil'!$C$26</f>
        <v>300</v>
      </c>
      <c r="D12" s="9">
        <f>IF(ISNUMBER('2 Agences conseil'!$D$26),'2 Agences conseil'!$D$26,"n.d.")</f>
        <v>400</v>
      </c>
      <c r="E12" s="8" t="s">
        <v>25</v>
      </c>
      <c r="F12" s="8" t="s">
        <v>16</v>
      </c>
      <c r="G12" s="10">
        <v>2</v>
      </c>
      <c r="H12" s="11">
        <v>3500</v>
      </c>
      <c r="I12" s="12">
        <f t="shared" si="0"/>
        <v>2100000</v>
      </c>
      <c r="J12" s="8" t="s">
        <v>17</v>
      </c>
    </row>
    <row r="13" spans="1:10" x14ac:dyDescent="0.45">
      <c r="A13" s="7" t="s">
        <v>29</v>
      </c>
      <c r="B13" s="8" t="s">
        <v>30</v>
      </c>
      <c r="C13" s="9">
        <f>'3 CSE'!$C$16</f>
        <v>270</v>
      </c>
      <c r="D13" s="9">
        <f>IF(ISNUMBER('3 CSE'!$D$16),'3 CSE'!$D$16,"n.d.")</f>
        <v>725</v>
      </c>
      <c r="E13" s="8" t="s">
        <v>31</v>
      </c>
      <c r="F13" s="8" t="s">
        <v>16</v>
      </c>
      <c r="G13" s="10">
        <v>4</v>
      </c>
      <c r="H13" s="11">
        <v>2000</v>
      </c>
      <c r="I13" s="12">
        <f t="shared" si="0"/>
        <v>2160000</v>
      </c>
      <c r="J13" s="8" t="s">
        <v>19</v>
      </c>
    </row>
    <row r="14" spans="1:10" x14ac:dyDescent="0.45">
      <c r="A14" s="7" t="s">
        <v>29</v>
      </c>
      <c r="B14" s="8" t="s">
        <v>32</v>
      </c>
      <c r="C14" s="9">
        <f>'3 CSE'!$C$15</f>
        <v>720</v>
      </c>
      <c r="D14" s="9">
        <f>IF(ISNUMBER('3 CSE'!$D$15),'3 CSE'!$D$15,"n.d.")</f>
        <v>1885</v>
      </c>
      <c r="E14" s="8" t="s">
        <v>31</v>
      </c>
      <c r="F14" s="8" t="s">
        <v>16</v>
      </c>
      <c r="G14" s="10">
        <v>2</v>
      </c>
      <c r="H14" s="11">
        <v>2000</v>
      </c>
      <c r="I14" s="12">
        <f t="shared" si="0"/>
        <v>2880000</v>
      </c>
      <c r="J14" s="8" t="s">
        <v>19</v>
      </c>
    </row>
    <row r="15" spans="1:10" x14ac:dyDescent="0.45">
      <c r="A15" s="7" t="s">
        <v>29</v>
      </c>
      <c r="B15" s="8" t="s">
        <v>33</v>
      </c>
      <c r="C15" s="9">
        <f>'3 CSE'!$C$17</f>
        <v>3510</v>
      </c>
      <c r="D15" s="9">
        <f>IF(ISNUMBER('3 CSE'!$D$17),'3 CSE'!$D$17,"n.d.")</f>
        <v>11890</v>
      </c>
      <c r="E15" s="8" t="s">
        <v>31</v>
      </c>
      <c r="F15" s="8" t="s">
        <v>34</v>
      </c>
      <c r="G15" s="10">
        <v>0.5</v>
      </c>
      <c r="H15" s="11">
        <v>1500</v>
      </c>
      <c r="I15" s="12">
        <f t="shared" si="0"/>
        <v>2632500</v>
      </c>
      <c r="J15" s="8" t="s">
        <v>19</v>
      </c>
    </row>
    <row r="16" spans="1:10" x14ac:dyDescent="0.45">
      <c r="A16" s="7" t="s">
        <v>35</v>
      </c>
      <c r="B16" s="8" t="s">
        <v>36</v>
      </c>
      <c r="C16" s="9">
        <f>'4 RH marque employeur'!$C$13</f>
        <v>3868.8999999999996</v>
      </c>
      <c r="D16" s="9">
        <f>IF(ISNUMBER('4 RH marque employeur'!$D$13),'4 RH marque employeur'!$D$13,"n.d.")</f>
        <v>11221.199999999999</v>
      </c>
      <c r="E16" s="8" t="s">
        <v>37</v>
      </c>
      <c r="F16" s="8" t="s">
        <v>16</v>
      </c>
      <c r="G16" s="10">
        <v>1</v>
      </c>
      <c r="H16" s="11">
        <v>2500</v>
      </c>
      <c r="I16" s="12">
        <f t="shared" si="0"/>
        <v>9672250</v>
      </c>
      <c r="J16" s="8" t="s">
        <v>19</v>
      </c>
    </row>
    <row r="17" spans="1:10" x14ac:dyDescent="0.45">
      <c r="A17" s="13" t="s">
        <v>38</v>
      </c>
      <c r="B17" s="13"/>
      <c r="C17" s="14">
        <f>SUM(C6:C16)</f>
        <v>10834.224216666666</v>
      </c>
      <c r="D17" s="14">
        <f>SUM(D6:D16)</f>
        <v>28734.824999999997</v>
      </c>
      <c r="I17" s="15">
        <f>SUM(I6:I16)</f>
        <v>28687083.200000003</v>
      </c>
    </row>
    <row r="19" spans="1:10" x14ac:dyDescent="0.45">
      <c r="A19" s="16" t="s">
        <v>39</v>
      </c>
    </row>
    <row r="20" spans="1:10" x14ac:dyDescent="0.45">
      <c r="B20" s="17" t="s">
        <v>40</v>
      </c>
      <c r="C20" s="18">
        <f>'3 CSE'!$C$8</f>
        <v>1110000</v>
      </c>
    </row>
    <row r="21" spans="1:10" x14ac:dyDescent="0.45">
      <c r="B21" s="17" t="s">
        <v>41</v>
      </c>
      <c r="C21" s="19">
        <f>'3 CSE'!$C$23</f>
        <v>532800000</v>
      </c>
    </row>
    <row r="22" spans="1:10" x14ac:dyDescent="0.45">
      <c r="B22" s="17" t="s">
        <v>42</v>
      </c>
      <c r="C22" s="19">
        <f>'3 CSE'!$C$25</f>
        <v>133200000</v>
      </c>
    </row>
    <row r="23" spans="1:10" x14ac:dyDescent="0.45">
      <c r="B23" s="17" t="s">
        <v>43</v>
      </c>
      <c r="C23" s="20">
        <f>'4 RH marque employeur'!$C$20</f>
        <v>8325</v>
      </c>
    </row>
    <row r="24" spans="1:10" x14ac:dyDescent="0.45">
      <c r="B24" s="17" t="s">
        <v>44</v>
      </c>
      <c r="C24" s="20">
        <f>'4 RH marque employeur'!$C$22</f>
        <v>44400</v>
      </c>
    </row>
    <row r="25" spans="1:10" x14ac:dyDescent="0.45">
      <c r="B25" s="17" t="s">
        <v>45</v>
      </c>
      <c r="C25" s="21">
        <v>52</v>
      </c>
    </row>
    <row r="27" spans="1:10" x14ac:dyDescent="0.45">
      <c r="A27" s="16" t="s">
        <v>46</v>
      </c>
    </row>
    <row r="28" spans="1:10" ht="27.75" customHeight="1" x14ac:dyDescent="0.45">
      <c r="A28" s="2" t="s">
        <v>47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ht="27.75" customHeight="1" x14ac:dyDescent="0.45">
      <c r="A29" s="2" t="s">
        <v>48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ht="27.75" customHeight="1" x14ac:dyDescent="0.45">
      <c r="A30" s="2" t="s">
        <v>49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ht="27.75" customHeight="1" x14ac:dyDescent="0.45">
      <c r="A31" s="2" t="s">
        <v>50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 ht="27.75" customHeight="1" x14ac:dyDescent="0.45">
      <c r="A32" s="2" t="s">
        <v>51</v>
      </c>
      <c r="B32" s="2"/>
      <c r="C32" s="2"/>
      <c r="D32" s="2"/>
      <c r="E32" s="2"/>
      <c r="F32" s="2"/>
      <c r="G32" s="2"/>
      <c r="H32" s="2"/>
      <c r="I32" s="2"/>
      <c r="J32" s="2"/>
    </row>
  </sheetData>
  <mergeCells count="5">
    <mergeCell ref="A28:J28"/>
    <mergeCell ref="A29:J29"/>
    <mergeCell ref="A30:J30"/>
    <mergeCell ref="A31:J31"/>
    <mergeCell ref="A32:J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4.25" x14ac:dyDescent="0.45"/>
  <cols>
    <col min="1" max="1" width="52" customWidth="1"/>
    <col min="2" max="2" width="16" customWidth="1"/>
    <col min="3" max="4" width="14" customWidth="1"/>
    <col min="5" max="5" width="11" customWidth="1"/>
    <col min="6" max="6" width="80" customWidth="1"/>
  </cols>
  <sheetData>
    <row r="1" spans="1:6" ht="17.649999999999999" x14ac:dyDescent="0.5">
      <c r="A1" s="3" t="s">
        <v>52</v>
      </c>
    </row>
    <row r="2" spans="1:6" x14ac:dyDescent="0.45">
      <c r="A2" s="4" t="s">
        <v>1</v>
      </c>
    </row>
    <row r="3" spans="1:6" x14ac:dyDescent="0.45">
      <c r="A3" s="5" t="s">
        <v>53</v>
      </c>
    </row>
    <row r="5" spans="1:6" x14ac:dyDescent="0.45">
      <c r="A5" s="6" t="s">
        <v>54</v>
      </c>
      <c r="B5" s="6" t="s">
        <v>7</v>
      </c>
      <c r="C5" s="6" t="s">
        <v>55</v>
      </c>
      <c r="D5" s="6" t="s">
        <v>56</v>
      </c>
      <c r="E5" s="6" t="s">
        <v>57</v>
      </c>
      <c r="F5" s="6" t="s">
        <v>58</v>
      </c>
    </row>
    <row r="6" spans="1:6" x14ac:dyDescent="0.45">
      <c r="A6" s="16" t="s">
        <v>59</v>
      </c>
    </row>
    <row r="7" spans="1:6" ht="34.9" x14ac:dyDescent="0.45">
      <c r="A7" s="22" t="s">
        <v>60</v>
      </c>
      <c r="B7" s="23" t="s">
        <v>15</v>
      </c>
      <c r="C7" s="24" t="s">
        <v>61</v>
      </c>
      <c r="D7" s="25">
        <v>18000</v>
      </c>
      <c r="E7" s="23" t="s">
        <v>62</v>
      </c>
      <c r="F7" s="26" t="s">
        <v>63</v>
      </c>
    </row>
    <row r="8" spans="1:6" ht="23.25" x14ac:dyDescent="0.45">
      <c r="A8" s="22" t="s">
        <v>64</v>
      </c>
      <c r="B8" s="23" t="s">
        <v>15</v>
      </c>
      <c r="C8" s="24" t="s">
        <v>61</v>
      </c>
      <c r="D8" s="25">
        <v>8790</v>
      </c>
      <c r="E8" s="23" t="s">
        <v>62</v>
      </c>
      <c r="F8" s="26" t="s">
        <v>65</v>
      </c>
    </row>
    <row r="9" spans="1:6" ht="27" x14ac:dyDescent="0.45">
      <c r="A9" s="22" t="s">
        <v>66</v>
      </c>
      <c r="B9" s="23" t="s">
        <v>67</v>
      </c>
      <c r="C9" s="27">
        <v>0.56999999999999995</v>
      </c>
      <c r="D9" s="24" t="s">
        <v>61</v>
      </c>
      <c r="E9" s="23" t="s">
        <v>62</v>
      </c>
      <c r="F9" s="26" t="s">
        <v>68</v>
      </c>
    </row>
    <row r="10" spans="1:6" ht="23.25" x14ac:dyDescent="0.45">
      <c r="A10" s="22" t="s">
        <v>69</v>
      </c>
      <c r="B10" s="23" t="s">
        <v>70</v>
      </c>
      <c r="C10" s="28">
        <f>D10*'1 Startups scale-ups'!$C$9</f>
        <v>46568.999999999993</v>
      </c>
      <c r="D10" s="25">
        <v>81700</v>
      </c>
      <c r="E10" s="23" t="s">
        <v>62</v>
      </c>
      <c r="F10" s="26" t="s">
        <v>71</v>
      </c>
    </row>
    <row r="11" spans="1:6" ht="27" x14ac:dyDescent="0.45">
      <c r="A11" s="22" t="s">
        <v>72</v>
      </c>
      <c r="B11" s="23" t="s">
        <v>67</v>
      </c>
      <c r="C11" s="24" t="s">
        <v>61</v>
      </c>
      <c r="D11" s="27">
        <v>0.69</v>
      </c>
      <c r="E11" s="23" t="s">
        <v>62</v>
      </c>
      <c r="F11" s="26" t="s">
        <v>73</v>
      </c>
    </row>
    <row r="12" spans="1:6" ht="23.25" x14ac:dyDescent="0.45">
      <c r="A12" s="22" t="s">
        <v>74</v>
      </c>
      <c r="B12" s="23" t="s">
        <v>75</v>
      </c>
      <c r="C12" s="29" t="s">
        <v>61</v>
      </c>
      <c r="D12" s="30">
        <f>D10*0.6/(D8*0.1)</f>
        <v>55.767918088737204</v>
      </c>
      <c r="E12" s="23" t="s">
        <v>76</v>
      </c>
      <c r="F12" s="26" t="s">
        <v>77</v>
      </c>
    </row>
    <row r="13" spans="1:6" ht="34.9" x14ac:dyDescent="0.45">
      <c r="A13" s="22" t="s">
        <v>78</v>
      </c>
      <c r="B13" s="23" t="s">
        <v>79</v>
      </c>
      <c r="C13" s="25">
        <v>1000</v>
      </c>
      <c r="D13" s="24" t="s">
        <v>61</v>
      </c>
      <c r="E13" s="23" t="s">
        <v>62</v>
      </c>
      <c r="F13" s="26" t="s">
        <v>80</v>
      </c>
    </row>
    <row r="15" spans="1:6" x14ac:dyDescent="0.45">
      <c r="A15" s="16" t="s">
        <v>81</v>
      </c>
    </row>
    <row r="16" spans="1:6" ht="34.9" x14ac:dyDescent="0.45">
      <c r="A16" s="22" t="s">
        <v>82</v>
      </c>
      <c r="B16" s="23" t="s">
        <v>67</v>
      </c>
      <c r="C16" s="29" t="s">
        <v>61</v>
      </c>
      <c r="D16" s="31">
        <v>4.4999999999999998E-2</v>
      </c>
      <c r="E16" s="23" t="s">
        <v>76</v>
      </c>
      <c r="F16" s="26" t="s">
        <v>83</v>
      </c>
    </row>
    <row r="17" spans="1:6" ht="23.25" x14ac:dyDescent="0.45">
      <c r="A17" s="22" t="s">
        <v>84</v>
      </c>
      <c r="B17" s="23" t="s">
        <v>67</v>
      </c>
      <c r="C17" s="29" t="s">
        <v>61</v>
      </c>
      <c r="D17" s="31">
        <v>0.08</v>
      </c>
      <c r="E17" s="23" t="s">
        <v>76</v>
      </c>
      <c r="F17" s="26" t="s">
        <v>85</v>
      </c>
    </row>
    <row r="18" spans="1:6" ht="23.25" x14ac:dyDescent="0.45">
      <c r="A18" s="22" t="s">
        <v>86</v>
      </c>
      <c r="B18" s="23" t="s">
        <v>67</v>
      </c>
      <c r="C18" s="29" t="s">
        <v>61</v>
      </c>
      <c r="D18" s="32">
        <v>0.1</v>
      </c>
      <c r="E18" s="23" t="s">
        <v>76</v>
      </c>
      <c r="F18" s="26" t="s">
        <v>87</v>
      </c>
    </row>
    <row r="20" spans="1:6" x14ac:dyDescent="0.45">
      <c r="A20" s="16" t="s">
        <v>88</v>
      </c>
    </row>
    <row r="21" spans="1:6" ht="27" x14ac:dyDescent="0.45">
      <c r="A21" s="22" t="s">
        <v>89</v>
      </c>
      <c r="B21" s="23" t="s">
        <v>15</v>
      </c>
      <c r="C21" s="30">
        <f>D21*'1 Startups scale-ups'!$C$9</f>
        <v>248.00985000000003</v>
      </c>
      <c r="D21" s="30">
        <f>'1 Startups scale-ups'!$D$8*'1 Startups scale-ups'!$D$16*(1+'1 Startups scale-ups'!$D$18)</f>
        <v>435.10500000000008</v>
      </c>
      <c r="E21" s="23" t="s">
        <v>76</v>
      </c>
      <c r="F21" s="26" t="s">
        <v>90</v>
      </c>
    </row>
    <row r="22" spans="1:6" x14ac:dyDescent="0.45">
      <c r="A22" s="22" t="s">
        <v>91</v>
      </c>
      <c r="B22" s="23" t="s">
        <v>15</v>
      </c>
      <c r="C22" s="30">
        <f>D22*'1 Startups scale-ups'!$C$9</f>
        <v>440.90640000000002</v>
      </c>
      <c r="D22" s="30">
        <f>'1 Startups scale-ups'!$D$8*'1 Startups scale-ups'!$D$17*(1+'1 Startups scale-ups'!$D$18)</f>
        <v>773.5200000000001</v>
      </c>
      <c r="E22" s="23" t="s">
        <v>76</v>
      </c>
      <c r="F22" s="26" t="s">
        <v>92</v>
      </c>
    </row>
    <row r="23" spans="1:6" ht="27" x14ac:dyDescent="0.45">
      <c r="A23" s="22" t="s">
        <v>93</v>
      </c>
      <c r="B23" s="23" t="s">
        <v>94</v>
      </c>
      <c r="C23" s="30">
        <f>C21*110</f>
        <v>27281.083500000004</v>
      </c>
      <c r="D23" s="30">
        <f>D21*110</f>
        <v>47861.55000000001</v>
      </c>
      <c r="E23" s="23" t="s">
        <v>76</v>
      </c>
      <c r="F23" s="26" t="s">
        <v>95</v>
      </c>
    </row>
    <row r="25" spans="1:6" ht="39.75" customHeight="1" x14ac:dyDescent="0.45">
      <c r="A25" s="1" t="s">
        <v>96</v>
      </c>
      <c r="B25" s="1"/>
      <c r="C25" s="1"/>
      <c r="D25" s="1"/>
      <c r="E25" s="1"/>
      <c r="F25" s="1"/>
    </row>
  </sheetData>
  <mergeCells count="1">
    <mergeCell ref="A25:F2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4.25" x14ac:dyDescent="0.45"/>
  <cols>
    <col min="1" max="1" width="52" customWidth="1"/>
    <col min="2" max="2" width="16" customWidth="1"/>
    <col min="3" max="4" width="14" customWidth="1"/>
    <col min="5" max="5" width="11" customWidth="1"/>
    <col min="6" max="6" width="80" customWidth="1"/>
  </cols>
  <sheetData>
    <row r="1" spans="1:6" ht="17.649999999999999" x14ac:dyDescent="0.5">
      <c r="A1" s="3" t="s">
        <v>97</v>
      </c>
    </row>
    <row r="2" spans="1:6" x14ac:dyDescent="0.45">
      <c r="A2" s="4" t="s">
        <v>1</v>
      </c>
    </row>
    <row r="3" spans="1:6" x14ac:dyDescent="0.45">
      <c r="A3" s="5" t="s">
        <v>98</v>
      </c>
    </row>
    <row r="5" spans="1:6" x14ac:dyDescent="0.45">
      <c r="A5" s="6" t="s">
        <v>54</v>
      </c>
      <c r="B5" s="6" t="s">
        <v>7</v>
      </c>
      <c r="C5" s="6" t="s">
        <v>55</v>
      </c>
      <c r="D5" s="6" t="s">
        <v>56</v>
      </c>
      <c r="E5" s="6" t="s">
        <v>57</v>
      </c>
      <c r="F5" s="6" t="s">
        <v>58</v>
      </c>
    </row>
    <row r="6" spans="1:6" x14ac:dyDescent="0.45">
      <c r="A6" s="16" t="s">
        <v>99</v>
      </c>
    </row>
    <row r="7" spans="1:6" ht="46.5" x14ac:dyDescent="0.45">
      <c r="A7" s="22" t="s">
        <v>100</v>
      </c>
      <c r="B7" s="23" t="s">
        <v>101</v>
      </c>
      <c r="C7" s="24" t="s">
        <v>61</v>
      </c>
      <c r="D7" s="25">
        <v>23700</v>
      </c>
      <c r="E7" s="23" t="s">
        <v>62</v>
      </c>
      <c r="F7" s="26" t="s">
        <v>102</v>
      </c>
    </row>
    <row r="8" spans="1:6" ht="23.25" x14ac:dyDescent="0.45">
      <c r="A8" s="22" t="s">
        <v>103</v>
      </c>
      <c r="B8" s="23" t="s">
        <v>94</v>
      </c>
      <c r="C8" s="24" t="s">
        <v>61</v>
      </c>
      <c r="D8" s="25">
        <v>45800</v>
      </c>
      <c r="E8" s="23" t="s">
        <v>62</v>
      </c>
      <c r="F8" s="26" t="s">
        <v>104</v>
      </c>
    </row>
    <row r="9" spans="1:6" ht="23.25" x14ac:dyDescent="0.45">
      <c r="A9" s="22" t="s">
        <v>105</v>
      </c>
      <c r="B9" s="23" t="s">
        <v>67</v>
      </c>
      <c r="C9" s="32">
        <v>0.55000000000000004</v>
      </c>
      <c r="D9" s="29" t="s">
        <v>61</v>
      </c>
      <c r="E9" s="23" t="s">
        <v>76</v>
      </c>
      <c r="F9" s="26" t="s">
        <v>106</v>
      </c>
    </row>
    <row r="10" spans="1:6" ht="23.25" x14ac:dyDescent="0.45">
      <c r="A10" s="22" t="s">
        <v>107</v>
      </c>
      <c r="B10" s="23" t="s">
        <v>67</v>
      </c>
      <c r="C10" s="29" t="s">
        <v>61</v>
      </c>
      <c r="D10" s="32">
        <v>0.05</v>
      </c>
      <c r="E10" s="23" t="s">
        <v>76</v>
      </c>
      <c r="F10" s="26" t="s">
        <v>108</v>
      </c>
    </row>
    <row r="11" spans="1:6" x14ac:dyDescent="0.45">
      <c r="A11" s="22" t="s">
        <v>109</v>
      </c>
      <c r="B11" s="23" t="s">
        <v>22</v>
      </c>
      <c r="C11" s="30">
        <f>D11*'2 Agences conseil'!$C$9</f>
        <v>651.75</v>
      </c>
      <c r="D11" s="30">
        <f>'2 Agences conseil'!$D$7*'2 Agences conseil'!$D$10</f>
        <v>1185</v>
      </c>
      <c r="E11" s="23" t="s">
        <v>76</v>
      </c>
      <c r="F11" s="26" t="s">
        <v>110</v>
      </c>
    </row>
    <row r="12" spans="1:6" ht="27" x14ac:dyDescent="0.45">
      <c r="A12" s="22" t="s">
        <v>111</v>
      </c>
      <c r="B12" s="23" t="s">
        <v>22</v>
      </c>
      <c r="C12" s="33">
        <v>150</v>
      </c>
      <c r="D12" s="33">
        <v>220</v>
      </c>
      <c r="E12" s="23" t="s">
        <v>76</v>
      </c>
      <c r="F12" s="26" t="s">
        <v>112</v>
      </c>
    </row>
    <row r="14" spans="1:6" x14ac:dyDescent="0.45">
      <c r="A14" s="16" t="s">
        <v>113</v>
      </c>
    </row>
    <row r="15" spans="1:6" ht="23.25" x14ac:dyDescent="0.45">
      <c r="A15" s="22" t="s">
        <v>114</v>
      </c>
      <c r="B15" s="23" t="s">
        <v>115</v>
      </c>
      <c r="C15" s="25">
        <v>30526</v>
      </c>
      <c r="D15" s="24" t="s">
        <v>61</v>
      </c>
      <c r="E15" s="23" t="s">
        <v>62</v>
      </c>
      <c r="F15" s="26" t="s">
        <v>116</v>
      </c>
    </row>
    <row r="16" spans="1:6" ht="27" x14ac:dyDescent="0.45">
      <c r="A16" s="22" t="s">
        <v>117</v>
      </c>
      <c r="B16" s="23" t="s">
        <v>118</v>
      </c>
      <c r="C16" s="25">
        <v>2886</v>
      </c>
      <c r="D16" s="24" t="s">
        <v>61</v>
      </c>
      <c r="E16" s="23" t="s">
        <v>62</v>
      </c>
      <c r="F16" s="26" t="s">
        <v>119</v>
      </c>
    </row>
    <row r="17" spans="1:6" ht="27" x14ac:dyDescent="0.45">
      <c r="A17" s="22" t="s">
        <v>120</v>
      </c>
      <c r="B17" s="23" t="s">
        <v>67</v>
      </c>
      <c r="C17" s="27">
        <v>7.0000000000000007E-2</v>
      </c>
      <c r="D17" s="24" t="s">
        <v>61</v>
      </c>
      <c r="E17" s="23" t="s">
        <v>62</v>
      </c>
      <c r="F17" s="26" t="s">
        <v>121</v>
      </c>
    </row>
    <row r="18" spans="1:6" ht="27" x14ac:dyDescent="0.45">
      <c r="A18" s="22" t="s">
        <v>122</v>
      </c>
      <c r="B18" s="23" t="s">
        <v>67</v>
      </c>
      <c r="C18" s="27">
        <v>0.02</v>
      </c>
      <c r="D18" s="24" t="s">
        <v>61</v>
      </c>
      <c r="E18" s="23" t="s">
        <v>62</v>
      </c>
      <c r="F18" s="26" t="s">
        <v>123</v>
      </c>
    </row>
    <row r="19" spans="1:6" ht="27" x14ac:dyDescent="0.45">
      <c r="A19" s="22" t="s">
        <v>124</v>
      </c>
      <c r="B19" s="23" t="s">
        <v>67</v>
      </c>
      <c r="C19" s="27">
        <v>0.1</v>
      </c>
      <c r="D19" s="24" t="s">
        <v>61</v>
      </c>
      <c r="E19" s="23" t="s">
        <v>62</v>
      </c>
      <c r="F19" s="26" t="s">
        <v>125</v>
      </c>
    </row>
    <row r="20" spans="1:6" ht="27" x14ac:dyDescent="0.45">
      <c r="A20" s="22" t="s">
        <v>126</v>
      </c>
      <c r="B20" s="23" t="s">
        <v>25</v>
      </c>
      <c r="C20" s="30">
        <f>'2 Agences conseil'!$C$15*'2 Agences conseil'!$C$17/15+'2 Agences conseil'!$C$15*'2 Agences conseil'!$C$18/25+'2 Agences conseil'!$C$15*'2 Agences conseil'!$C$19/80</f>
        <v>205.03296666666668</v>
      </c>
      <c r="D20" s="29" t="s">
        <v>61</v>
      </c>
      <c r="E20" s="23" t="s">
        <v>76</v>
      </c>
      <c r="F20" s="26" t="s">
        <v>127</v>
      </c>
    </row>
    <row r="22" spans="1:6" x14ac:dyDescent="0.45">
      <c r="A22" s="16" t="s">
        <v>128</v>
      </c>
    </row>
    <row r="23" spans="1:6" ht="34.9" x14ac:dyDescent="0.45">
      <c r="A23" s="22" t="s">
        <v>129</v>
      </c>
      <c r="B23" s="23" t="s">
        <v>130</v>
      </c>
      <c r="C23" s="24" t="s">
        <v>61</v>
      </c>
      <c r="D23" s="25">
        <v>28900</v>
      </c>
      <c r="E23" s="23" t="s">
        <v>62</v>
      </c>
      <c r="F23" s="26" t="s">
        <v>131</v>
      </c>
    </row>
    <row r="24" spans="1:6" x14ac:dyDescent="0.45">
      <c r="A24" s="22" t="s">
        <v>132</v>
      </c>
      <c r="B24" s="23" t="s">
        <v>67</v>
      </c>
      <c r="C24" s="32">
        <v>0.65</v>
      </c>
      <c r="D24" s="29" t="s">
        <v>61</v>
      </c>
      <c r="E24" s="23" t="s">
        <v>76</v>
      </c>
      <c r="F24" s="26" t="s">
        <v>133</v>
      </c>
    </row>
    <row r="25" spans="1:6" ht="27" x14ac:dyDescent="0.45">
      <c r="A25" s="22" t="s">
        <v>134</v>
      </c>
      <c r="B25" s="23" t="s">
        <v>27</v>
      </c>
      <c r="C25" s="30">
        <f>'2 Agences conseil'!$D$23*'2 Agences conseil'!$C$24/40</f>
        <v>469.625</v>
      </c>
      <c r="D25" s="29" t="s">
        <v>61</v>
      </c>
      <c r="E25" s="23" t="s">
        <v>76</v>
      </c>
      <c r="F25" s="26" t="s">
        <v>135</v>
      </c>
    </row>
    <row r="26" spans="1:6" ht="27" x14ac:dyDescent="0.45">
      <c r="A26" s="22" t="s">
        <v>136</v>
      </c>
      <c r="B26" s="23" t="s">
        <v>25</v>
      </c>
      <c r="C26" s="33">
        <v>300</v>
      </c>
      <c r="D26" s="33">
        <v>400</v>
      </c>
      <c r="E26" s="23" t="s">
        <v>76</v>
      </c>
      <c r="F26" s="26" t="s">
        <v>137</v>
      </c>
    </row>
    <row r="28" spans="1:6" x14ac:dyDescent="0.45">
      <c r="A28" s="16" t="s">
        <v>138</v>
      </c>
    </row>
    <row r="29" spans="1:6" x14ac:dyDescent="0.45">
      <c r="A29" s="22" t="s">
        <v>139</v>
      </c>
      <c r="B29" s="23" t="s">
        <v>140</v>
      </c>
      <c r="C29" s="30">
        <f>C11+C12+C20+C25+C26</f>
        <v>1776.4079666666667</v>
      </c>
      <c r="D29" s="29" t="s">
        <v>61</v>
      </c>
      <c r="E29" s="23" t="s">
        <v>76</v>
      </c>
      <c r="F29" s="26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4.25" x14ac:dyDescent="0.45"/>
  <cols>
    <col min="1" max="1" width="52" customWidth="1"/>
    <col min="2" max="2" width="16" customWidth="1"/>
    <col min="3" max="4" width="14" customWidth="1"/>
    <col min="5" max="5" width="11" customWidth="1"/>
    <col min="6" max="6" width="80" customWidth="1"/>
  </cols>
  <sheetData>
    <row r="1" spans="1:6" ht="17.649999999999999" x14ac:dyDescent="0.5">
      <c r="A1" s="3" t="s">
        <v>142</v>
      </c>
    </row>
    <row r="2" spans="1:6" x14ac:dyDescent="0.45">
      <c r="A2" s="4" t="s">
        <v>1</v>
      </c>
    </row>
    <row r="3" spans="1:6" x14ac:dyDescent="0.45">
      <c r="A3" s="5" t="s">
        <v>143</v>
      </c>
    </row>
    <row r="5" spans="1:6" x14ac:dyDescent="0.45">
      <c r="A5" s="6" t="s">
        <v>54</v>
      </c>
      <c r="B5" s="6" t="s">
        <v>7</v>
      </c>
      <c r="C5" s="6" t="s">
        <v>55</v>
      </c>
      <c r="D5" s="6" t="s">
        <v>56</v>
      </c>
      <c r="E5" s="6" t="s">
        <v>57</v>
      </c>
      <c r="F5" s="6" t="s">
        <v>58</v>
      </c>
    </row>
    <row r="6" spans="1:6" x14ac:dyDescent="0.45">
      <c r="A6" s="16" t="s">
        <v>59</v>
      </c>
    </row>
    <row r="7" spans="1:6" x14ac:dyDescent="0.45">
      <c r="A7" s="22" t="s">
        <v>144</v>
      </c>
      <c r="B7" s="23" t="s">
        <v>101</v>
      </c>
      <c r="C7" s="25">
        <v>5527</v>
      </c>
      <c r="D7" s="25">
        <v>18702</v>
      </c>
      <c r="E7" s="23" t="s">
        <v>62</v>
      </c>
      <c r="F7" s="26" t="s">
        <v>145</v>
      </c>
    </row>
    <row r="8" spans="1:6" x14ac:dyDescent="0.45">
      <c r="A8" s="22" t="s">
        <v>146</v>
      </c>
      <c r="B8" s="23" t="s">
        <v>94</v>
      </c>
      <c r="C8" s="25">
        <v>1110000</v>
      </c>
      <c r="D8" s="25">
        <v>3850000</v>
      </c>
      <c r="E8" s="23" t="s">
        <v>62</v>
      </c>
      <c r="F8" s="26" t="s">
        <v>147</v>
      </c>
    </row>
    <row r="9" spans="1:6" ht="27" x14ac:dyDescent="0.45">
      <c r="A9" s="22" t="s">
        <v>148</v>
      </c>
      <c r="B9" s="23" t="s">
        <v>67</v>
      </c>
      <c r="C9" s="27">
        <v>0.84</v>
      </c>
      <c r="D9" s="27">
        <v>0.84</v>
      </c>
      <c r="E9" s="23" t="s">
        <v>62</v>
      </c>
      <c r="F9" s="26" t="s">
        <v>149</v>
      </c>
    </row>
    <row r="10" spans="1:6" ht="34.9" x14ac:dyDescent="0.45">
      <c r="A10" s="22" t="s">
        <v>150</v>
      </c>
      <c r="B10" s="23" t="s">
        <v>31</v>
      </c>
      <c r="C10" s="33">
        <v>4500</v>
      </c>
      <c r="D10" s="33">
        <v>14500</v>
      </c>
      <c r="E10" s="23" t="s">
        <v>76</v>
      </c>
      <c r="F10" s="26" t="s">
        <v>151</v>
      </c>
    </row>
    <row r="12" spans="1:6" x14ac:dyDescent="0.45">
      <c r="A12" s="16" t="s">
        <v>152</v>
      </c>
    </row>
    <row r="13" spans="1:6" ht="23.25" x14ac:dyDescent="0.45">
      <c r="A13" s="22" t="s">
        <v>153</v>
      </c>
      <c r="B13" s="23" t="s">
        <v>67</v>
      </c>
      <c r="C13" s="32">
        <v>0.22</v>
      </c>
      <c r="D13" s="32">
        <v>0.18</v>
      </c>
      <c r="E13" s="23" t="s">
        <v>76</v>
      </c>
      <c r="F13" s="26" t="s">
        <v>154</v>
      </c>
    </row>
    <row r="14" spans="1:6" x14ac:dyDescent="0.45">
      <c r="A14" s="22" t="s">
        <v>155</v>
      </c>
      <c r="B14" s="23" t="s">
        <v>67</v>
      </c>
      <c r="C14" s="32">
        <v>0.06</v>
      </c>
      <c r="D14" s="32">
        <v>0.05</v>
      </c>
      <c r="E14" s="23" t="s">
        <v>76</v>
      </c>
      <c r="F14" s="26" t="s">
        <v>156</v>
      </c>
    </row>
    <row r="15" spans="1:6" x14ac:dyDescent="0.45">
      <c r="A15" s="22" t="s">
        <v>157</v>
      </c>
      <c r="B15" s="23" t="s">
        <v>31</v>
      </c>
      <c r="C15" s="30">
        <f>'3 CSE'!$C$10*('3 CSE'!$C$13-'3 CSE'!$C$14)</f>
        <v>720</v>
      </c>
      <c r="D15" s="30">
        <f>'3 CSE'!$D$10*('3 CSE'!$D$13-'3 CSE'!$D$14)</f>
        <v>1885</v>
      </c>
      <c r="E15" s="23" t="s">
        <v>76</v>
      </c>
      <c r="F15" s="26" t="s">
        <v>158</v>
      </c>
    </row>
    <row r="16" spans="1:6" ht="23.25" x14ac:dyDescent="0.45">
      <c r="A16" s="22" t="s">
        <v>159</v>
      </c>
      <c r="B16" s="23" t="s">
        <v>31</v>
      </c>
      <c r="C16" s="30">
        <f>'3 CSE'!$C$10*'3 CSE'!$C$14</f>
        <v>270</v>
      </c>
      <c r="D16" s="30">
        <f>'3 CSE'!$D$10*'3 CSE'!$D$14</f>
        <v>725</v>
      </c>
      <c r="E16" s="23" t="s">
        <v>76</v>
      </c>
      <c r="F16" s="26" t="s">
        <v>160</v>
      </c>
    </row>
    <row r="17" spans="1:6" x14ac:dyDescent="0.45">
      <c r="A17" s="22" t="s">
        <v>161</v>
      </c>
      <c r="B17" s="23" t="s">
        <v>31</v>
      </c>
      <c r="C17" s="30">
        <f>'3 CSE'!$C$10*(1-'3 CSE'!$C$13)</f>
        <v>3510</v>
      </c>
      <c r="D17" s="30">
        <f>'3 CSE'!$D$10*(1-'3 CSE'!$D$13)</f>
        <v>11890</v>
      </c>
      <c r="E17" s="23" t="s">
        <v>76</v>
      </c>
      <c r="F17" s="26" t="s">
        <v>162</v>
      </c>
    </row>
    <row r="19" spans="1:6" x14ac:dyDescent="0.45">
      <c r="A19" s="16" t="s">
        <v>163</v>
      </c>
    </row>
    <row r="20" spans="1:6" ht="34.9" x14ac:dyDescent="0.45">
      <c r="A20" s="22" t="s">
        <v>164</v>
      </c>
      <c r="B20" s="23" t="s">
        <v>67</v>
      </c>
      <c r="C20" s="34">
        <v>8.0000000000000002E-3</v>
      </c>
      <c r="D20" s="34">
        <v>8.0000000000000002E-3</v>
      </c>
      <c r="E20" s="23" t="s">
        <v>62</v>
      </c>
      <c r="F20" s="26" t="s">
        <v>165</v>
      </c>
    </row>
    <row r="21" spans="1:6" ht="27" x14ac:dyDescent="0.45">
      <c r="A21" s="22" t="s">
        <v>166</v>
      </c>
      <c r="B21" s="23" t="s">
        <v>167</v>
      </c>
      <c r="C21" s="33">
        <v>60000</v>
      </c>
      <c r="D21" s="33">
        <v>52000</v>
      </c>
      <c r="E21" s="23" t="s">
        <v>76</v>
      </c>
      <c r="F21" s="26" t="s">
        <v>168</v>
      </c>
    </row>
    <row r="22" spans="1:6" x14ac:dyDescent="0.45">
      <c r="A22" s="22" t="s">
        <v>169</v>
      </c>
      <c r="B22" s="23" t="s">
        <v>170</v>
      </c>
      <c r="C22" s="30">
        <f>'3 CSE'!$C$21*'3 CSE'!$C$20</f>
        <v>480</v>
      </c>
      <c r="D22" s="30">
        <f>'3 CSE'!$D$21*'3 CSE'!$D$20</f>
        <v>416</v>
      </c>
      <c r="E22" s="23" t="s">
        <v>76</v>
      </c>
      <c r="F22" s="26" t="s">
        <v>171</v>
      </c>
    </row>
    <row r="23" spans="1:6" ht="23.25" x14ac:dyDescent="0.45">
      <c r="A23" s="22" t="s">
        <v>172</v>
      </c>
      <c r="B23" s="23" t="s">
        <v>167</v>
      </c>
      <c r="C23" s="35">
        <f>'3 CSE'!$C$8*'3 CSE'!$C$22</f>
        <v>532800000</v>
      </c>
      <c r="D23" s="35">
        <f>'3 CSE'!$D$8*'3 CSE'!$D$22</f>
        <v>1601600000</v>
      </c>
      <c r="E23" s="23" t="s">
        <v>76</v>
      </c>
      <c r="F23" s="26" t="s">
        <v>173</v>
      </c>
    </row>
    <row r="24" spans="1:6" ht="27" x14ac:dyDescent="0.45">
      <c r="A24" s="22" t="s">
        <v>174</v>
      </c>
      <c r="B24" s="23" t="s">
        <v>67</v>
      </c>
      <c r="C24" s="32">
        <v>0.25</v>
      </c>
      <c r="D24" s="32">
        <v>0.25</v>
      </c>
      <c r="E24" s="23" t="s">
        <v>76</v>
      </c>
      <c r="F24" s="26" t="s">
        <v>175</v>
      </c>
    </row>
    <row r="25" spans="1:6" x14ac:dyDescent="0.45">
      <c r="A25" s="22" t="s">
        <v>176</v>
      </c>
      <c r="B25" s="23" t="s">
        <v>167</v>
      </c>
      <c r="C25" s="35">
        <f>'3 CSE'!$C$23*'3 CSE'!$C$24</f>
        <v>133200000</v>
      </c>
      <c r="D25" s="35">
        <f>'3 CSE'!$D$23*'3 CSE'!$D$24</f>
        <v>400400000</v>
      </c>
      <c r="E25" s="23" t="s">
        <v>76</v>
      </c>
      <c r="F25" s="26" t="s">
        <v>177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4.25" x14ac:dyDescent="0.45"/>
  <cols>
    <col min="1" max="1" width="52" customWidth="1"/>
    <col min="2" max="2" width="16" customWidth="1"/>
    <col min="3" max="4" width="14" customWidth="1"/>
    <col min="5" max="5" width="11" customWidth="1"/>
    <col min="6" max="6" width="80" customWidth="1"/>
  </cols>
  <sheetData>
    <row r="1" spans="1:6" ht="17.649999999999999" x14ac:dyDescent="0.5">
      <c r="A1" s="3" t="s">
        <v>178</v>
      </c>
    </row>
    <row r="2" spans="1:6" x14ac:dyDescent="0.45">
      <c r="A2" s="4" t="s">
        <v>1</v>
      </c>
    </row>
    <row r="3" spans="1:6" x14ac:dyDescent="0.45">
      <c r="A3" s="5" t="s">
        <v>179</v>
      </c>
    </row>
    <row r="5" spans="1:6" x14ac:dyDescent="0.45">
      <c r="A5" s="6" t="s">
        <v>54</v>
      </c>
      <c r="B5" s="6" t="s">
        <v>7</v>
      </c>
      <c r="C5" s="6" t="s">
        <v>55</v>
      </c>
      <c r="D5" s="6" t="s">
        <v>56</v>
      </c>
      <c r="E5" s="6" t="s">
        <v>57</v>
      </c>
      <c r="F5" s="6" t="s">
        <v>58</v>
      </c>
    </row>
    <row r="6" spans="1:6" x14ac:dyDescent="0.45">
      <c r="A6" s="16" t="s">
        <v>59</v>
      </c>
    </row>
    <row r="7" spans="1:6" x14ac:dyDescent="0.45">
      <c r="A7" s="22" t="s">
        <v>144</v>
      </c>
      <c r="B7" s="23" t="s">
        <v>101</v>
      </c>
      <c r="C7" s="25">
        <v>5527</v>
      </c>
      <c r="D7" s="25">
        <v>18702</v>
      </c>
      <c r="E7" s="23" t="s">
        <v>62</v>
      </c>
      <c r="F7" s="26" t="s">
        <v>147</v>
      </c>
    </row>
    <row r="8" spans="1:6" x14ac:dyDescent="0.45">
      <c r="A8" s="22" t="s">
        <v>146</v>
      </c>
      <c r="B8" s="23" t="s">
        <v>94</v>
      </c>
      <c r="C8" s="25">
        <v>1110000</v>
      </c>
      <c r="D8" s="25">
        <v>3850000</v>
      </c>
      <c r="E8" s="23" t="s">
        <v>62</v>
      </c>
      <c r="F8" s="26" t="s">
        <v>147</v>
      </c>
    </row>
    <row r="9" spans="1:6" ht="23.25" x14ac:dyDescent="0.45">
      <c r="A9" s="22" t="s">
        <v>180</v>
      </c>
      <c r="B9" s="23" t="s">
        <v>94</v>
      </c>
      <c r="C9" s="24" t="s">
        <v>61</v>
      </c>
      <c r="D9" s="25">
        <v>6341800</v>
      </c>
      <c r="E9" s="23" t="s">
        <v>62</v>
      </c>
      <c r="F9" s="26" t="s">
        <v>181</v>
      </c>
    </row>
    <row r="11" spans="1:6" x14ac:dyDescent="0.45">
      <c r="A11" s="16" t="s">
        <v>88</v>
      </c>
    </row>
    <row r="12" spans="1:6" ht="27" x14ac:dyDescent="0.45">
      <c r="A12" s="22" t="s">
        <v>182</v>
      </c>
      <c r="B12" s="23" t="s">
        <v>67</v>
      </c>
      <c r="C12" s="32">
        <v>0.7</v>
      </c>
      <c r="D12" s="32">
        <v>0.6</v>
      </c>
      <c r="E12" s="23" t="s">
        <v>76</v>
      </c>
      <c r="F12" s="26" t="s">
        <v>183</v>
      </c>
    </row>
    <row r="13" spans="1:6" ht="27" x14ac:dyDescent="0.45">
      <c r="A13" s="22" t="s">
        <v>184</v>
      </c>
      <c r="B13" s="23" t="s">
        <v>37</v>
      </c>
      <c r="C13" s="30">
        <f>'4 RH marque employeur'!$C$7*'4 RH marque employeur'!$C$12</f>
        <v>3868.8999999999996</v>
      </c>
      <c r="D13" s="30">
        <f>'4 RH marque employeur'!$D$7*'4 RH marque employeur'!$D$12</f>
        <v>11221.199999999999</v>
      </c>
      <c r="E13" s="23" t="s">
        <v>76</v>
      </c>
      <c r="F13" s="26" t="s">
        <v>185</v>
      </c>
    </row>
    <row r="14" spans="1:6" ht="27" x14ac:dyDescent="0.45">
      <c r="A14" s="22" t="s">
        <v>186</v>
      </c>
      <c r="B14" s="23" t="s">
        <v>27</v>
      </c>
      <c r="C14" s="30">
        <f>'4 RH marque employeur'!$C$8/25</f>
        <v>44400</v>
      </c>
      <c r="D14" s="30">
        <f>'4 RH marque employeur'!$D$8/25</f>
        <v>154000</v>
      </c>
      <c r="E14" s="23" t="s">
        <v>76</v>
      </c>
      <c r="F14" s="26" t="s">
        <v>187</v>
      </c>
    </row>
    <row r="16" spans="1:6" x14ac:dyDescent="0.45">
      <c r="A16" s="16" t="s">
        <v>188</v>
      </c>
    </row>
    <row r="17" spans="1:6" x14ac:dyDescent="0.45">
      <c r="A17" s="22" t="s">
        <v>189</v>
      </c>
      <c r="B17" s="23" t="s">
        <v>67</v>
      </c>
      <c r="C17" s="32">
        <v>0.15</v>
      </c>
      <c r="D17" s="32">
        <v>0.15</v>
      </c>
      <c r="E17" s="23" t="s">
        <v>76</v>
      </c>
      <c r="F17" s="26" t="s">
        <v>190</v>
      </c>
    </row>
    <row r="18" spans="1:6" x14ac:dyDescent="0.45">
      <c r="A18" s="22" t="s">
        <v>191</v>
      </c>
      <c r="B18" s="23" t="s">
        <v>192</v>
      </c>
      <c r="C18" s="30">
        <f>'4 RH marque employeur'!$C$8*'4 RH marque employeur'!$C$17</f>
        <v>166500</v>
      </c>
      <c r="D18" s="30">
        <f>'4 RH marque employeur'!$D$8*'4 RH marque employeur'!$D$17</f>
        <v>577500</v>
      </c>
      <c r="E18" s="23" t="s">
        <v>76</v>
      </c>
      <c r="F18" s="26" t="s">
        <v>193</v>
      </c>
    </row>
    <row r="19" spans="1:6" x14ac:dyDescent="0.45">
      <c r="A19" s="22" t="s">
        <v>194</v>
      </c>
      <c r="B19" s="23" t="s">
        <v>67</v>
      </c>
      <c r="C19" s="32">
        <v>0.05</v>
      </c>
      <c r="D19" s="32">
        <v>0.05</v>
      </c>
      <c r="E19" s="23" t="s">
        <v>76</v>
      </c>
      <c r="F19" s="26" t="s">
        <v>195</v>
      </c>
    </row>
    <row r="20" spans="1:6" x14ac:dyDescent="0.45">
      <c r="A20" s="22" t="s">
        <v>196</v>
      </c>
      <c r="B20" s="23" t="s">
        <v>197</v>
      </c>
      <c r="C20" s="30">
        <f>'4 RH marque employeur'!$C$18*'4 RH marque employeur'!$C$19</f>
        <v>8325</v>
      </c>
      <c r="D20" s="30">
        <f>'4 RH marque employeur'!$D$18*'4 RH marque employeur'!$D$19</f>
        <v>28875</v>
      </c>
      <c r="E20" s="23" t="s">
        <v>76</v>
      </c>
      <c r="F20" s="26" t="s">
        <v>198</v>
      </c>
    </row>
    <row r="21" spans="1:6" ht="27" x14ac:dyDescent="0.45">
      <c r="A21" s="22" t="s">
        <v>199</v>
      </c>
      <c r="B21" s="23" t="s">
        <v>200</v>
      </c>
      <c r="C21" s="33">
        <v>1</v>
      </c>
      <c r="D21" s="33">
        <v>1</v>
      </c>
      <c r="E21" s="23" t="s">
        <v>76</v>
      </c>
      <c r="F21" s="26" t="s">
        <v>201</v>
      </c>
    </row>
    <row r="22" spans="1:6" ht="27" x14ac:dyDescent="0.45">
      <c r="A22" s="22" t="s">
        <v>202</v>
      </c>
      <c r="B22" s="23" t="s">
        <v>197</v>
      </c>
      <c r="C22" s="30">
        <f>'4 RH marque employeur'!$C$14*'4 RH marque employeur'!$C$21</f>
        <v>44400</v>
      </c>
      <c r="D22" s="30">
        <f>'4 RH marque employeur'!$D$14*'4 RH marque employeur'!$D$21</f>
        <v>154000</v>
      </c>
      <c r="E22" s="23" t="s">
        <v>76</v>
      </c>
      <c r="F22" s="26" t="s">
        <v>203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zoomScaleNormal="100" workbookViewId="0"/>
  </sheetViews>
  <sheetFormatPr baseColWidth="10" defaultColWidth="8.6640625" defaultRowHeight="14.25" x14ac:dyDescent="0.45"/>
  <cols>
    <col min="1" max="1" width="55" customWidth="1"/>
    <col min="2" max="3" width="70" customWidth="1"/>
  </cols>
  <sheetData>
    <row r="1" spans="1:3" ht="17.649999999999999" x14ac:dyDescent="0.5">
      <c r="A1" s="3" t="s">
        <v>204</v>
      </c>
    </row>
    <row r="2" spans="1:3" x14ac:dyDescent="0.45">
      <c r="A2" s="4" t="s">
        <v>1</v>
      </c>
    </row>
    <row r="3" spans="1:3" x14ac:dyDescent="0.45">
      <c r="A3" s="5" t="s">
        <v>205</v>
      </c>
    </row>
    <row r="5" spans="1:3" x14ac:dyDescent="0.45">
      <c r="A5" s="6" t="s">
        <v>206</v>
      </c>
      <c r="B5" s="6" t="s">
        <v>207</v>
      </c>
      <c r="C5" s="6" t="s">
        <v>208</v>
      </c>
    </row>
    <row r="6" spans="1:3" x14ac:dyDescent="0.45">
      <c r="A6" s="26" t="s">
        <v>209</v>
      </c>
      <c r="B6" s="26" t="s">
        <v>210</v>
      </c>
      <c r="C6" s="26" t="s">
        <v>211</v>
      </c>
    </row>
    <row r="7" spans="1:3" ht="23.25" x14ac:dyDescent="0.45">
      <c r="A7" s="26" t="s">
        <v>212</v>
      </c>
      <c r="B7" s="26" t="s">
        <v>213</v>
      </c>
      <c r="C7" s="26" t="s">
        <v>214</v>
      </c>
    </row>
    <row r="8" spans="1:3" x14ac:dyDescent="0.45">
      <c r="A8" s="26" t="s">
        <v>215</v>
      </c>
      <c r="B8" s="26" t="s">
        <v>216</v>
      </c>
      <c r="C8" s="26" t="s">
        <v>217</v>
      </c>
    </row>
    <row r="9" spans="1:3" ht="23.25" x14ac:dyDescent="0.45">
      <c r="A9" s="26" t="s">
        <v>218</v>
      </c>
      <c r="B9" s="26" t="s">
        <v>219</v>
      </c>
      <c r="C9" s="26" t="s">
        <v>220</v>
      </c>
    </row>
    <row r="10" spans="1:3" ht="23.25" x14ac:dyDescent="0.45">
      <c r="A10" s="26" t="s">
        <v>221</v>
      </c>
      <c r="B10" s="26" t="s">
        <v>222</v>
      </c>
      <c r="C10" s="26" t="s">
        <v>223</v>
      </c>
    </row>
    <row r="11" spans="1:3" x14ac:dyDescent="0.45">
      <c r="A11" s="26" t="s">
        <v>224</v>
      </c>
      <c r="B11" s="26" t="s">
        <v>225</v>
      </c>
      <c r="C11" s="26" t="s">
        <v>226</v>
      </c>
    </row>
    <row r="12" spans="1:3" ht="23.25" x14ac:dyDescent="0.45">
      <c r="A12" s="26" t="s">
        <v>227</v>
      </c>
      <c r="B12" s="26" t="s">
        <v>228</v>
      </c>
      <c r="C12" s="26" t="s">
        <v>229</v>
      </c>
    </row>
    <row r="13" spans="1:3" x14ac:dyDescent="0.45">
      <c r="A13" s="26" t="s">
        <v>230</v>
      </c>
      <c r="B13" s="26" t="s">
        <v>231</v>
      </c>
      <c r="C13" s="26" t="s">
        <v>232</v>
      </c>
    </row>
    <row r="14" spans="1:3" x14ac:dyDescent="0.45">
      <c r="A14" s="26" t="s">
        <v>233</v>
      </c>
      <c r="B14" s="26" t="s">
        <v>234</v>
      </c>
      <c r="C14" s="26" t="s">
        <v>235</v>
      </c>
    </row>
    <row r="15" spans="1:3" x14ac:dyDescent="0.45">
      <c r="A15" s="26" t="s">
        <v>236</v>
      </c>
      <c r="B15" s="26" t="s">
        <v>237</v>
      </c>
      <c r="C15" s="26" t="s">
        <v>238</v>
      </c>
    </row>
    <row r="16" spans="1:3" x14ac:dyDescent="0.45">
      <c r="A16" s="26" t="s">
        <v>239</v>
      </c>
      <c r="B16" s="26" t="s">
        <v>240</v>
      </c>
      <c r="C16" s="26" t="s">
        <v>241</v>
      </c>
    </row>
    <row r="17" spans="1:3" x14ac:dyDescent="0.45">
      <c r="A17" s="26" t="s">
        <v>242</v>
      </c>
      <c r="B17" s="26" t="s">
        <v>243</v>
      </c>
      <c r="C17" s="26" t="s">
        <v>244</v>
      </c>
    </row>
    <row r="19" spans="1:3" x14ac:dyDescent="0.45">
      <c r="A19" s="4" t="s">
        <v>245</v>
      </c>
    </row>
    <row r="20" spans="1:3" x14ac:dyDescent="0.45">
      <c r="A20" s="36" t="s">
        <v>246</v>
      </c>
    </row>
    <row r="21" spans="1:3" x14ac:dyDescent="0.45">
      <c r="A21" s="36" t="s">
        <v>247</v>
      </c>
    </row>
    <row r="22" spans="1:3" x14ac:dyDescent="0.45">
      <c r="A22" s="36" t="s">
        <v>248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Synthèse</vt:lpstr>
      <vt:lpstr>1 Startups scale-ups</vt:lpstr>
      <vt:lpstr>2 Agences conseil</vt:lpstr>
      <vt:lpstr>3 CSE</vt:lpstr>
      <vt:lpstr>4 RH marque employeur</vt:lpstr>
      <vt:lpstr>Sources &amp; méthode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Xavier MARTIN</cp:lastModifiedBy>
  <cp:revision>0</cp:revision>
  <dcterms:created xsi:type="dcterms:W3CDTF">2026-10-28T17:16:43Z</dcterms:created>
  <dcterms:modified xsi:type="dcterms:W3CDTF">2026-10-28T18:49:04Z</dcterms:modified>
  <dc:language>en-US</dc:language>
</cp:coreProperties>
</file>