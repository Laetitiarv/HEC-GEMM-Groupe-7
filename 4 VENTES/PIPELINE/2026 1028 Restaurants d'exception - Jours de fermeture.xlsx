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Par jour" sheetId="3" state="visible" r:id="rId3"/>
    <sheet xmlns:r="http://schemas.openxmlformats.org/officeDocument/2006/relationships" name="Jour × arrondissement" sheetId="4" state="visible" r:id="rId4"/>
    <sheet xmlns:r="http://schemas.openxmlformats.org/officeDocument/2006/relationships" name="Base" sheetId="5" state="visible" r:id="rId5"/>
    <sheet xmlns:r="http://schemas.openxmlformats.org/officeDocument/2006/relationships" name="À compléter (proposition)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'Restaurants'!$A$2:$V$71</definedName>
    <definedName name="_xlnm._FilterDatabase" localSheetId="4" hidden="1">'Base'!$A$1:$O$70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A1028"/>
      <sz val="15"/>
    </font>
    <font>
      <i val="1"/>
      <color rgb="00666666"/>
      <sz val="10"/>
    </font>
    <font>
      <b val="1"/>
      <color rgb="004A1028"/>
      <sz val="12"/>
    </font>
    <font>
      <b val="1"/>
      <color rgb="00FFFFFF"/>
    </font>
    <font>
      <b val="1"/>
      <color rgb="001F4E79"/>
    </font>
    <font>
      <b val="1"/>
    </font>
    <font>
      <b val="1"/>
      <color rgb="001F4E79"/>
      <sz val="12"/>
    </font>
    <font>
      <b val="1"/>
      <color rgb="004A1028"/>
    </font>
  </fonts>
  <fills count="9">
    <fill>
      <patternFill/>
    </fill>
    <fill>
      <patternFill patternType="gray125"/>
    </fill>
    <fill>
      <patternFill patternType="solid">
        <fgColor rgb="00E3F1EA"/>
      </patternFill>
    </fill>
    <fill>
      <patternFill patternType="solid">
        <fgColor rgb="00DCEAF7"/>
      </patternFill>
    </fill>
    <fill>
      <patternFill patternType="solid">
        <fgColor rgb="00FBE3CF"/>
      </patternFill>
    </fill>
    <fill>
      <patternFill patternType="solid">
        <fgColor rgb="004A1028"/>
      </patternFill>
    </fill>
    <fill>
      <patternFill patternType="solid">
        <fgColor rgb="00E9C9D3"/>
      </patternFill>
    </fill>
    <fill>
      <patternFill patternType="solid">
        <fgColor rgb="00FFF6D6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CFD3"/>
      </left>
      <right style="thin">
        <color rgb="00D9CFD3"/>
      </right>
      <top style="thin">
        <color rgb="00D9CFD3"/>
      </top>
      <bottom style="thin">
        <color rgb="00D9CF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9" fontId="0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5" fillId="3" borderId="1" pivotButton="0" quotePrefix="0" xfId="0"/>
    <xf numFmtId="0" fontId="0" fillId="8" borderId="1" applyAlignment="1" pivotButton="0" quotePrefix="0" xfId="0">
      <alignment vertical="top" wrapText="1"/>
    </xf>
    <xf numFmtId="0" fontId="0" fillId="7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8E6C9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ECEFF1"/>
        </patternFill>
      </fill>
    </dxf>
    <dxf>
      <font>
        <b val="1"/>
        <color rgb="00FFFFFF"/>
      </font>
      <fill>
        <patternFill patternType="solid">
          <fgColor rgb="00B5566E"/>
        </patternFill>
      </fill>
    </dxf>
    <dxf>
      <fill>
        <patternFill patternType="solid">
          <fgColor rgb="00E9C9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Restaurants d'exception à Paris et leurs jours de fermeture — base de prospects lieux</t>
        </is>
      </c>
    </row>
    <row r="2">
      <c r="A2" s="2" t="inlineStr">
        <is>
          <t>Pôle Ventes · 28/10/2026 · Nouvelle cible lieux : restaurants d'exception (haut de gamme) · Document de travail, non validé</t>
        </is>
      </c>
    </row>
    <row r="4">
      <c r="A4" s="3" t="inlineStr">
        <is>
          <t>Même raisonnement que le fichier « Restaurants par jour de la semaine » du 28/10</t>
        </is>
      </c>
    </row>
    <row r="5">
      <c r="A5" s="4" t="inlineStr">
        <is>
          <t>On garde cette fois les restaurants que la base d'origine excluait comme « très haut de gamme » (ticket estimé ≥ 100 €, menu ≥ 150 €, ou gastronomique ≥ 85 €, étoilés et palaces) : 50 fiches, dont 47 avec des jours de fermeture connus.</t>
        </is>
      </c>
    </row>
    <row r="6">
      <c r="A6" s="4" t="inlineStr"/>
    </row>
    <row r="7">
      <c r="A7" s="3" t="inlineStr">
        <is>
          <t>Code couleur</t>
        </is>
      </c>
    </row>
    <row r="8">
      <c r="A8" s="5" t="inlineStr">
        <is>
          <t>Ligne blanche / cellule verte : restaurant très haut de gamme de la base (guide Gilles Pudlowski, relevé du 27/10/2026).</t>
        </is>
      </c>
    </row>
    <row r="9">
      <c r="A9" s="6" t="inlineStr">
        <is>
          <t>Ligne BLEUE : proposition de l'assistant IA, à valider. Deux propositions : (1) élargir aux restaurants « milieu-haut de gamme » à 80 € ou plus par personne ; (2) onglet « À compléter » : tables étoilées citées dans la presse, absentes de la base, dont il faut relever les jours de fermeture.</t>
        </is>
      </c>
    </row>
    <row r="10">
      <c r="A10" s="7" t="inlineStr">
        <is>
          <t>Cellule ORANGE : estimation. Cellule GRISE : information non établie.</t>
        </is>
      </c>
    </row>
    <row r="11">
      <c r="A11" s="4" t="inlineStr"/>
    </row>
    <row r="12">
      <c r="A12" s="3" t="inlineStr">
        <is>
          <t>Définitions</t>
        </is>
      </c>
    </row>
    <row r="13">
      <c r="A13" s="4" t="inlineStr">
        <is>
          <t>Salle libre le soir = « Fermé » (toute la journée) ou « Fermé soir ». Ouvert le soir = « Ouvert » ou « Fermé midi ».</t>
        </is>
      </c>
    </row>
    <row r="14">
      <c r="A14" s="4" t="inlineStr">
        <is>
          <t>Priorité (proposition) : A = au moins un soir libre du mardi au samedi ; B = libre le dimanche et/ou le lundi seulement ; « Pas de soir libre » = ouvert 7 soirs sur 7 (privatisation possible, mais hors concept des périodes de fermeture).</t>
        </is>
      </c>
    </row>
    <row r="15">
      <c r="A15" s="4" t="inlineStr"/>
    </row>
    <row r="16">
      <c r="A16" s="3" t="inlineStr">
        <is>
          <t>Avant de démarcher</t>
        </is>
      </c>
    </row>
    <row r="17">
      <c r="A17" s="4" t="inlineStr">
        <is>
          <t>• Échantillon limité : le guide a été relevé sur ses 20 fiches les plus récentes par arrondissement ; ce n'est pas la liste complète des tables d'exception de Paris (127 restaurants étoilés selon le Guide Michelin 2026).</t>
        </is>
      </c>
    </row>
    <row r="18">
      <c r="A18" s="4" t="inlineStr">
        <is>
          <t>• Reconfirmer jours et horaires (site du restaurant, Google Maps, appel) avant tout contact.</t>
        </is>
      </c>
    </row>
    <row r="19">
      <c r="A19" s="4" t="inlineStr">
        <is>
          <t>• Les grandes maisons se démarchent par le directeur de salle, le directeur général ou le chef propriétaire : noter le nom dans votre outil, pas dans le dépôt (RULES.md).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36" customWidth="1" min="4" max="4"/>
    <col width="2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6" customWidth="1" min="14" max="14"/>
    <col width="9" customWidth="1" min="15" max="15"/>
    <col width="14" customWidth="1" min="16" max="16"/>
    <col width="18" customWidth="1" min="17" max="17"/>
    <col width="13" customWidth="1" min="18" max="18"/>
    <col width="26" customWidth="1" min="19" max="19"/>
    <col width="14" customWidth="1" min="20" max="20"/>
    <col width="28" customWidth="1" min="21" max="21"/>
    <col width="30" customWidth="1" min="22" max="22"/>
  </cols>
  <sheetData>
    <row r="1">
      <c r="A1" s="1" t="inlineStr">
        <is>
          <t>Liste des restaurants d'exception et de leurs jours de fermeture</t>
        </is>
      </c>
    </row>
    <row r="2" ht="34" customHeight="1">
      <c r="A2" s="8" t="inlineStr">
        <is>
          <t>Niveau</t>
        </is>
      </c>
      <c r="B2" s="8" t="inlineStr">
        <is>
          <t>Nom</t>
        </is>
      </c>
      <c r="C2" s="8" t="inlineStr">
        <is>
          <t>Arr.</t>
        </is>
      </c>
      <c r="D2" s="8" t="inlineStr">
        <is>
          <t>Adresse</t>
        </is>
      </c>
      <c r="E2" s="8" t="inlineStr">
        <is>
          <t>Type de cuisine</t>
        </is>
      </c>
      <c r="F2" s="8" t="inlineStr">
        <is>
          <t>Ticket €/pers.</t>
        </is>
      </c>
      <c r="G2" s="8" t="inlineStr">
        <is>
          <t>Lundi soir</t>
        </is>
      </c>
      <c r="H2" s="8" t="inlineStr">
        <is>
          <t>Mardi soir</t>
        </is>
      </c>
      <c r="I2" s="8" t="inlineStr">
        <is>
          <t>Mercredi soir</t>
        </is>
      </c>
      <c r="J2" s="8" t="inlineStr">
        <is>
          <t>Jeudi soir</t>
        </is>
      </c>
      <c r="K2" s="8" t="inlineStr">
        <is>
          <t>Vendredi soir</t>
        </is>
      </c>
      <c r="L2" s="8" t="inlineStr">
        <is>
          <t>Samedi soir</t>
        </is>
      </c>
      <c r="M2" s="8" t="inlineStr">
        <is>
          <t>Dimanche soir</t>
        </is>
      </c>
      <c r="N2" s="8" t="inlineStr">
        <is>
          <t>Fermeture (texte fiche)</t>
        </is>
      </c>
      <c r="O2" s="8" t="inlineStr">
        <is>
          <t>Nb soirs libres</t>
        </is>
      </c>
      <c r="P2" s="8" t="inlineStr">
        <is>
          <t>Priorité</t>
        </is>
      </c>
      <c r="Q2" s="8" t="inlineStr">
        <is>
          <t>Statut</t>
        </is>
      </c>
      <c r="R2" s="8" t="inlineStr">
        <is>
          <t>Date dernier contact</t>
        </is>
      </c>
      <c r="S2" s="8" t="inlineStr">
        <is>
          <t>Prochaine action</t>
        </is>
      </c>
      <c r="T2" s="8" t="inlineStr">
        <is>
          <t>Responsable</t>
        </is>
      </c>
      <c r="U2" s="8" t="inlineStr">
        <is>
          <t>Commentaires</t>
        </is>
      </c>
      <c r="V2" s="8" t="inlineStr">
        <is>
          <t>Source</t>
        </is>
      </c>
    </row>
    <row r="3">
      <c r="A3" s="9" t="inlineStr">
        <is>
          <t>Très haut de gamme (base)</t>
        </is>
      </c>
      <c r="B3" s="9" t="inlineStr">
        <is>
          <t>Granite</t>
        </is>
      </c>
      <c r="C3" s="9" t="n">
        <v>1</v>
      </c>
      <c r="D3" s="9" t="inlineStr">
        <is>
          <t>6 Rue Bailleul, 75001 Paris</t>
        </is>
      </c>
      <c r="E3" s="9" t="inlineStr">
        <is>
          <t>espagnols, gastronomiques</t>
        </is>
      </c>
      <c r="F3" s="9" t="n">
        <v>143</v>
      </c>
      <c r="G3" s="10" t="inlineStr">
        <is>
          <t>Ouvert</t>
        </is>
      </c>
      <c r="H3" s="10" t="inlineStr">
        <is>
          <t>Ouvert</t>
        </is>
      </c>
      <c r="I3" s="10" t="inlineStr">
        <is>
          <t>Ouvert</t>
        </is>
      </c>
      <c r="J3" s="10" t="inlineStr">
        <is>
          <t>Ouvert</t>
        </is>
      </c>
      <c r="K3" s="10" t="inlineStr">
        <is>
          <t>Ouvert</t>
        </is>
      </c>
      <c r="L3" s="11" t="inlineStr">
        <is>
          <t>Libre</t>
        </is>
      </c>
      <c r="M3" s="11" t="inlineStr">
        <is>
          <t>Libre</t>
        </is>
      </c>
      <c r="N3" s="9" t="inlineStr">
        <is>
          <t>Samedi, dimanche</t>
        </is>
      </c>
      <c r="O3" s="9" t="n">
        <v>2</v>
      </c>
      <c r="P3" s="9" t="inlineStr">
        <is>
          <t>A</t>
        </is>
      </c>
      <c r="Q3" s="12" t="inlineStr">
        <is>
          <t>À contacter</t>
        </is>
      </c>
      <c r="R3" s="13" t="n"/>
      <c r="S3" s="12" t="inlineStr">
        <is>
          <t>Reconfirmer jours et horaires</t>
        </is>
      </c>
      <c r="T3" s="12" t="n"/>
      <c r="U3" s="12" t="n"/>
      <c r="V3" s="9" t="inlineStr">
        <is>
          <t>https://www.gillespudlowski.com/recherche/Restaurants/0/France/Paris/Paris/75001/</t>
        </is>
      </c>
    </row>
    <row r="4">
      <c r="A4" s="9" t="inlineStr">
        <is>
          <t>Très haut de gamme (base)</t>
        </is>
      </c>
      <c r="B4" s="9" t="inlineStr">
        <is>
          <t>Guefen</t>
        </is>
      </c>
      <c r="C4" s="9" t="n">
        <v>3</v>
      </c>
      <c r="D4" s="9" t="inlineStr">
        <is>
          <t>9 rue du Vertbois - 75003 Paris</t>
        </is>
      </c>
      <c r="E4" s="9" t="inlineStr">
        <is>
          <t>Cuisine internationale, gastronomiques</t>
        </is>
      </c>
      <c r="F4" s="9" t="n">
        <v>97</v>
      </c>
      <c r="G4" s="10" t="inlineStr">
        <is>
          <t>Ouvert</t>
        </is>
      </c>
      <c r="H4" s="10" t="inlineStr">
        <is>
          <t>Ouvert</t>
        </is>
      </c>
      <c r="I4" s="10" t="inlineStr">
        <is>
          <t>Ouvert</t>
        </is>
      </c>
      <c r="J4" s="10" t="inlineStr">
        <is>
          <t>Ouvert</t>
        </is>
      </c>
      <c r="K4" s="11" t="inlineStr">
        <is>
          <t>Libre</t>
        </is>
      </c>
      <c r="L4" s="11" t="inlineStr">
        <is>
          <t>Libre</t>
        </is>
      </c>
      <c r="M4" s="10" t="inlineStr">
        <is>
          <t>Ouvert</t>
        </is>
      </c>
      <c r="N4" s="9" t="inlineStr">
        <is>
          <t>Vendredi, samedi</t>
        </is>
      </c>
      <c r="O4" s="9" t="n">
        <v>2</v>
      </c>
      <c r="P4" s="9" t="inlineStr">
        <is>
          <t>A</t>
        </is>
      </c>
      <c r="Q4" s="12" t="inlineStr">
        <is>
          <t>À contacter</t>
        </is>
      </c>
      <c r="R4" s="13" t="n"/>
      <c r="S4" s="12" t="inlineStr">
        <is>
          <t>Reconfirmer jours et horaires</t>
        </is>
      </c>
      <c r="T4" s="12" t="n"/>
      <c r="U4" s="12" t="n"/>
      <c r="V4" s="9" t="inlineStr">
        <is>
          <t>https://www.gillespudlowski.com/recherche/Restaurants/0/France/Paris/Paris/75003/</t>
        </is>
      </c>
    </row>
    <row r="5">
      <c r="A5" s="9" t="inlineStr">
        <is>
          <t>Très haut de gamme (base)</t>
        </is>
      </c>
      <c r="B5" s="9" t="inlineStr">
        <is>
          <t>Ogata Paris</t>
        </is>
      </c>
      <c r="C5" s="9" t="n">
        <v>3</v>
      </c>
      <c r="D5" s="9" t="inlineStr">
        <is>
          <t>16 Rue Debelleyme - 75003 Paris</t>
        </is>
      </c>
      <c r="E5" s="9" t="inlineStr">
        <is>
          <t>gastronomiques, japonais</t>
        </is>
      </c>
      <c r="F5" s="9" t="n">
        <v>195</v>
      </c>
      <c r="G5" s="11" t="inlineStr">
        <is>
          <t>Libre</t>
        </is>
      </c>
      <c r="H5" s="11" t="inlineStr">
        <is>
          <t>Libre</t>
        </is>
      </c>
      <c r="I5" s="10" t="inlineStr">
        <is>
          <t>Ouvert</t>
        </is>
      </c>
      <c r="J5" s="10" t="inlineStr">
        <is>
          <t>Ouvert</t>
        </is>
      </c>
      <c r="K5" s="10" t="inlineStr">
        <is>
          <t>Ouvert</t>
        </is>
      </c>
      <c r="L5" s="10" t="inlineStr">
        <is>
          <t>Ouvert</t>
        </is>
      </c>
      <c r="M5" s="10" t="inlineStr">
        <is>
          <t>Ouvert</t>
        </is>
      </c>
      <c r="N5" s="9" t="inlineStr">
        <is>
          <t>Lundi, mardi</t>
        </is>
      </c>
      <c r="O5" s="9" t="n">
        <v>2</v>
      </c>
      <c r="P5" s="9" t="inlineStr">
        <is>
          <t>A</t>
        </is>
      </c>
      <c r="Q5" s="12" t="inlineStr">
        <is>
          <t>À contacter</t>
        </is>
      </c>
      <c r="R5" s="13" t="n"/>
      <c r="S5" s="12" t="inlineStr">
        <is>
          <t>Reconfirmer jours et horaires</t>
        </is>
      </c>
      <c r="T5" s="12" t="n"/>
      <c r="U5" s="12" t="n"/>
      <c r="V5" s="9" t="inlineStr">
        <is>
          <t>https://www.gillespudlowski.com/recherche/Restaurants/0/France/Paris/Paris/75003/</t>
        </is>
      </c>
    </row>
    <row r="6">
      <c r="A6" s="9" t="inlineStr">
        <is>
          <t>Très haut de gamme (base)</t>
        </is>
      </c>
      <c r="B6" s="9" t="inlineStr">
        <is>
          <t>La Table de Colette</t>
        </is>
      </c>
      <c r="C6" s="9" t="n">
        <v>5</v>
      </c>
      <c r="D6" s="9" t="inlineStr">
        <is>
          <t>17 rue Laplace, 75005 Paris</t>
        </is>
      </c>
      <c r="E6" s="9" t="inlineStr">
        <is>
          <t>français, gastronomiques, végétariens</t>
        </is>
      </c>
      <c r="F6" s="9" t="n">
        <v>85</v>
      </c>
      <c r="G6" s="10" t="inlineStr">
        <is>
          <t>Ouvert</t>
        </is>
      </c>
      <c r="H6" s="10" t="inlineStr">
        <is>
          <t>Ouvert</t>
        </is>
      </c>
      <c r="I6" s="10" t="inlineStr">
        <is>
          <t>Ouvert</t>
        </is>
      </c>
      <c r="J6" s="10" t="inlineStr">
        <is>
          <t>Ouvert</t>
        </is>
      </c>
      <c r="K6" s="10" t="inlineStr">
        <is>
          <t>Ouvert</t>
        </is>
      </c>
      <c r="L6" s="11" t="inlineStr">
        <is>
          <t>Libre</t>
        </is>
      </c>
      <c r="M6" s="11" t="inlineStr">
        <is>
          <t>Libre</t>
        </is>
      </c>
      <c r="N6" s="9" t="inlineStr">
        <is>
          <t>Samedi, dimanche</t>
        </is>
      </c>
      <c r="O6" s="9" t="n">
        <v>2</v>
      </c>
      <c r="P6" s="9" t="inlineStr">
        <is>
          <t>A</t>
        </is>
      </c>
      <c r="Q6" s="12" t="inlineStr">
        <is>
          <t>À contacter</t>
        </is>
      </c>
      <c r="R6" s="13" t="n"/>
      <c r="S6" s="12" t="inlineStr">
        <is>
          <t>Reconfirmer jours et horaires</t>
        </is>
      </c>
      <c r="T6" s="12" t="n"/>
      <c r="U6" s="12" t="n"/>
      <c r="V6" s="9" t="inlineStr">
        <is>
          <t>https://www.gillespudlowski.com/recherche/Restaurants/0/France/Paris/Paris/75005/</t>
        </is>
      </c>
    </row>
    <row r="7">
      <c r="A7" s="9" t="inlineStr">
        <is>
          <t>Très haut de gamme (base)</t>
        </is>
      </c>
      <c r="B7" s="9" t="inlineStr">
        <is>
          <t>Le 21</t>
        </is>
      </c>
      <c r="C7" s="9" t="n">
        <v>6</v>
      </c>
      <c r="D7" s="9" t="inlineStr">
        <is>
          <t>21 Rue Mazarine, 75006 Paris</t>
        </is>
      </c>
      <c r="E7" s="9" t="inlineStr">
        <is>
          <t>français, gastronomiques</t>
        </is>
      </c>
      <c r="F7" s="9" t="n">
        <v>90</v>
      </c>
      <c r="G7" s="11" t="inlineStr">
        <is>
          <t>Libre</t>
        </is>
      </c>
      <c r="H7" s="11" t="inlineStr">
        <is>
          <t>Libre</t>
        </is>
      </c>
      <c r="I7" s="10" t="inlineStr">
        <is>
          <t>Ouvert</t>
        </is>
      </c>
      <c r="J7" s="10" t="inlineStr">
        <is>
          <t>Ouvert</t>
        </is>
      </c>
      <c r="K7" s="10" t="inlineStr">
        <is>
          <t>Ouvert</t>
        </is>
      </c>
      <c r="L7" s="10" t="inlineStr">
        <is>
          <t>Ouvert</t>
        </is>
      </c>
      <c r="M7" s="11" t="inlineStr">
        <is>
          <t>Libre</t>
        </is>
      </c>
      <c r="N7" s="9" t="inlineStr">
        <is>
          <t>Lundi, mardi, dimanche</t>
        </is>
      </c>
      <c r="O7" s="9" t="n">
        <v>3</v>
      </c>
      <c r="P7" s="9" t="inlineStr">
        <is>
          <t>A</t>
        </is>
      </c>
      <c r="Q7" s="12" t="inlineStr">
        <is>
          <t>À contacter</t>
        </is>
      </c>
      <c r="R7" s="13" t="n"/>
      <c r="S7" s="12" t="inlineStr">
        <is>
          <t>Reconfirmer jours et horaires</t>
        </is>
      </c>
      <c r="T7" s="12" t="n"/>
      <c r="U7" s="12" t="n"/>
      <c r="V7" s="9" t="inlineStr">
        <is>
          <t>https://www.gillespudlowski.com/recherche/Restaurants/0/France/Paris/Paris/75006/</t>
        </is>
      </c>
    </row>
    <row r="8">
      <c r="A8" s="9" t="inlineStr">
        <is>
          <t>Très haut de gamme (base)</t>
        </is>
      </c>
      <c r="B8" s="9" t="inlineStr">
        <is>
          <t>Auguste</t>
        </is>
      </c>
      <c r="C8" s="9" t="n">
        <v>7</v>
      </c>
      <c r="D8" s="9" t="inlineStr">
        <is>
          <t>54, rue de Bourgogne - 75007 Paris</t>
        </is>
      </c>
      <c r="E8" s="9" t="inlineStr">
        <is>
          <t>français, gastronomiques</t>
        </is>
      </c>
      <c r="F8" s="9" t="n">
        <v>110</v>
      </c>
      <c r="G8" s="10" t="inlineStr">
        <is>
          <t>Ouvert</t>
        </is>
      </c>
      <c r="H8" s="10" t="inlineStr">
        <is>
          <t>Ouvert</t>
        </is>
      </c>
      <c r="I8" s="10" t="inlineStr">
        <is>
          <t>Ouvert</t>
        </is>
      </c>
      <c r="J8" s="10" t="inlineStr">
        <is>
          <t>Ouvert</t>
        </is>
      </c>
      <c r="K8" s="10" t="inlineStr">
        <is>
          <t>Ouvert</t>
        </is>
      </c>
      <c r="L8" s="11" t="inlineStr">
        <is>
          <t>Libre</t>
        </is>
      </c>
      <c r="M8" s="11" t="inlineStr">
        <is>
          <t>Libre</t>
        </is>
      </c>
      <c r="N8" s="9" t="inlineStr">
        <is>
          <t>Samedi, dimanche</t>
        </is>
      </c>
      <c r="O8" s="9" t="n">
        <v>2</v>
      </c>
      <c r="P8" s="9" t="inlineStr">
        <is>
          <t>A</t>
        </is>
      </c>
      <c r="Q8" s="12" t="inlineStr">
        <is>
          <t>À contacter</t>
        </is>
      </c>
      <c r="R8" s="13" t="n"/>
      <c r="S8" s="12" t="inlineStr">
        <is>
          <t>Reconfirmer jours et horaires</t>
        </is>
      </c>
      <c r="T8" s="12" t="n"/>
      <c r="U8" s="12" t="n"/>
      <c r="V8" s="9" t="inlineStr">
        <is>
          <t>https://www.gillespudlowski.com/recherche/Restaurants/0/France/Paris/Paris/75007/</t>
        </is>
      </c>
    </row>
    <row r="9">
      <c r="A9" s="9" t="inlineStr">
        <is>
          <t>Très haut de gamme (base)</t>
        </is>
      </c>
      <c r="B9" s="9" t="inlineStr">
        <is>
          <t>D'Chez Eux</t>
        </is>
      </c>
      <c r="C9" s="9" t="n">
        <v>7</v>
      </c>
      <c r="D9" s="9" t="inlineStr">
        <is>
          <t>2, avenue Lowendal - 75007 Paris</t>
        </is>
      </c>
      <c r="E9" s="9" t="inlineStr">
        <is>
          <t>Bistrots, français</t>
        </is>
      </c>
      <c r="F9" s="9" t="n">
        <v>110</v>
      </c>
      <c r="G9" s="11" t="inlineStr">
        <is>
          <t>Libre</t>
        </is>
      </c>
      <c r="H9" s="11" t="inlineStr">
        <is>
          <t>Libre</t>
        </is>
      </c>
      <c r="I9" s="10" t="inlineStr">
        <is>
          <t>Ouvert</t>
        </is>
      </c>
      <c r="J9" s="10" t="inlineStr">
        <is>
          <t>Ouvert</t>
        </is>
      </c>
      <c r="K9" s="10" t="inlineStr">
        <is>
          <t>Ouvert</t>
        </is>
      </c>
      <c r="L9" s="10" t="inlineStr">
        <is>
          <t>Ouvert</t>
        </is>
      </c>
      <c r="M9" s="10" t="inlineStr">
        <is>
          <t>Ouvert</t>
        </is>
      </c>
      <c r="N9" s="9" t="inlineStr">
        <is>
          <t>Lundi, mardi</t>
        </is>
      </c>
      <c r="O9" s="9" t="n">
        <v>2</v>
      </c>
      <c r="P9" s="9" t="inlineStr">
        <is>
          <t>A</t>
        </is>
      </c>
      <c r="Q9" s="12" t="inlineStr">
        <is>
          <t>À contacter</t>
        </is>
      </c>
      <c r="R9" s="13" t="n"/>
      <c r="S9" s="12" t="inlineStr">
        <is>
          <t>Reconfirmer jours et horaires</t>
        </is>
      </c>
      <c r="T9" s="12" t="n"/>
      <c r="U9" s="12" t="n"/>
      <c r="V9" s="9" t="inlineStr">
        <is>
          <t>https://www.gillespudlowski.com/recherche/Restaurants/0/France/Paris/Paris/75007/</t>
        </is>
      </c>
    </row>
    <row r="10">
      <c r="A10" s="9" t="inlineStr">
        <is>
          <t>Très haut de gamme (base)</t>
        </is>
      </c>
      <c r="B10" s="9" t="inlineStr">
        <is>
          <t>David Toutain</t>
        </is>
      </c>
      <c r="C10" s="9" t="n">
        <v>7</v>
      </c>
      <c r="D10" s="9" t="inlineStr">
        <is>
          <t>29 rue Surcouf - 75007 Paris</t>
        </is>
      </c>
      <c r="E10" s="9" t="inlineStr">
        <is>
          <t>français, gastronomiques</t>
        </is>
      </c>
      <c r="F10" s="9" t="n">
        <v>248</v>
      </c>
      <c r="G10" s="10" t="inlineStr">
        <is>
          <t>Ouvert</t>
        </is>
      </c>
      <c r="H10" s="10" t="inlineStr">
        <is>
          <t>Ouvert</t>
        </is>
      </c>
      <c r="I10" s="10" t="inlineStr">
        <is>
          <t>Ouvert</t>
        </is>
      </c>
      <c r="J10" s="10" t="inlineStr">
        <is>
          <t>Ouvert</t>
        </is>
      </c>
      <c r="K10" s="10" t="inlineStr">
        <is>
          <t>Ouvert</t>
        </is>
      </c>
      <c r="L10" s="11" t="inlineStr">
        <is>
          <t>Libre</t>
        </is>
      </c>
      <c r="M10" s="11" t="inlineStr">
        <is>
          <t>Libre</t>
        </is>
      </c>
      <c r="N10" s="9" t="inlineStr">
        <is>
          <t>Samedi, dimanche</t>
        </is>
      </c>
      <c r="O10" s="9" t="n">
        <v>2</v>
      </c>
      <c r="P10" s="9" t="inlineStr">
        <is>
          <t>A</t>
        </is>
      </c>
      <c r="Q10" s="12" t="inlineStr">
        <is>
          <t>À contacter</t>
        </is>
      </c>
      <c r="R10" s="13" t="n"/>
      <c r="S10" s="12" t="inlineStr">
        <is>
          <t>Reconfirmer jours et horaires</t>
        </is>
      </c>
      <c r="T10" s="12" t="n"/>
      <c r="U10" s="12" t="n"/>
      <c r="V10" s="9" t="inlineStr">
        <is>
          <t>https://www.gillespudlowski.com/recherche/Restaurants/0/France/Paris/Paris/75007/</t>
        </is>
      </c>
    </row>
    <row r="11">
      <c r="A11" s="9" t="inlineStr">
        <is>
          <t>Très haut de gamme (base)</t>
        </is>
      </c>
      <c r="B11" s="9" t="inlineStr">
        <is>
          <t>Akrame</t>
        </is>
      </c>
      <c r="C11" s="9" t="n">
        <v>8</v>
      </c>
      <c r="D11" s="9" t="inlineStr">
        <is>
          <t>7, rue Tronchet - 75008 Paris</t>
        </is>
      </c>
      <c r="E11" s="9" t="inlineStr">
        <is>
          <t>français, gastronomiques</t>
        </is>
      </c>
      <c r="F11" s="9" t="n">
        <v>185</v>
      </c>
      <c r="G11" s="10" t="inlineStr">
        <is>
          <t>Ouvert</t>
        </is>
      </c>
      <c r="H11" s="10" t="inlineStr">
        <is>
          <t>Ouvert</t>
        </is>
      </c>
      <c r="I11" s="10" t="inlineStr">
        <is>
          <t>Ouvert</t>
        </is>
      </c>
      <c r="J11" s="10" t="inlineStr">
        <is>
          <t>Ouvert</t>
        </is>
      </c>
      <c r="K11" s="10" t="inlineStr">
        <is>
          <t>Ouvert</t>
        </is>
      </c>
      <c r="L11" s="11" t="inlineStr">
        <is>
          <t>Libre</t>
        </is>
      </c>
      <c r="M11" s="11" t="inlineStr">
        <is>
          <t>Libre</t>
        </is>
      </c>
      <c r="N11" s="9" t="inlineStr">
        <is>
          <t>Samedi, dimanche</t>
        </is>
      </c>
      <c r="O11" s="9" t="n">
        <v>2</v>
      </c>
      <c r="P11" s="9" t="inlineStr">
        <is>
          <t>A</t>
        </is>
      </c>
      <c r="Q11" s="12" t="inlineStr">
        <is>
          <t>À contacter</t>
        </is>
      </c>
      <c r="R11" s="13" t="n"/>
      <c r="S11" s="12" t="inlineStr">
        <is>
          <t>Reconfirmer jours et horaires</t>
        </is>
      </c>
      <c r="T11" s="12" t="n"/>
      <c r="U11" s="12" t="n"/>
      <c r="V11" s="9" t="inlineStr">
        <is>
          <t>https://www.gillespudlowski.com/recherche/Restaurants/0/France/Paris/Paris/75008/</t>
        </is>
      </c>
    </row>
    <row r="12">
      <c r="A12" s="9" t="inlineStr">
        <is>
          <t>Très haut de gamme (base)</t>
        </is>
      </c>
      <c r="B12" s="9" t="inlineStr">
        <is>
          <t>Le Clarence</t>
        </is>
      </c>
      <c r="C12" s="9" t="n">
        <v>8</v>
      </c>
      <c r="D12" s="9" t="inlineStr">
        <is>
          <t>31 avenue Franklin Roosevelt - 75008 Paris</t>
        </is>
      </c>
      <c r="E12" s="9" t="inlineStr">
        <is>
          <t>français, gastronomiques</t>
        </is>
      </c>
      <c r="F12" s="9" t="n">
        <v>450</v>
      </c>
      <c r="G12" s="11" t="inlineStr">
        <is>
          <t>Libre</t>
        </is>
      </c>
      <c r="H12" s="11" t="inlineStr">
        <is>
          <t>Libre</t>
        </is>
      </c>
      <c r="I12" s="10" t="inlineStr">
        <is>
          <t>Ouvert</t>
        </is>
      </c>
      <c r="J12" s="10" t="inlineStr">
        <is>
          <t>Ouvert</t>
        </is>
      </c>
      <c r="K12" s="10" t="inlineStr">
        <is>
          <t>Ouvert</t>
        </is>
      </c>
      <c r="L12" s="10" t="inlineStr">
        <is>
          <t>Ouvert</t>
        </is>
      </c>
      <c r="M12" s="11" t="inlineStr">
        <is>
          <t>Libre</t>
        </is>
      </c>
      <c r="N12" s="9" t="inlineStr">
        <is>
          <t>Lundi, mardi, dimanche</t>
        </is>
      </c>
      <c r="O12" s="9" t="n">
        <v>3</v>
      </c>
      <c r="P12" s="9" t="inlineStr">
        <is>
          <t>A</t>
        </is>
      </c>
      <c r="Q12" s="12" t="inlineStr">
        <is>
          <t>À contacter</t>
        </is>
      </c>
      <c r="R12" s="13" t="n"/>
      <c r="S12" s="12" t="inlineStr">
        <is>
          <t>Reconfirmer jours et horaires</t>
        </is>
      </c>
      <c r="T12" s="12" t="n"/>
      <c r="U12" s="12" t="n"/>
      <c r="V12" s="9" t="inlineStr">
        <is>
          <t>https://www.gillespudlowski.com/recherche/Restaurants/0/France/Paris/Paris/75008/</t>
        </is>
      </c>
    </row>
    <row r="13">
      <c r="A13" s="9" t="inlineStr">
        <is>
          <t>Très haut de gamme (base)</t>
        </is>
      </c>
      <c r="B13" s="9" t="inlineStr">
        <is>
          <t>Mantra</t>
        </is>
      </c>
      <c r="C13" s="9" t="n">
        <v>9</v>
      </c>
      <c r="D13" s="9" t="inlineStr">
        <is>
          <t>17 Rue Rodier - 75009 Paris</t>
        </is>
      </c>
      <c r="E13" s="9" t="inlineStr">
        <is>
          <t>français</t>
        </is>
      </c>
      <c r="F13" s="9" t="n">
        <v>117</v>
      </c>
      <c r="G13" s="10" t="inlineStr">
        <is>
          <t>Ouvert</t>
        </is>
      </c>
      <c r="H13" s="10" t="inlineStr">
        <is>
          <t>Ouvert</t>
        </is>
      </c>
      <c r="I13" s="10" t="inlineStr">
        <is>
          <t>Ouvert</t>
        </is>
      </c>
      <c r="J13" s="10" t="inlineStr">
        <is>
          <t>Ouvert</t>
        </is>
      </c>
      <c r="K13" s="10" t="inlineStr">
        <is>
          <t>Ouvert</t>
        </is>
      </c>
      <c r="L13" s="11" t="inlineStr">
        <is>
          <t>Libre</t>
        </is>
      </c>
      <c r="M13" s="11" t="inlineStr">
        <is>
          <t>Libre</t>
        </is>
      </c>
      <c r="N13" s="9" t="inlineStr">
        <is>
          <t>Lundi midi, mardi midi, mercredi midi, samedi, dimanche.</t>
        </is>
      </c>
      <c r="O13" s="9" t="n">
        <v>2</v>
      </c>
      <c r="P13" s="9" t="inlineStr">
        <is>
          <t>A</t>
        </is>
      </c>
      <c r="Q13" s="12" t="inlineStr">
        <is>
          <t>À contacter</t>
        </is>
      </c>
      <c r="R13" s="13" t="n"/>
      <c r="S13" s="12" t="inlineStr">
        <is>
          <t>Reconfirmer jours et horaires</t>
        </is>
      </c>
      <c r="T13" s="12" t="n"/>
      <c r="U13" s="12" t="n"/>
      <c r="V13" s="9" t="inlineStr">
        <is>
          <t>https://www.gillespudlowski.com/recherche/Restaurants/0/France/Paris/Paris/75009/</t>
        </is>
      </c>
    </row>
    <row r="14">
      <c r="A14" s="9" t="inlineStr">
        <is>
          <t>Très haut de gamme (base)</t>
        </is>
      </c>
      <c r="B14" s="9" t="inlineStr">
        <is>
          <t>Vaisseau</t>
        </is>
      </c>
      <c r="C14" s="9" t="n">
        <v>11</v>
      </c>
      <c r="D14" s="9" t="inlineStr">
        <is>
          <t>35 Rue Faidherbe, 75011 Paris</t>
        </is>
      </c>
      <c r="E14" s="9" t="inlineStr">
        <is>
          <t>français</t>
        </is>
      </c>
      <c r="F14" s="9" t="n">
        <v>150</v>
      </c>
      <c r="G14" s="10" t="inlineStr">
        <is>
          <t>Ouvert</t>
        </is>
      </c>
      <c r="H14" s="10" t="inlineStr">
        <is>
          <t>Ouvert</t>
        </is>
      </c>
      <c r="I14" s="10" t="inlineStr">
        <is>
          <t>Ouvert</t>
        </is>
      </c>
      <c r="J14" s="10" t="inlineStr">
        <is>
          <t>Ouvert</t>
        </is>
      </c>
      <c r="K14" s="10" t="inlineStr">
        <is>
          <t>Ouvert</t>
        </is>
      </c>
      <c r="L14" s="11" t="inlineStr">
        <is>
          <t>Libre</t>
        </is>
      </c>
      <c r="M14" s="11" t="inlineStr">
        <is>
          <t>Libre</t>
        </is>
      </c>
      <c r="N14" s="9" t="inlineStr">
        <is>
          <t>Lundi midi, mardi midi, mercredi midi, samedi, dimanche</t>
        </is>
      </c>
      <c r="O14" s="9" t="n">
        <v>2</v>
      </c>
      <c r="P14" s="9" t="inlineStr">
        <is>
          <t>A</t>
        </is>
      </c>
      <c r="Q14" s="12" t="inlineStr">
        <is>
          <t>À contacter</t>
        </is>
      </c>
      <c r="R14" s="13" t="n"/>
      <c r="S14" s="12" t="inlineStr">
        <is>
          <t>Reconfirmer jours et horaires</t>
        </is>
      </c>
      <c r="T14" s="12" t="n"/>
      <c r="U14" s="12" t="n"/>
      <c r="V14" s="9" t="inlineStr">
        <is>
          <t>https://www.gillespudlowski.com/recherche/Restaurants/0/France/Paris/Paris/75011/</t>
        </is>
      </c>
    </row>
    <row r="15">
      <c r="A15" s="9" t="inlineStr">
        <is>
          <t>Très haut de gamme (base)</t>
        </is>
      </c>
      <c r="B15" s="9" t="inlineStr">
        <is>
          <t>Table - Bruno Verjus</t>
        </is>
      </c>
      <c r="C15" s="9" t="n">
        <v>12</v>
      </c>
      <c r="D15" s="9" t="inlineStr">
        <is>
          <t>3 R. de Prague - 75012 Paris</t>
        </is>
      </c>
      <c r="E15" s="9" t="inlineStr">
        <is>
          <t>français</t>
        </is>
      </c>
      <c r="F15" s="9" t="n">
        <v>480</v>
      </c>
      <c r="G15" s="10" t="inlineStr">
        <is>
          <t>Ouvert</t>
        </is>
      </c>
      <c r="H15" s="10" t="inlineStr">
        <is>
          <t>Ouvert</t>
        </is>
      </c>
      <c r="I15" s="10" t="inlineStr">
        <is>
          <t>Ouvert</t>
        </is>
      </c>
      <c r="J15" s="10" t="inlineStr">
        <is>
          <t>Ouvert</t>
        </is>
      </c>
      <c r="K15" s="10" t="inlineStr">
        <is>
          <t>Ouvert</t>
        </is>
      </c>
      <c r="L15" s="11" t="inlineStr">
        <is>
          <t>Libre</t>
        </is>
      </c>
      <c r="M15" s="11" t="inlineStr">
        <is>
          <t>Libre</t>
        </is>
      </c>
      <c r="N15" s="9" t="inlineStr">
        <is>
          <t>Samedi, dimanche</t>
        </is>
      </c>
      <c r="O15" s="9" t="n">
        <v>2</v>
      </c>
      <c r="P15" s="9" t="inlineStr">
        <is>
          <t>A</t>
        </is>
      </c>
      <c r="Q15" s="12" t="inlineStr">
        <is>
          <t>À contacter</t>
        </is>
      </c>
      <c r="R15" s="13" t="n"/>
      <c r="S15" s="12" t="inlineStr">
        <is>
          <t>Reconfirmer jours et horaires</t>
        </is>
      </c>
      <c r="T15" s="12" t="n"/>
      <c r="U15" s="12" t="n"/>
      <c r="V15" s="9" t="inlineStr">
        <is>
          <t>https://www.gillespudlowski.com/recherche/Restaurants/0/France/Paris/Paris/75012/</t>
        </is>
      </c>
    </row>
    <row r="16">
      <c r="A16" s="9" t="inlineStr">
        <is>
          <t>Très haut de gamme (base)</t>
        </is>
      </c>
      <c r="B16" s="9" t="inlineStr">
        <is>
          <t>L'Auberge du roi Gradlon</t>
        </is>
      </c>
      <c r="C16" s="9" t="n">
        <v>13</v>
      </c>
      <c r="D16" s="9" t="inlineStr">
        <is>
          <t>36 boulevard Arago - 75013 Paris</t>
        </is>
      </c>
      <c r="E16" s="9" t="inlineStr">
        <is>
          <t>français, gastronomiques</t>
        </is>
      </c>
      <c r="F16" s="9" t="n">
        <v>85</v>
      </c>
      <c r="G16" s="10" t="inlineStr">
        <is>
          <t>Ouvert</t>
        </is>
      </c>
      <c r="H16" s="10" t="inlineStr">
        <is>
          <t>Ouvert</t>
        </is>
      </c>
      <c r="I16" s="11" t="inlineStr">
        <is>
          <t>Libre</t>
        </is>
      </c>
      <c r="J16" s="11" t="inlineStr">
        <is>
          <t>Libre</t>
        </is>
      </c>
      <c r="K16" s="10" t="inlineStr">
        <is>
          <t>Ouvert</t>
        </is>
      </c>
      <c r="L16" s="10" t="inlineStr">
        <is>
          <t>Ouvert</t>
        </is>
      </c>
      <c r="M16" s="10" t="inlineStr">
        <is>
          <t>Ouvert</t>
        </is>
      </c>
      <c r="N16" s="9" t="inlineStr">
        <is>
          <t>Mercredi, jeudi</t>
        </is>
      </c>
      <c r="O16" s="9" t="n">
        <v>2</v>
      </c>
      <c r="P16" s="9" t="inlineStr">
        <is>
          <t>A</t>
        </is>
      </c>
      <c r="Q16" s="12" t="inlineStr">
        <is>
          <t>À contacter</t>
        </is>
      </c>
      <c r="R16" s="13" t="n"/>
      <c r="S16" s="12" t="inlineStr">
        <is>
          <t>Reconfirmer jours et horaires</t>
        </is>
      </c>
      <c r="T16" s="12" t="n"/>
      <c r="U16" s="12" t="n"/>
      <c r="V16" s="9" t="inlineStr">
        <is>
          <t>https://www.gillespudlowski.com/recherche/Restaurants/0/France/Paris/Paris/75013/</t>
        </is>
      </c>
    </row>
    <row r="17">
      <c r="A17" s="9" t="inlineStr">
        <is>
          <t>Très haut de gamme (base)</t>
        </is>
      </c>
      <c r="B17" s="9" t="inlineStr">
        <is>
          <t>Alan Geaam</t>
        </is>
      </c>
      <c r="C17" s="9" t="n">
        <v>16</v>
      </c>
      <c r="D17" s="9" t="inlineStr">
        <is>
          <t>19, rue Lauriston - 75016 Paris</t>
        </is>
      </c>
      <c r="E17" s="9" t="inlineStr">
        <is>
          <t>gastronomiques, libanais</t>
        </is>
      </c>
      <c r="F17" s="9" t="n">
        <v>148</v>
      </c>
      <c r="G17" s="10" t="inlineStr">
        <is>
          <t>Ouvert</t>
        </is>
      </c>
      <c r="H17" s="10" t="inlineStr">
        <is>
          <t>Ouvert</t>
        </is>
      </c>
      <c r="I17" s="10" t="inlineStr">
        <is>
          <t>Ouvert</t>
        </is>
      </c>
      <c r="J17" s="10" t="inlineStr">
        <is>
          <t>Ouvert</t>
        </is>
      </c>
      <c r="K17" s="10" t="inlineStr">
        <is>
          <t>Ouvert</t>
        </is>
      </c>
      <c r="L17" s="11" t="inlineStr">
        <is>
          <t>Libre</t>
        </is>
      </c>
      <c r="M17" s="11" t="inlineStr">
        <is>
          <t>Libre</t>
        </is>
      </c>
      <c r="N17" s="9" t="inlineStr">
        <is>
          <t>Samedi, dimanche</t>
        </is>
      </c>
      <c r="O17" s="9" t="n">
        <v>2</v>
      </c>
      <c r="P17" s="9" t="inlineStr">
        <is>
          <t>A</t>
        </is>
      </c>
      <c r="Q17" s="12" t="inlineStr">
        <is>
          <t>À contacter</t>
        </is>
      </c>
      <c r="R17" s="13" t="n"/>
      <c r="S17" s="12" t="inlineStr">
        <is>
          <t>Reconfirmer jours et horaires</t>
        </is>
      </c>
      <c r="T17" s="12" t="n"/>
      <c r="U17" s="12" t="n"/>
      <c r="V17" s="9" t="inlineStr">
        <is>
          <t>https://www.gillespudlowski.com/recherche/Restaurants/0/France/Paris/Paris/75016/</t>
        </is>
      </c>
    </row>
    <row r="18">
      <c r="A18" s="9" t="inlineStr">
        <is>
          <t>Très haut de gamme (base)</t>
        </is>
      </c>
      <c r="B18" s="9" t="inlineStr">
        <is>
          <t>Substance</t>
        </is>
      </c>
      <c r="C18" s="9" t="n">
        <v>16</v>
      </c>
      <c r="D18" s="9" t="inlineStr">
        <is>
          <t>18 rue de Chaillot - 75016 Paris</t>
        </is>
      </c>
      <c r="E18" s="9" t="inlineStr">
        <is>
          <t>français, gastronomiques</t>
        </is>
      </c>
      <c r="F18" s="9" t="n">
        <v>148</v>
      </c>
      <c r="G18" s="10" t="inlineStr">
        <is>
          <t>Ouvert</t>
        </is>
      </c>
      <c r="H18" s="10" t="inlineStr">
        <is>
          <t>Ouvert</t>
        </is>
      </c>
      <c r="I18" s="10" t="inlineStr">
        <is>
          <t>Ouvert</t>
        </is>
      </c>
      <c r="J18" s="10" t="inlineStr">
        <is>
          <t>Ouvert</t>
        </is>
      </c>
      <c r="K18" s="10" t="inlineStr">
        <is>
          <t>Ouvert</t>
        </is>
      </c>
      <c r="L18" s="11" t="inlineStr">
        <is>
          <t>Libre</t>
        </is>
      </c>
      <c r="M18" s="11" t="inlineStr">
        <is>
          <t>Libre</t>
        </is>
      </c>
      <c r="N18" s="9" t="inlineStr">
        <is>
          <t>Samedi, dimanche</t>
        </is>
      </c>
      <c r="O18" s="9" t="n">
        <v>2</v>
      </c>
      <c r="P18" s="9" t="inlineStr">
        <is>
          <t>A</t>
        </is>
      </c>
      <c r="Q18" s="12" t="inlineStr">
        <is>
          <t>À contacter</t>
        </is>
      </c>
      <c r="R18" s="13" t="n"/>
      <c r="S18" s="12" t="inlineStr">
        <is>
          <t>Reconfirmer jours et horaires</t>
        </is>
      </c>
      <c r="T18" s="12" t="n"/>
      <c r="U18" s="12" t="n"/>
      <c r="V18" s="9" t="inlineStr">
        <is>
          <t>https://www.gillespudlowski.com/recherche/Restaurants/0/France/Paris/Paris/75016/</t>
        </is>
      </c>
    </row>
    <row r="19">
      <c r="A19" s="9" t="inlineStr">
        <is>
          <t>Très haut de gamme (base)</t>
        </is>
      </c>
      <c r="B19" s="9" t="inlineStr">
        <is>
          <t>Caïus</t>
        </is>
      </c>
      <c r="C19" s="9" t="n">
        <v>17</v>
      </c>
      <c r="D19" s="9" t="inlineStr">
        <is>
          <t>6 Rue d'Armaillé - 75017 Paris</t>
        </is>
      </c>
      <c r="E19" s="9" t="inlineStr">
        <is>
          <t>Cuisine internationale</t>
        </is>
      </c>
      <c r="F19" s="9" t="n">
        <v>120</v>
      </c>
      <c r="G19" s="10" t="inlineStr">
        <is>
          <t>Ouvert</t>
        </is>
      </c>
      <c r="H19" s="10" t="inlineStr">
        <is>
          <t>Ouvert</t>
        </is>
      </c>
      <c r="I19" s="10" t="inlineStr">
        <is>
          <t>Ouvert</t>
        </is>
      </c>
      <c r="J19" s="10" t="inlineStr">
        <is>
          <t>Ouvert</t>
        </is>
      </c>
      <c r="K19" s="10" t="inlineStr">
        <is>
          <t>Ouvert</t>
        </is>
      </c>
      <c r="L19" s="11" t="inlineStr">
        <is>
          <t>Libre</t>
        </is>
      </c>
      <c r="M19" s="11" t="inlineStr">
        <is>
          <t>Libre</t>
        </is>
      </c>
      <c r="N19" s="9" t="inlineStr">
        <is>
          <t>Samedi, dimanche</t>
        </is>
      </c>
      <c r="O19" s="9" t="n">
        <v>2</v>
      </c>
      <c r="P19" s="9" t="inlineStr">
        <is>
          <t>A</t>
        </is>
      </c>
      <c r="Q19" s="12" t="inlineStr">
        <is>
          <t>À contacter</t>
        </is>
      </c>
      <c r="R19" s="13" t="n"/>
      <c r="S19" s="12" t="inlineStr">
        <is>
          <t>Reconfirmer jours et horaires</t>
        </is>
      </c>
      <c r="T19" s="12" t="n"/>
      <c r="U19" s="12" t="n"/>
      <c r="V19" s="9" t="inlineStr">
        <is>
          <t>https://www.gillespudlowski.com/recherche/Restaurants/0/France/Paris/Paris/75017/</t>
        </is>
      </c>
    </row>
    <row r="20">
      <c r="A20" s="9" t="inlineStr">
        <is>
          <t>Très haut de gamme (base)</t>
        </is>
      </c>
      <c r="B20" s="9" t="inlineStr">
        <is>
          <t>La Poule au Pot</t>
        </is>
      </c>
      <c r="C20" s="9" t="n">
        <v>1</v>
      </c>
      <c r="D20" s="9" t="inlineStr">
        <is>
          <t>9 rue Vauvilliers, 75001 Paris</t>
        </is>
      </c>
      <c r="E20" s="9" t="inlineStr">
        <is>
          <t>Bistrots, français</t>
        </is>
      </c>
      <c r="F20" s="9" t="n">
        <v>122</v>
      </c>
      <c r="G20" s="11" t="inlineStr">
        <is>
          <t>Libre</t>
        </is>
      </c>
      <c r="H20" s="10" t="inlineStr">
        <is>
          <t>Ouvert</t>
        </is>
      </c>
      <c r="I20" s="10" t="inlineStr">
        <is>
          <t>Ouvert</t>
        </is>
      </c>
      <c r="J20" s="10" t="inlineStr">
        <is>
          <t>Ouvert</t>
        </is>
      </c>
      <c r="K20" s="10" t="inlineStr">
        <is>
          <t>Ouvert</t>
        </is>
      </c>
      <c r="L20" s="10" t="inlineStr">
        <is>
          <t>Ouvert</t>
        </is>
      </c>
      <c r="M20" s="11" t="inlineStr">
        <is>
          <t>Libre</t>
        </is>
      </c>
      <c r="N20" s="9" t="inlineStr">
        <is>
          <t>lundi, dimanche</t>
        </is>
      </c>
      <c r="O20" s="9" t="n">
        <v>2</v>
      </c>
      <c r="P20" s="9" t="inlineStr">
        <is>
          <t>B</t>
        </is>
      </c>
      <c r="Q20" s="12" t="inlineStr">
        <is>
          <t>À contacter</t>
        </is>
      </c>
      <c r="R20" s="13" t="n"/>
      <c r="S20" s="12" t="inlineStr">
        <is>
          <t>Reconfirmer jours et horaires</t>
        </is>
      </c>
      <c r="T20" s="12" t="n"/>
      <c r="U20" s="12" t="n"/>
      <c r="V20" s="9" t="inlineStr">
        <is>
          <t>https://www.gillespudlowski.com/recherche/Restaurants/0/France/Paris/Paris/75001/</t>
        </is>
      </c>
    </row>
    <row r="21">
      <c r="A21" s="9" t="inlineStr">
        <is>
          <t>Très haut de gamme (base)</t>
        </is>
      </c>
      <c r="B21" s="9" t="inlineStr">
        <is>
          <t>Anne au Pavillon de la Reine</t>
        </is>
      </c>
      <c r="C21" s="9" t="n">
        <v>3</v>
      </c>
      <c r="D21" s="9" t="inlineStr">
        <is>
          <t>28 Pl. des Vosges - 75003 Paris</t>
        </is>
      </c>
      <c r="E21" s="9" t="inlineStr">
        <is>
          <t>gastronomiques</t>
        </is>
      </c>
      <c r="F21" s="9" t="n">
        <v>178</v>
      </c>
      <c r="G21" s="11" t="inlineStr">
        <is>
          <t>Libre</t>
        </is>
      </c>
      <c r="H21" s="10" t="inlineStr">
        <is>
          <t>Ouvert</t>
        </is>
      </c>
      <c r="I21" s="10" t="inlineStr">
        <is>
          <t>Ouvert</t>
        </is>
      </c>
      <c r="J21" s="10" t="inlineStr">
        <is>
          <t>Ouvert</t>
        </is>
      </c>
      <c r="K21" s="10" t="inlineStr">
        <is>
          <t>Ouvert</t>
        </is>
      </c>
      <c r="L21" s="10" t="inlineStr">
        <is>
          <t>Ouvert</t>
        </is>
      </c>
      <c r="M21" s="11" t="inlineStr">
        <is>
          <t>Libre</t>
        </is>
      </c>
      <c r="N21" s="9" t="inlineStr">
        <is>
          <t>Lundi, dimanche</t>
        </is>
      </c>
      <c r="O21" s="9" t="n">
        <v>2</v>
      </c>
      <c r="P21" s="9" t="inlineStr">
        <is>
          <t>B</t>
        </is>
      </c>
      <c r="Q21" s="12" t="inlineStr">
        <is>
          <t>À contacter</t>
        </is>
      </c>
      <c r="R21" s="13" t="n"/>
      <c r="S21" s="12" t="inlineStr">
        <is>
          <t>Reconfirmer jours et horaires</t>
        </is>
      </c>
      <c r="T21" s="12" t="n"/>
      <c r="U21" s="12" t="n"/>
      <c r="V21" s="9" t="inlineStr">
        <is>
          <t>https://www.gillespudlowski.com/recherche/Restaurants/0/France/Paris/Paris/75003/</t>
        </is>
      </c>
    </row>
    <row r="22">
      <c r="A22" s="9" t="inlineStr">
        <is>
          <t>Très haut de gamme (base)</t>
        </is>
      </c>
      <c r="B22" s="9" t="inlineStr">
        <is>
          <t>L'Auberge Nicolas Flamel</t>
        </is>
      </c>
      <c r="C22" s="9" t="n">
        <v>3</v>
      </c>
      <c r="D22" s="9" t="inlineStr">
        <is>
          <t>51 rue de Montmorency - 75003 Paris</t>
        </is>
      </c>
      <c r="E22" s="9" t="inlineStr">
        <is>
          <t>français, gastronomiques</t>
        </is>
      </c>
      <c r="F22" s="9" t="n">
        <v>98</v>
      </c>
      <c r="G22" s="11" t="inlineStr">
        <is>
          <t>Libre</t>
        </is>
      </c>
      <c r="H22" s="10" t="inlineStr">
        <is>
          <t>Ouvert</t>
        </is>
      </c>
      <c r="I22" s="10" t="inlineStr">
        <is>
          <t>Ouvert</t>
        </is>
      </c>
      <c r="J22" s="10" t="inlineStr">
        <is>
          <t>Ouvert</t>
        </is>
      </c>
      <c r="K22" s="10" t="inlineStr">
        <is>
          <t>Ouvert</t>
        </is>
      </c>
      <c r="L22" s="10" t="inlineStr">
        <is>
          <t>Ouvert</t>
        </is>
      </c>
      <c r="M22" s="11" t="inlineStr">
        <is>
          <t>Libre</t>
        </is>
      </c>
      <c r="N22" s="9" t="inlineStr">
        <is>
          <t>Lundi, dimanche</t>
        </is>
      </c>
      <c r="O22" s="9" t="n">
        <v>2</v>
      </c>
      <c r="P22" s="9" t="inlineStr">
        <is>
          <t>B</t>
        </is>
      </c>
      <c r="Q22" s="12" t="inlineStr">
        <is>
          <t>À contacter</t>
        </is>
      </c>
      <c r="R22" s="13" t="n"/>
      <c r="S22" s="12" t="inlineStr">
        <is>
          <t>Reconfirmer jours et horaires</t>
        </is>
      </c>
      <c r="T22" s="12" t="n"/>
      <c r="U22" s="12" t="n"/>
      <c r="V22" s="9" t="inlineStr">
        <is>
          <t>https://www.gillespudlowski.com/recherche/Restaurants/0/France/Paris/Paris/75003/</t>
        </is>
      </c>
    </row>
    <row r="23">
      <c r="A23" s="9" t="inlineStr">
        <is>
          <t>Très haut de gamme (base)</t>
        </is>
      </c>
      <c r="B23" s="9" t="inlineStr">
        <is>
          <t>Aldehyde</t>
        </is>
      </c>
      <c r="C23" s="9" t="n">
        <v>4</v>
      </c>
      <c r="D23" s="9" t="inlineStr">
        <is>
          <t>5 Rue du Pont Louis-Philippe - 75004 Paris</t>
        </is>
      </c>
      <c r="E23" s="9" t="inlineStr">
        <is>
          <t>français</t>
        </is>
      </c>
      <c r="F23" s="9" t="n">
        <v>108</v>
      </c>
      <c r="G23" s="11" t="inlineStr">
        <is>
          <t>Libre</t>
        </is>
      </c>
      <c r="H23" s="10" t="inlineStr">
        <is>
          <t>Ouvert</t>
        </is>
      </c>
      <c r="I23" s="10" t="inlineStr">
        <is>
          <t>Ouvert</t>
        </is>
      </c>
      <c r="J23" s="10" t="inlineStr">
        <is>
          <t>Ouvert</t>
        </is>
      </c>
      <c r="K23" s="10" t="inlineStr">
        <is>
          <t>Ouvert</t>
        </is>
      </c>
      <c r="L23" s="10" t="inlineStr">
        <is>
          <t>Ouvert</t>
        </is>
      </c>
      <c r="M23" s="11" t="inlineStr">
        <is>
          <t>Libre</t>
        </is>
      </c>
      <c r="N23" s="9" t="inlineStr">
        <is>
          <t>Lundi, dimanche</t>
        </is>
      </c>
      <c r="O23" s="9" t="n">
        <v>2</v>
      </c>
      <c r="P23" s="9" t="inlineStr">
        <is>
          <t>B</t>
        </is>
      </c>
      <c r="Q23" s="12" t="inlineStr">
        <is>
          <t>À contacter</t>
        </is>
      </c>
      <c r="R23" s="13" t="n"/>
      <c r="S23" s="12" t="inlineStr">
        <is>
          <t>Reconfirmer jours et horaires</t>
        </is>
      </c>
      <c r="T23" s="12" t="n"/>
      <c r="U23" s="12" t="n"/>
      <c r="V23" s="9" t="inlineStr">
        <is>
          <t>https://www.gillespudlowski.com/recherche/Restaurants/0/France/Paris/Paris/75004/</t>
        </is>
      </c>
    </row>
    <row r="24">
      <c r="A24" s="9" t="inlineStr">
        <is>
          <t>Très haut de gamme (base)</t>
        </is>
      </c>
      <c r="B24" s="9" t="inlineStr">
        <is>
          <t>Le Sergent Recruteur</t>
        </is>
      </c>
      <c r="C24" s="9" t="n">
        <v>4</v>
      </c>
      <c r="D24" s="9" t="inlineStr">
        <is>
          <t>41 rue Saint-Louis en l'Île - 75004 Paris</t>
        </is>
      </c>
      <c r="E24" s="9" t="inlineStr">
        <is>
          <t>français, gastronomiques</t>
        </is>
      </c>
      <c r="F24" s="9" t="n">
        <v>118</v>
      </c>
      <c r="G24" s="11" t="inlineStr">
        <is>
          <t>Libre</t>
        </is>
      </c>
      <c r="H24" s="10" t="inlineStr">
        <is>
          <t>Ouvert</t>
        </is>
      </c>
      <c r="I24" s="10" t="inlineStr">
        <is>
          <t>Ouvert</t>
        </is>
      </c>
      <c r="J24" s="10" t="inlineStr">
        <is>
          <t>Ouvert</t>
        </is>
      </c>
      <c r="K24" s="10" t="inlineStr">
        <is>
          <t>Ouvert</t>
        </is>
      </c>
      <c r="L24" s="10" t="inlineStr">
        <is>
          <t>Ouvert</t>
        </is>
      </c>
      <c r="M24" s="11" t="inlineStr">
        <is>
          <t>Libre</t>
        </is>
      </c>
      <c r="N24" s="9" t="inlineStr">
        <is>
          <t>Lundi, dimanche</t>
        </is>
      </c>
      <c r="O24" s="9" t="n">
        <v>2</v>
      </c>
      <c r="P24" s="9" t="inlineStr">
        <is>
          <t>B</t>
        </is>
      </c>
      <c r="Q24" s="12" t="inlineStr">
        <is>
          <t>À contacter</t>
        </is>
      </c>
      <c r="R24" s="13" t="n"/>
      <c r="S24" s="12" t="inlineStr">
        <is>
          <t>Reconfirmer jours et horaires</t>
        </is>
      </c>
      <c r="T24" s="12" t="n"/>
      <c r="U24" s="12" t="n"/>
      <c r="V24" s="9" t="inlineStr">
        <is>
          <t>https://www.gillespudlowski.com/recherche/Restaurants/0/France/Paris/Paris/75004/</t>
        </is>
      </c>
    </row>
    <row r="25">
      <c r="A25" s="9" t="inlineStr">
        <is>
          <t>Très haut de gamme (base)</t>
        </is>
      </c>
      <c r="B25" s="9" t="inlineStr">
        <is>
          <t>Mavrommatis - le restaurant</t>
        </is>
      </c>
      <c r="C25" s="9" t="n">
        <v>5</v>
      </c>
      <c r="D25" s="9" t="inlineStr">
        <is>
          <t>42 rue Daubenton, 75005 Paris</t>
        </is>
      </c>
      <c r="E25" s="9" t="inlineStr">
        <is>
          <t>gastronomiques, grecs</t>
        </is>
      </c>
      <c r="F25" s="9" t="n">
        <v>130</v>
      </c>
      <c r="G25" s="11" t="inlineStr">
        <is>
          <t>Libre</t>
        </is>
      </c>
      <c r="H25" s="10" t="inlineStr">
        <is>
          <t>Ouvert</t>
        </is>
      </c>
      <c r="I25" s="10" t="inlineStr">
        <is>
          <t>Ouvert</t>
        </is>
      </c>
      <c r="J25" s="10" t="inlineStr">
        <is>
          <t>Ouvert</t>
        </is>
      </c>
      <c r="K25" s="10" t="inlineStr">
        <is>
          <t>Ouvert</t>
        </is>
      </c>
      <c r="L25" s="10" t="inlineStr">
        <is>
          <t>Ouvert</t>
        </is>
      </c>
      <c r="M25" s="11" t="inlineStr">
        <is>
          <t>Libre</t>
        </is>
      </c>
      <c r="N25" s="9" t="inlineStr">
        <is>
          <t>Lundi, dimanche</t>
        </is>
      </c>
      <c r="O25" s="9" t="n">
        <v>2</v>
      </c>
      <c r="P25" s="9" t="inlineStr">
        <is>
          <t>B</t>
        </is>
      </c>
      <c r="Q25" s="12" t="inlineStr">
        <is>
          <t>À contacter</t>
        </is>
      </c>
      <c r="R25" s="13" t="n"/>
      <c r="S25" s="12" t="inlineStr">
        <is>
          <t>Reconfirmer jours et horaires</t>
        </is>
      </c>
      <c r="T25" s="12" t="n"/>
      <c r="U25" s="12" t="n"/>
      <c r="V25" s="9" t="inlineStr">
        <is>
          <t>https://www.gillespudlowski.com/recherche/Restaurants/0/France/Paris/Paris/75005/</t>
        </is>
      </c>
    </row>
    <row r="26">
      <c r="A26" s="9" t="inlineStr">
        <is>
          <t>Très haut de gamme (base)</t>
        </is>
      </c>
      <c r="B26" s="9" t="inlineStr">
        <is>
          <t>Eskal</t>
        </is>
      </c>
      <c r="C26" s="9" t="n">
        <v>8</v>
      </c>
      <c r="D26" s="9" t="inlineStr">
        <is>
          <t>47, rue des Mathurins - 75008 Paris</t>
        </is>
      </c>
      <c r="E26" s="9" t="inlineStr">
        <is>
          <t>français, gastronomiques</t>
        </is>
      </c>
      <c r="F26" s="9" t="n">
        <v>120</v>
      </c>
      <c r="G26" s="11" t="inlineStr">
        <is>
          <t>Libre</t>
        </is>
      </c>
      <c r="H26" s="10" t="inlineStr">
        <is>
          <t>Ouvert</t>
        </is>
      </c>
      <c r="I26" s="10" t="inlineStr">
        <is>
          <t>Ouvert</t>
        </is>
      </c>
      <c r="J26" s="10" t="inlineStr">
        <is>
          <t>Ouvert</t>
        </is>
      </c>
      <c r="K26" s="10" t="inlineStr">
        <is>
          <t>Ouvert</t>
        </is>
      </c>
      <c r="L26" s="10" t="inlineStr">
        <is>
          <t>Ouvert</t>
        </is>
      </c>
      <c r="M26" s="11" t="inlineStr">
        <is>
          <t>Libre</t>
        </is>
      </c>
      <c r="N26" s="9" t="inlineStr">
        <is>
          <t>Lundi, dimanche</t>
        </is>
      </c>
      <c r="O26" s="9" t="n">
        <v>2</v>
      </c>
      <c r="P26" s="9" t="inlineStr">
        <is>
          <t>B</t>
        </is>
      </c>
      <c r="Q26" s="12" t="inlineStr">
        <is>
          <t>À contacter</t>
        </is>
      </c>
      <c r="R26" s="13" t="n"/>
      <c r="S26" s="12" t="inlineStr">
        <is>
          <t>Reconfirmer jours et horaires</t>
        </is>
      </c>
      <c r="T26" s="12" t="n"/>
      <c r="U26" s="12" t="n"/>
      <c r="V26" s="9" t="inlineStr">
        <is>
          <t>https://www.gillespudlowski.com/recherche/Restaurants/0/France/Paris/Paris/75008/</t>
        </is>
      </c>
    </row>
    <row r="27">
      <c r="A27" s="9" t="inlineStr">
        <is>
          <t>Très haut de gamme (base)</t>
        </is>
      </c>
      <c r="B27" s="9" t="inlineStr">
        <is>
          <t>Imperial Treasure</t>
        </is>
      </c>
      <c r="C27" s="9" t="n">
        <v>8</v>
      </c>
      <c r="D27" s="9" t="inlineStr">
        <is>
          <t>44, rue de Bassano - 75008 Paris</t>
        </is>
      </c>
      <c r="E27" s="9" t="inlineStr">
        <is>
          <t>asiatiques, chinois</t>
        </is>
      </c>
      <c r="F27" s="9" t="n">
        <v>120</v>
      </c>
      <c r="G27" s="11" t="inlineStr">
        <is>
          <t>Libre</t>
        </is>
      </c>
      <c r="H27" s="10" t="inlineStr">
        <is>
          <t>Ouvert</t>
        </is>
      </c>
      <c r="I27" s="10" t="inlineStr">
        <is>
          <t>Ouvert</t>
        </is>
      </c>
      <c r="J27" s="10" t="inlineStr">
        <is>
          <t>Ouvert</t>
        </is>
      </c>
      <c r="K27" s="10" t="inlineStr">
        <is>
          <t>Ouvert</t>
        </is>
      </c>
      <c r="L27" s="10" t="inlineStr">
        <is>
          <t>Ouvert</t>
        </is>
      </c>
      <c r="M27" s="10" t="inlineStr">
        <is>
          <t>Ouvert</t>
        </is>
      </c>
      <c r="N27" s="9" t="inlineStr">
        <is>
          <t>Lundi</t>
        </is>
      </c>
      <c r="O27" s="9" t="n">
        <v>1</v>
      </c>
      <c r="P27" s="9" t="inlineStr">
        <is>
          <t>B</t>
        </is>
      </c>
      <c r="Q27" s="12" t="inlineStr">
        <is>
          <t>À contacter</t>
        </is>
      </c>
      <c r="R27" s="13" t="n"/>
      <c r="S27" s="12" t="inlineStr">
        <is>
          <t>Reconfirmer jours et horaires</t>
        </is>
      </c>
      <c r="T27" s="12" t="n"/>
      <c r="U27" s="12" t="n"/>
      <c r="V27" s="9" t="inlineStr">
        <is>
          <t>https://www.gillespudlowski.com/recherche/Restaurants/0/France/Paris/Paris/75008/</t>
        </is>
      </c>
    </row>
    <row r="28">
      <c r="A28" s="9" t="inlineStr">
        <is>
          <t>Très haut de gamme (base)</t>
        </is>
      </c>
      <c r="B28" s="9" t="inlineStr">
        <is>
          <t>Sphère</t>
        </is>
      </c>
      <c r="C28" s="9" t="n">
        <v>8</v>
      </c>
      <c r="D28" s="9" t="inlineStr">
        <is>
          <t>18, rue la Boétie - 75008 Paris</t>
        </is>
      </c>
      <c r="E28" s="9" t="inlineStr">
        <is>
          <t>français, gastronomiques</t>
        </is>
      </c>
      <c r="F28" s="9" t="n">
        <v>110</v>
      </c>
      <c r="G28" s="11" t="inlineStr">
        <is>
          <t>Libre</t>
        </is>
      </c>
      <c r="H28" s="10" t="inlineStr">
        <is>
          <t>Ouvert</t>
        </is>
      </c>
      <c r="I28" s="10" t="inlineStr">
        <is>
          <t>Ouvert</t>
        </is>
      </c>
      <c r="J28" s="10" t="inlineStr">
        <is>
          <t>Ouvert</t>
        </is>
      </c>
      <c r="K28" s="10" t="inlineStr">
        <is>
          <t>Ouvert</t>
        </is>
      </c>
      <c r="L28" s="10" t="inlineStr">
        <is>
          <t>Ouvert</t>
        </is>
      </c>
      <c r="M28" s="10" t="inlineStr">
        <is>
          <t>Ouvert</t>
        </is>
      </c>
      <c r="N28" s="9" t="inlineStr">
        <is>
          <t>Lundi</t>
        </is>
      </c>
      <c r="O28" s="9" t="n">
        <v>1</v>
      </c>
      <c r="P28" s="9" t="inlineStr">
        <is>
          <t>B</t>
        </is>
      </c>
      <c r="Q28" s="12" t="inlineStr">
        <is>
          <t>À contacter</t>
        </is>
      </c>
      <c r="R28" s="13" t="n"/>
      <c r="S28" s="12" t="inlineStr">
        <is>
          <t>Reconfirmer jours et horaires</t>
        </is>
      </c>
      <c r="T28" s="12" t="n"/>
      <c r="U28" s="12" t="n"/>
      <c r="V28" s="9" t="inlineStr">
        <is>
          <t>https://www.gillespudlowski.com/recherche/Restaurants/0/France/Paris/Paris/75008/</t>
        </is>
      </c>
    </row>
    <row r="29">
      <c r="A29" s="9" t="inlineStr">
        <is>
          <t>Très haut de gamme (base)</t>
        </is>
      </c>
      <c r="B29" s="9" t="inlineStr">
        <is>
          <t>Le Duc</t>
        </is>
      </c>
      <c r="C29" s="9" t="n">
        <v>14</v>
      </c>
      <c r="D29" s="9" t="inlineStr">
        <is>
          <t>243, boulevard Raspail - 75014 Paris</t>
        </is>
      </c>
      <c r="E29" s="9" t="inlineStr">
        <is>
          <t>français</t>
        </is>
      </c>
      <c r="F29" s="9" t="n">
        <v>250</v>
      </c>
      <c r="G29" s="10" t="inlineStr">
        <is>
          <t>Ouvert</t>
        </is>
      </c>
      <c r="H29" s="10" t="inlineStr">
        <is>
          <t>Ouvert</t>
        </is>
      </c>
      <c r="I29" s="10" t="inlineStr">
        <is>
          <t>Ouvert</t>
        </is>
      </c>
      <c r="J29" s="10" t="inlineStr">
        <is>
          <t>Ouvert</t>
        </is>
      </c>
      <c r="K29" s="10" t="inlineStr">
        <is>
          <t>Ouvert</t>
        </is>
      </c>
      <c r="L29" s="10" t="inlineStr">
        <is>
          <t>Ouvert</t>
        </is>
      </c>
      <c r="M29" s="11" t="inlineStr">
        <is>
          <t>Libre</t>
        </is>
      </c>
      <c r="N29" s="9" t="inlineStr">
        <is>
          <t>Dimanche</t>
        </is>
      </c>
      <c r="O29" s="9" t="n">
        <v>1</v>
      </c>
      <c r="P29" s="9" t="inlineStr">
        <is>
          <t>B</t>
        </is>
      </c>
      <c r="Q29" s="12" t="inlineStr">
        <is>
          <t>À contacter</t>
        </is>
      </c>
      <c r="R29" s="13" t="n"/>
      <c r="S29" s="12" t="inlineStr">
        <is>
          <t>Reconfirmer jours et horaires</t>
        </is>
      </c>
      <c r="T29" s="12" t="n"/>
      <c r="U29" s="12" t="n"/>
      <c r="V29" s="9" t="inlineStr">
        <is>
          <t>https://www.gillespudlowski.com/recherche/Restaurants/0/France/Paris/Paris/75014/</t>
        </is>
      </c>
    </row>
    <row r="30">
      <c r="A30" s="9" t="inlineStr">
        <is>
          <t>Très haut de gamme (base)</t>
        </is>
      </c>
      <c r="B30" s="9" t="inlineStr">
        <is>
          <t>Marius</t>
        </is>
      </c>
      <c r="C30" s="9" t="n">
        <v>16</v>
      </c>
      <c r="D30" s="9" t="inlineStr">
        <is>
          <t>82 Bd Murat - 75016 Paris</t>
        </is>
      </c>
      <c r="E30" s="9" t="inlineStr">
        <is>
          <t>français</t>
        </is>
      </c>
      <c r="F30" s="9" t="n">
        <v>120</v>
      </c>
      <c r="G30" s="10" t="inlineStr">
        <is>
          <t>Ouvert</t>
        </is>
      </c>
      <c r="H30" s="10" t="inlineStr">
        <is>
          <t>Ouvert</t>
        </is>
      </c>
      <c r="I30" s="10" t="inlineStr">
        <is>
          <t>Ouvert</t>
        </is>
      </c>
      <c r="J30" s="10" t="inlineStr">
        <is>
          <t>Ouvert</t>
        </is>
      </c>
      <c r="K30" s="10" t="inlineStr">
        <is>
          <t>Ouvert</t>
        </is>
      </c>
      <c r="L30" s="10" t="inlineStr">
        <is>
          <t>Ouvert</t>
        </is>
      </c>
      <c r="M30" s="11" t="inlineStr">
        <is>
          <t>Libre</t>
        </is>
      </c>
      <c r="N30" s="9" t="inlineStr">
        <is>
          <t>Samedi midi, dimanche</t>
        </is>
      </c>
      <c r="O30" s="9" t="n">
        <v>1</v>
      </c>
      <c r="P30" s="9" t="inlineStr">
        <is>
          <t>B</t>
        </is>
      </c>
      <c r="Q30" s="12" t="inlineStr">
        <is>
          <t>À contacter</t>
        </is>
      </c>
      <c r="R30" s="13" t="n"/>
      <c r="S30" s="12" t="inlineStr">
        <is>
          <t>Reconfirmer jours et horaires</t>
        </is>
      </c>
      <c r="T30" s="12" t="n"/>
      <c r="U30" s="12" t="n"/>
      <c r="V30" s="9" t="inlineStr">
        <is>
          <t>https://www.gillespudlowski.com/recherche/Restaurants/0/France/Paris/Paris/75016/</t>
        </is>
      </c>
    </row>
    <row r="31">
      <c r="A31" s="9" t="inlineStr">
        <is>
          <t>Très haut de gamme (base)</t>
        </is>
      </c>
      <c r="B31" s="9" t="inlineStr">
        <is>
          <t>Maison Rostang</t>
        </is>
      </c>
      <c r="C31" s="9" t="n">
        <v>17</v>
      </c>
      <c r="D31" s="9" t="inlineStr">
        <is>
          <t>20 rue Rennequin - 75017 Paris</t>
        </is>
      </c>
      <c r="E31" s="9" t="inlineStr">
        <is>
          <t>français, gastronomiques</t>
        </is>
      </c>
      <c r="F31" s="9" t="n">
        <v>300</v>
      </c>
      <c r="G31" s="11" t="inlineStr">
        <is>
          <t>Libre</t>
        </is>
      </c>
      <c r="H31" s="10" t="inlineStr">
        <is>
          <t>Ouvert</t>
        </is>
      </c>
      <c r="I31" s="10" t="inlineStr">
        <is>
          <t>Ouvert</t>
        </is>
      </c>
      <c r="J31" s="10" t="inlineStr">
        <is>
          <t>Ouvert</t>
        </is>
      </c>
      <c r="K31" s="10" t="inlineStr">
        <is>
          <t>Ouvert</t>
        </is>
      </c>
      <c r="L31" s="10" t="inlineStr">
        <is>
          <t>Ouvert</t>
        </is>
      </c>
      <c r="M31" s="11" t="inlineStr">
        <is>
          <t>Libre</t>
        </is>
      </c>
      <c r="N31" s="9" t="inlineStr">
        <is>
          <t>Lundi, dimanche</t>
        </is>
      </c>
      <c r="O31" s="9" t="n">
        <v>2</v>
      </c>
      <c r="P31" s="9" t="inlineStr">
        <is>
          <t>B</t>
        </is>
      </c>
      <c r="Q31" s="12" t="inlineStr">
        <is>
          <t>À contacter</t>
        </is>
      </c>
      <c r="R31" s="13" t="n"/>
      <c r="S31" s="12" t="inlineStr">
        <is>
          <t>Reconfirmer jours et horaires</t>
        </is>
      </c>
      <c r="T31" s="12" t="n"/>
      <c r="U31" s="12" t="n"/>
      <c r="V31" s="9" t="inlineStr">
        <is>
          <t>https://www.gillespudlowski.com/recherche/Restaurants/0/France/Paris/Paris/75017/</t>
        </is>
      </c>
    </row>
    <row r="32">
      <c r="A32" s="9" t="inlineStr">
        <is>
          <t>Très haut de gamme (base)</t>
        </is>
      </c>
      <c r="B32" s="9" t="inlineStr">
        <is>
          <t>Vive, maison mer</t>
        </is>
      </c>
      <c r="C32" s="9" t="n">
        <v>17</v>
      </c>
      <c r="D32" s="9" t="inlineStr">
        <is>
          <t>62 avenue des Ternes - 75017 Paris</t>
        </is>
      </c>
      <c r="E32" s="9" t="inlineStr">
        <is>
          <t>français</t>
        </is>
      </c>
      <c r="F32" s="9" t="n">
        <v>100</v>
      </c>
      <c r="G32" s="11" t="inlineStr">
        <is>
          <t>Libre</t>
        </is>
      </c>
      <c r="H32" s="10" t="inlineStr">
        <is>
          <t>Ouvert</t>
        </is>
      </c>
      <c r="I32" s="10" t="inlineStr">
        <is>
          <t>Ouvert</t>
        </is>
      </c>
      <c r="J32" s="10" t="inlineStr">
        <is>
          <t>Ouvert</t>
        </is>
      </c>
      <c r="K32" s="10" t="inlineStr">
        <is>
          <t>Ouvert</t>
        </is>
      </c>
      <c r="L32" s="10" t="inlineStr">
        <is>
          <t>Ouvert</t>
        </is>
      </c>
      <c r="M32" s="11" t="inlineStr">
        <is>
          <t>Libre</t>
        </is>
      </c>
      <c r="N32" s="9" t="inlineStr">
        <is>
          <t>Lundi, dimanche</t>
        </is>
      </c>
      <c r="O32" s="9" t="n">
        <v>2</v>
      </c>
      <c r="P32" s="9" t="inlineStr">
        <is>
          <t>B</t>
        </is>
      </c>
      <c r="Q32" s="12" t="inlineStr">
        <is>
          <t>À contacter</t>
        </is>
      </c>
      <c r="R32" s="13" t="n"/>
      <c r="S32" s="12" t="inlineStr">
        <is>
          <t>Reconfirmer jours et horaires</t>
        </is>
      </c>
      <c r="T32" s="12" t="n"/>
      <c r="U32" s="12" t="n"/>
      <c r="V32" s="9" t="inlineStr">
        <is>
          <t>https://www.gillespudlowski.com/recherche/Restaurants/0/France/Paris/Paris/75017/</t>
        </is>
      </c>
    </row>
    <row r="33">
      <c r="A33" s="9" t="inlineStr">
        <is>
          <t>Très haut de gamme (base)</t>
        </is>
      </c>
      <c r="B33" s="9" t="inlineStr">
        <is>
          <t>L'Assaggio à l'hôtel Castille</t>
        </is>
      </c>
      <c r="C33" s="9" t="n">
        <v>1</v>
      </c>
      <c r="D33" s="9" t="inlineStr">
        <is>
          <t>37 rue Cambon, 75001 Paris</t>
        </is>
      </c>
      <c r="E33" s="9" t="inlineStr">
        <is>
          <t>gastronomiques, italiens</t>
        </is>
      </c>
      <c r="F33" s="9" t="n">
        <v>120</v>
      </c>
      <c r="G33" s="10" t="inlineStr">
        <is>
          <t>Ouvert</t>
        </is>
      </c>
      <c r="H33" s="10" t="inlineStr">
        <is>
          <t>Ouvert</t>
        </is>
      </c>
      <c r="I33" s="10" t="inlineStr">
        <is>
          <t>Ouvert</t>
        </is>
      </c>
      <c r="J33" s="10" t="inlineStr">
        <is>
          <t>Ouvert</t>
        </is>
      </c>
      <c r="K33" s="10" t="inlineStr">
        <is>
          <t>Ouvert</t>
        </is>
      </c>
      <c r="L33" s="10" t="inlineStr">
        <is>
          <t>Ouvert</t>
        </is>
      </c>
      <c r="M33" s="10" t="inlineStr">
        <is>
          <t>Ouvert</t>
        </is>
      </c>
      <c r="N33" s="9" t="inlineStr">
        <is>
          <t>ouvert 7j/7</t>
        </is>
      </c>
      <c r="O33" s="9" t="n">
        <v>0</v>
      </c>
      <c r="P33" s="9" t="inlineStr">
        <is>
          <t>Pas de soir libre</t>
        </is>
      </c>
      <c r="Q33" s="12" t="inlineStr">
        <is>
          <t>À contacter</t>
        </is>
      </c>
      <c r="R33" s="13" t="n"/>
      <c r="S33" s="12" t="inlineStr">
        <is>
          <t>Reconfirmer jours et horaires</t>
        </is>
      </c>
      <c r="T33" s="12" t="n"/>
      <c r="U33" s="12" t="n"/>
      <c r="V33" s="9" t="inlineStr">
        <is>
          <t>https://www.gillespudlowski.com/recherche/Restaurants/0/France/Paris/Paris/75001/</t>
        </is>
      </c>
    </row>
    <row r="34">
      <c r="A34" s="9" t="inlineStr">
        <is>
          <t>Très haut de gamme (base)</t>
        </is>
      </c>
      <c r="B34" s="9" t="inlineStr">
        <is>
          <t>Langosteria</t>
        </is>
      </c>
      <c r="C34" s="9" t="n">
        <v>1</v>
      </c>
      <c r="D34" s="9" t="inlineStr">
        <is>
          <t>Cheval Blanc Paris (7e étage), 8 quai du Louvre, 75001 Paris</t>
        </is>
      </c>
      <c r="E34" s="9" t="inlineStr">
        <is>
          <t>français, gastronomiques</t>
        </is>
      </c>
      <c r="F34" s="9" t="n">
        <v>200</v>
      </c>
      <c r="G34" s="10" t="inlineStr">
        <is>
          <t>Ouvert</t>
        </is>
      </c>
      <c r="H34" s="10" t="inlineStr">
        <is>
          <t>Ouvert</t>
        </is>
      </c>
      <c r="I34" s="10" t="inlineStr">
        <is>
          <t>Ouvert</t>
        </is>
      </c>
      <c r="J34" s="10" t="inlineStr">
        <is>
          <t>Ouvert</t>
        </is>
      </c>
      <c r="K34" s="10" t="inlineStr">
        <is>
          <t>Ouvert</t>
        </is>
      </c>
      <c r="L34" s="10" t="inlineStr">
        <is>
          <t>Ouvert</t>
        </is>
      </c>
      <c r="M34" s="10" t="inlineStr">
        <is>
          <t>Ouvert</t>
        </is>
      </c>
      <c r="N34" s="9" t="inlineStr">
        <is>
          <t>Lundi midi, mardi midi</t>
        </is>
      </c>
      <c r="O34" s="9" t="n">
        <v>0</v>
      </c>
      <c r="P34" s="9" t="inlineStr">
        <is>
          <t>Pas de soir libre</t>
        </is>
      </c>
      <c r="Q34" s="12" t="inlineStr">
        <is>
          <t>À contacter</t>
        </is>
      </c>
      <c r="R34" s="13" t="n"/>
      <c r="S34" s="12" t="inlineStr">
        <is>
          <t>Reconfirmer jours et horaires</t>
        </is>
      </c>
      <c r="T34" s="12" t="n"/>
      <c r="U34" s="12" t="n"/>
      <c r="V34" s="9" t="inlineStr">
        <is>
          <t>https://www.gillespudlowski.com/recherche/Restaurants/0/France/Paris/Paris/75001/</t>
        </is>
      </c>
    </row>
    <row r="35">
      <c r="A35" s="9" t="inlineStr">
        <is>
          <t>Très haut de gamme (base)</t>
        </is>
      </c>
      <c r="B35" s="9" t="inlineStr">
        <is>
          <t>Le Grand Véfour</t>
        </is>
      </c>
      <c r="C35" s="9" t="n">
        <v>1</v>
      </c>
      <c r="D35" s="9" t="inlineStr">
        <is>
          <t>17 rue de Beaujolais, 75001 Paris</t>
        </is>
      </c>
      <c r="E35" s="9" t="inlineStr">
        <is>
          <t>français, gastronomiques</t>
        </is>
      </c>
      <c r="F35" s="9" t="n">
        <v>170</v>
      </c>
      <c r="G35" s="10" t="inlineStr">
        <is>
          <t>Ouvert</t>
        </is>
      </c>
      <c r="H35" s="10" t="inlineStr">
        <is>
          <t>Ouvert</t>
        </is>
      </c>
      <c r="I35" s="10" t="inlineStr">
        <is>
          <t>Ouvert</t>
        </is>
      </c>
      <c r="J35" s="10" t="inlineStr">
        <is>
          <t>Ouvert</t>
        </is>
      </c>
      <c r="K35" s="10" t="inlineStr">
        <is>
          <t>Ouvert</t>
        </is>
      </c>
      <c r="L35" s="10" t="inlineStr">
        <is>
          <t>Ouvert</t>
        </is>
      </c>
      <c r="M35" s="10" t="inlineStr">
        <is>
          <t>Ouvert</t>
        </is>
      </c>
      <c r="N35" s="9" t="inlineStr">
        <is>
          <t>ouvert 7j/7</t>
        </is>
      </c>
      <c r="O35" s="9" t="n">
        <v>0</v>
      </c>
      <c r="P35" s="9" t="inlineStr">
        <is>
          <t>Pas de soir libre</t>
        </is>
      </c>
      <c r="Q35" s="12" t="inlineStr">
        <is>
          <t>À contacter</t>
        </is>
      </c>
      <c r="R35" s="13" t="n"/>
      <c r="S35" s="12" t="inlineStr">
        <is>
          <t>Reconfirmer jours et horaires</t>
        </is>
      </c>
      <c r="T35" s="12" t="n"/>
      <c r="U35" s="12" t="n"/>
      <c r="V35" s="9" t="inlineStr">
        <is>
          <t>https://www.gillespudlowski.com/recherche/Restaurants/0/France/Paris/Paris/75001/</t>
        </is>
      </c>
    </row>
    <row r="36">
      <c r="A36" s="9" t="inlineStr">
        <is>
          <t>Très haut de gamme (base)</t>
        </is>
      </c>
      <c r="B36" s="9" t="inlineStr">
        <is>
          <t>Le Tout-Paris au Cheval Blanc Paris</t>
        </is>
      </c>
      <c r="C36" s="9" t="n">
        <v>1</v>
      </c>
      <c r="D36" s="9" t="inlineStr">
        <is>
          <t>8 Quai du Louvre, 75001 Paris</t>
        </is>
      </c>
      <c r="E36" s="9" t="inlineStr">
        <is>
          <t>français</t>
        </is>
      </c>
      <c r="F36" s="9" t="n">
        <v>150</v>
      </c>
      <c r="G36" s="10" t="inlineStr">
        <is>
          <t>Ouvert</t>
        </is>
      </c>
      <c r="H36" s="10" t="inlineStr">
        <is>
          <t>Ouvert</t>
        </is>
      </c>
      <c r="I36" s="10" t="inlineStr">
        <is>
          <t>Ouvert</t>
        </is>
      </c>
      <c r="J36" s="10" t="inlineStr">
        <is>
          <t>Ouvert</t>
        </is>
      </c>
      <c r="K36" s="10" t="inlineStr">
        <is>
          <t>Ouvert</t>
        </is>
      </c>
      <c r="L36" s="10" t="inlineStr">
        <is>
          <t>Ouvert</t>
        </is>
      </c>
      <c r="M36" s="10" t="inlineStr">
        <is>
          <t>Ouvert</t>
        </is>
      </c>
      <c r="N36" s="9" t="inlineStr">
        <is>
          <t>ouvert 7j/7</t>
        </is>
      </c>
      <c r="O36" s="9" t="n">
        <v>0</v>
      </c>
      <c r="P36" s="9" t="inlineStr">
        <is>
          <t>Pas de soir libre</t>
        </is>
      </c>
      <c r="Q36" s="12" t="inlineStr">
        <is>
          <t>À contacter</t>
        </is>
      </c>
      <c r="R36" s="13" t="n"/>
      <c r="S36" s="12" t="inlineStr">
        <is>
          <t>Reconfirmer jours et horaires</t>
        </is>
      </c>
      <c r="T36" s="12" t="n"/>
      <c r="U36" s="12" t="n"/>
      <c r="V36" s="9" t="inlineStr">
        <is>
          <t>https://www.gillespudlowski.com/recherche/Restaurants/0/France/Paris/Paris/75001/</t>
        </is>
      </c>
    </row>
    <row r="37">
      <c r="A37" s="9" t="inlineStr">
        <is>
          <t>Très haut de gamme (base)</t>
        </is>
      </c>
      <c r="B37" s="9" t="inlineStr">
        <is>
          <t>Drouant</t>
        </is>
      </c>
      <c r="C37" s="9" t="n">
        <v>2</v>
      </c>
      <c r="D37" s="9" t="inlineStr">
        <is>
          <t>16/18 rue Gaillon - 75002 Paris</t>
        </is>
      </c>
      <c r="E37" s="9" t="inlineStr">
        <is>
          <t>Brasseries, français</t>
        </is>
      </c>
      <c r="F37" s="9" t="n">
        <v>130</v>
      </c>
      <c r="G37" s="10" t="inlineStr">
        <is>
          <t>Ouvert</t>
        </is>
      </c>
      <c r="H37" s="10" t="inlineStr">
        <is>
          <t>Ouvert</t>
        </is>
      </c>
      <c r="I37" s="10" t="inlineStr">
        <is>
          <t>Ouvert</t>
        </is>
      </c>
      <c r="J37" s="10" t="inlineStr">
        <is>
          <t>Ouvert</t>
        </is>
      </c>
      <c r="K37" s="10" t="inlineStr">
        <is>
          <t>Ouvert</t>
        </is>
      </c>
      <c r="L37" s="10" t="inlineStr">
        <is>
          <t>Ouvert</t>
        </is>
      </c>
      <c r="M37" s="10" t="inlineStr">
        <is>
          <t>Ouvert</t>
        </is>
      </c>
      <c r="N37" s="9" t="inlineStr">
        <is>
          <t>ouvert 7j/7</t>
        </is>
      </c>
      <c r="O37" s="9" t="n">
        <v>0</v>
      </c>
      <c r="P37" s="9" t="inlineStr">
        <is>
          <t>Pas de soir libre</t>
        </is>
      </c>
      <c r="Q37" s="12" t="inlineStr">
        <is>
          <t>À contacter</t>
        </is>
      </c>
      <c r="R37" s="13" t="n"/>
      <c r="S37" s="12" t="inlineStr">
        <is>
          <t>Reconfirmer jours et horaires</t>
        </is>
      </c>
      <c r="T37" s="12" t="n"/>
      <c r="U37" s="12" t="n"/>
      <c r="V37" s="9" t="inlineStr">
        <is>
          <t>https://www.gillespudlowski.com/recherche/Restaurants/0/France/Paris/Paris/75002/</t>
        </is>
      </c>
    </row>
    <row r="38">
      <c r="A38" s="9" t="inlineStr">
        <is>
          <t>Très haut de gamme (base)</t>
        </is>
      </c>
      <c r="B38" s="9" t="inlineStr">
        <is>
          <t>Benoît</t>
        </is>
      </c>
      <c r="C38" s="9" t="n">
        <v>4</v>
      </c>
      <c r="D38" s="9" t="inlineStr">
        <is>
          <t>20, rue Saint Martin - 75004 Paris</t>
        </is>
      </c>
      <c r="E38" s="9" t="inlineStr">
        <is>
          <t>Bistrots, français</t>
        </is>
      </c>
      <c r="F38" s="9" t="n">
        <v>112</v>
      </c>
      <c r="G38" s="10" t="inlineStr">
        <is>
          <t>Ouvert</t>
        </is>
      </c>
      <c r="H38" s="10" t="inlineStr">
        <is>
          <t>Ouvert</t>
        </is>
      </c>
      <c r="I38" s="10" t="inlineStr">
        <is>
          <t>Ouvert</t>
        </is>
      </c>
      <c r="J38" s="10" t="inlineStr">
        <is>
          <t>Ouvert</t>
        </is>
      </c>
      <c r="K38" s="10" t="inlineStr">
        <is>
          <t>Ouvert</t>
        </is>
      </c>
      <c r="L38" s="10" t="inlineStr">
        <is>
          <t>Ouvert</t>
        </is>
      </c>
      <c r="M38" s="10" t="inlineStr">
        <is>
          <t>Ouvert</t>
        </is>
      </c>
      <c r="N38" s="9" t="inlineStr">
        <is>
          <t>ouvert 7j/7</t>
        </is>
      </c>
      <c r="O38" s="9" t="n">
        <v>0</v>
      </c>
      <c r="P38" s="9" t="inlineStr">
        <is>
          <t>Pas de soir libre</t>
        </is>
      </c>
      <c r="Q38" s="12" t="inlineStr">
        <is>
          <t>À contacter</t>
        </is>
      </c>
      <c r="R38" s="13" t="n"/>
      <c r="S38" s="12" t="inlineStr">
        <is>
          <t>Reconfirmer jours et horaires</t>
        </is>
      </c>
      <c r="T38" s="12" t="n"/>
      <c r="U38" s="12" t="n"/>
      <c r="V38" s="9" t="inlineStr">
        <is>
          <t>https://www.gillespudlowski.com/recherche/Restaurants/0/France/Paris/Paris/75004/</t>
        </is>
      </c>
    </row>
    <row r="39">
      <c r="A39" s="9" t="inlineStr">
        <is>
          <t>Très haut de gamme (base)</t>
        </is>
      </c>
      <c r="B39" s="9" t="inlineStr">
        <is>
          <t>Bonnie</t>
        </is>
      </c>
      <c r="C39" s="9" t="n">
        <v>4</v>
      </c>
      <c r="D39" s="9" t="inlineStr">
        <is>
          <t>10 Rue Agrippa d'Aubigné - 75004 Paris</t>
        </is>
      </c>
      <c r="E39" s="9" t="inlineStr">
        <is>
          <t>français, gastronomiques</t>
        </is>
      </c>
      <c r="F39" s="9" t="n">
        <v>88</v>
      </c>
      <c r="G39" s="10" t="inlineStr">
        <is>
          <t>Ouvert</t>
        </is>
      </c>
      <c r="H39" s="10" t="inlineStr">
        <is>
          <t>Ouvert</t>
        </is>
      </c>
      <c r="I39" s="10" t="inlineStr">
        <is>
          <t>Ouvert</t>
        </is>
      </c>
      <c r="J39" s="10" t="inlineStr">
        <is>
          <t>Ouvert</t>
        </is>
      </c>
      <c r="K39" s="10" t="inlineStr">
        <is>
          <t>Ouvert</t>
        </is>
      </c>
      <c r="L39" s="10" t="inlineStr">
        <is>
          <t>Ouvert</t>
        </is>
      </c>
      <c r="M39" s="10" t="inlineStr">
        <is>
          <t>Ouvert</t>
        </is>
      </c>
      <c r="N39" s="9" t="inlineStr">
        <is>
          <t>ouvert 7j/7</t>
        </is>
      </c>
      <c r="O39" s="9" t="n">
        <v>0</v>
      </c>
      <c r="P39" s="9" t="inlineStr">
        <is>
          <t>Pas de soir libre</t>
        </is>
      </c>
      <c r="Q39" s="12" t="inlineStr">
        <is>
          <t>À contacter</t>
        </is>
      </c>
      <c r="R39" s="13" t="n"/>
      <c r="S39" s="12" t="inlineStr">
        <is>
          <t>Reconfirmer jours et horaires</t>
        </is>
      </c>
      <c r="T39" s="12" t="n"/>
      <c r="U39" s="12" t="n"/>
      <c r="V39" s="9" t="inlineStr">
        <is>
          <t>https://www.gillespudlowski.com/recherche/Restaurants/0/France/Paris/Paris/75004/</t>
        </is>
      </c>
    </row>
    <row r="40">
      <c r="A40" s="9" t="inlineStr">
        <is>
          <t>Très haut de gamme (base)</t>
        </is>
      </c>
      <c r="B40" s="9" t="inlineStr">
        <is>
          <t>Allard</t>
        </is>
      </c>
      <c r="C40" s="9" t="n">
        <v>6</v>
      </c>
      <c r="D40" s="9" t="inlineStr">
        <is>
          <t>1 rue de l'Eperon, 75006 Paris</t>
        </is>
      </c>
      <c r="E40" s="9" t="inlineStr">
        <is>
          <t>français</t>
        </is>
      </c>
      <c r="F40" s="9" t="n">
        <v>108</v>
      </c>
      <c r="G40" s="10" t="inlineStr">
        <is>
          <t>Ouvert</t>
        </is>
      </c>
      <c r="H40" s="10" t="inlineStr">
        <is>
          <t>Ouvert</t>
        </is>
      </c>
      <c r="I40" s="10" t="inlineStr">
        <is>
          <t>Ouvert</t>
        </is>
      </c>
      <c r="J40" s="10" t="inlineStr">
        <is>
          <t>Ouvert</t>
        </is>
      </c>
      <c r="K40" s="10" t="inlineStr">
        <is>
          <t>Ouvert</t>
        </is>
      </c>
      <c r="L40" s="10" t="inlineStr">
        <is>
          <t>Ouvert</t>
        </is>
      </c>
      <c r="M40" s="10" t="inlineStr">
        <is>
          <t>Ouvert</t>
        </is>
      </c>
      <c r="N40" s="9" t="inlineStr">
        <is>
          <t>ouvert 7j/7</t>
        </is>
      </c>
      <c r="O40" s="9" t="n">
        <v>0</v>
      </c>
      <c r="P40" s="9" t="inlineStr">
        <is>
          <t>Pas de soir libre</t>
        </is>
      </c>
      <c r="Q40" s="12" t="inlineStr">
        <is>
          <t>À contacter</t>
        </is>
      </c>
      <c r="R40" s="13" t="n"/>
      <c r="S40" s="12" t="inlineStr">
        <is>
          <t>Reconfirmer jours et horaires</t>
        </is>
      </c>
      <c r="T40" s="12" t="n"/>
      <c r="U40" s="12" t="n"/>
      <c r="V40" s="9" t="inlineStr">
        <is>
          <t>https://www.gillespudlowski.com/recherche/Restaurants/0/France/Paris/Paris/75006/</t>
        </is>
      </c>
    </row>
    <row r="41">
      <c r="A41" s="9" t="inlineStr">
        <is>
          <t>Très haut de gamme (base)</t>
        </is>
      </c>
      <c r="B41" s="9" t="inlineStr">
        <is>
          <t>Joséphine "Chez Dumonet"</t>
        </is>
      </c>
      <c r="C41" s="9" t="n">
        <v>6</v>
      </c>
      <c r="D41" s="9" t="inlineStr">
        <is>
          <t>117, rue du Cherche Midi, 75006 Paris</t>
        </is>
      </c>
      <c r="E41" s="9" t="inlineStr">
        <is>
          <t>Brasseries, français</t>
        </is>
      </c>
      <c r="F41" s="9" t="n">
        <v>112</v>
      </c>
      <c r="G41" s="10" t="inlineStr">
        <is>
          <t>Ouvert</t>
        </is>
      </c>
      <c r="H41" s="10" t="inlineStr">
        <is>
          <t>Ouvert</t>
        </is>
      </c>
      <c r="I41" s="10" t="inlineStr">
        <is>
          <t>Ouvert</t>
        </is>
      </c>
      <c r="J41" s="10" t="inlineStr">
        <is>
          <t>Ouvert</t>
        </is>
      </c>
      <c r="K41" s="10" t="inlineStr">
        <is>
          <t>Ouvert</t>
        </is>
      </c>
      <c r="L41" s="10" t="inlineStr">
        <is>
          <t>Ouvert</t>
        </is>
      </c>
      <c r="M41" s="10" t="inlineStr">
        <is>
          <t>Ouvert</t>
        </is>
      </c>
      <c r="N41" s="9" t="inlineStr">
        <is>
          <t>ouvert 7j/7</t>
        </is>
      </c>
      <c r="O41" s="9" t="n">
        <v>0</v>
      </c>
      <c r="P41" s="9" t="inlineStr">
        <is>
          <t>Pas de soir libre</t>
        </is>
      </c>
      <c r="Q41" s="12" t="inlineStr">
        <is>
          <t>À contacter</t>
        </is>
      </c>
      <c r="R41" s="13" t="n"/>
      <c r="S41" s="12" t="inlineStr">
        <is>
          <t>Reconfirmer jours et horaires</t>
        </is>
      </c>
      <c r="T41" s="12" t="n"/>
      <c r="U41" s="12" t="n"/>
      <c r="V41" s="9" t="inlineStr">
        <is>
          <t>https://www.gillespudlowski.com/recherche/Restaurants/0/France/Paris/Paris/75006/</t>
        </is>
      </c>
    </row>
    <row r="42">
      <c r="A42" s="9" t="inlineStr">
        <is>
          <t>Très haut de gamme (base)</t>
        </is>
      </c>
      <c r="B42" s="9" t="inlineStr">
        <is>
          <t>Lily Wang</t>
        </is>
      </c>
      <c r="C42" s="9" t="n">
        <v>7</v>
      </c>
      <c r="D42" s="9" t="inlineStr">
        <is>
          <t>40 Avenue Duquesne - 75007 Paris</t>
        </is>
      </c>
      <c r="E42" s="9" t="inlineStr">
        <is>
          <t>asiatiques</t>
        </is>
      </c>
      <c r="F42" s="9" t="n">
        <v>100</v>
      </c>
      <c r="G42" s="10" t="inlineStr">
        <is>
          <t>Ouvert</t>
        </is>
      </c>
      <c r="H42" s="10" t="inlineStr">
        <is>
          <t>Ouvert</t>
        </is>
      </c>
      <c r="I42" s="10" t="inlineStr">
        <is>
          <t>Ouvert</t>
        </is>
      </c>
      <c r="J42" s="10" t="inlineStr">
        <is>
          <t>Ouvert</t>
        </is>
      </c>
      <c r="K42" s="10" t="inlineStr">
        <is>
          <t>Ouvert</t>
        </is>
      </c>
      <c r="L42" s="10" t="inlineStr">
        <is>
          <t>Ouvert</t>
        </is>
      </c>
      <c r="M42" s="10" t="inlineStr">
        <is>
          <t>Ouvert</t>
        </is>
      </c>
      <c r="N42" s="9" t="inlineStr">
        <is>
          <t>ouvert 7j/7</t>
        </is>
      </c>
      <c r="O42" s="9" t="n">
        <v>0</v>
      </c>
      <c r="P42" s="9" t="inlineStr">
        <is>
          <t>Pas de soir libre</t>
        </is>
      </c>
      <c r="Q42" s="12" t="inlineStr">
        <is>
          <t>À contacter</t>
        </is>
      </c>
      <c r="R42" s="13" t="n"/>
      <c r="S42" s="12" t="inlineStr">
        <is>
          <t>Reconfirmer jours et horaires</t>
        </is>
      </c>
      <c r="T42" s="12" t="n"/>
      <c r="U42" s="12" t="n"/>
      <c r="V42" s="9" t="inlineStr">
        <is>
          <t>https://www.gillespudlowski.com/recherche/Restaurants/0/France/Paris/Paris/75007/</t>
        </is>
      </c>
    </row>
    <row r="43">
      <c r="A43" s="9" t="inlineStr">
        <is>
          <t>Très haut de gamme (base)</t>
        </is>
      </c>
      <c r="B43" s="9" t="inlineStr">
        <is>
          <t>Aqua Kyoto</t>
        </is>
      </c>
      <c r="C43" s="9" t="n">
        <v>8</v>
      </c>
      <c r="D43" s="9" t="inlineStr">
        <is>
          <t>26 avenue des Champs-Élysées - 75008 Paris</t>
        </is>
      </c>
      <c r="E43" s="9" t="inlineStr">
        <is>
          <t>gastronomiques, japonais</t>
        </is>
      </c>
      <c r="F43" s="9" t="n">
        <v>110</v>
      </c>
      <c r="G43" s="10" t="inlineStr">
        <is>
          <t>Ouvert</t>
        </is>
      </c>
      <c r="H43" s="10" t="inlineStr">
        <is>
          <t>Ouvert</t>
        </is>
      </c>
      <c r="I43" s="10" t="inlineStr">
        <is>
          <t>Ouvert</t>
        </is>
      </c>
      <c r="J43" s="10" t="inlineStr">
        <is>
          <t>Ouvert</t>
        </is>
      </c>
      <c r="K43" s="10" t="inlineStr">
        <is>
          <t>Ouvert</t>
        </is>
      </c>
      <c r="L43" s="10" t="inlineStr">
        <is>
          <t>Ouvert</t>
        </is>
      </c>
      <c r="M43" s="10" t="inlineStr">
        <is>
          <t>Ouvert</t>
        </is>
      </c>
      <c r="N43" s="9" t="inlineStr">
        <is>
          <t>ouvert 7j/7</t>
        </is>
      </c>
      <c r="O43" s="9" t="n">
        <v>0</v>
      </c>
      <c r="P43" s="9" t="inlineStr">
        <is>
          <t>Pas de soir libre</t>
        </is>
      </c>
      <c r="Q43" s="12" t="inlineStr">
        <is>
          <t>À contacter</t>
        </is>
      </c>
      <c r="R43" s="13" t="n"/>
      <c r="S43" s="12" t="inlineStr">
        <is>
          <t>Reconfirmer jours et horaires</t>
        </is>
      </c>
      <c r="T43" s="12" t="n"/>
      <c r="U43" s="12" t="n"/>
      <c r="V43" s="9" t="inlineStr">
        <is>
          <t>https://www.gillespudlowski.com/recherche/Restaurants/0/France/Paris/Paris/75008/</t>
        </is>
      </c>
    </row>
    <row r="44">
      <c r="A44" s="9" t="inlineStr">
        <is>
          <t>Très haut de gamme (base)</t>
        </is>
      </c>
      <c r="B44" s="9" t="inlineStr">
        <is>
          <t>Le Fouquet's</t>
        </is>
      </c>
      <c r="C44" s="9" t="n">
        <v>8</v>
      </c>
      <c r="D44" s="9" t="inlineStr">
        <is>
          <t>99 avenue des Champs-Elysées - 75008 Paris</t>
        </is>
      </c>
      <c r="E44" s="9" t="inlineStr">
        <is>
          <t>Brasseries, français</t>
        </is>
      </c>
      <c r="F44" s="9" t="n">
        <v>138</v>
      </c>
      <c r="G44" s="10" t="inlineStr">
        <is>
          <t>Ouvert</t>
        </is>
      </c>
      <c r="H44" s="10" t="inlineStr">
        <is>
          <t>Ouvert</t>
        </is>
      </c>
      <c r="I44" s="10" t="inlineStr">
        <is>
          <t>Ouvert</t>
        </is>
      </c>
      <c r="J44" s="10" t="inlineStr">
        <is>
          <t>Ouvert</t>
        </is>
      </c>
      <c r="K44" s="10" t="inlineStr">
        <is>
          <t>Ouvert</t>
        </is>
      </c>
      <c r="L44" s="10" t="inlineStr">
        <is>
          <t>Ouvert</t>
        </is>
      </c>
      <c r="M44" s="10" t="inlineStr">
        <is>
          <t>Ouvert</t>
        </is>
      </c>
      <c r="N44" s="9" t="inlineStr">
        <is>
          <t>ouvert 7j/7</t>
        </is>
      </c>
      <c r="O44" s="9" t="n">
        <v>0</v>
      </c>
      <c r="P44" s="9" t="inlineStr">
        <is>
          <t>Pas de soir libre</t>
        </is>
      </c>
      <c r="Q44" s="12" t="inlineStr">
        <is>
          <t>À contacter</t>
        </is>
      </c>
      <c r="R44" s="13" t="n"/>
      <c r="S44" s="12" t="inlineStr">
        <is>
          <t>Reconfirmer jours et horaires</t>
        </is>
      </c>
      <c r="T44" s="12" t="n"/>
      <c r="U44" s="12" t="n"/>
      <c r="V44" s="9" t="inlineStr">
        <is>
          <t>https://www.gillespudlowski.com/recherche/Restaurants/0/France/Paris/Paris/75008/</t>
        </is>
      </c>
    </row>
    <row r="45">
      <c r="A45" s="9" t="inlineStr">
        <is>
          <t>Très haut de gamme (base)</t>
        </is>
      </c>
      <c r="B45" s="9" t="inlineStr">
        <is>
          <t>Pavyllon au Pavillon Ledoyen</t>
        </is>
      </c>
      <c r="C45" s="9" t="n">
        <v>8</v>
      </c>
      <c r="D45" s="9" t="inlineStr">
        <is>
          <t>carré des Champs-Elysées, 8 avenue Dutuit - 75008 Paris</t>
        </is>
      </c>
      <c r="E45" s="9" t="inlineStr">
        <is>
          <t>français, gastronomiques</t>
        </is>
      </c>
      <c r="F45" s="9" t="n">
        <v>200</v>
      </c>
      <c r="G45" s="10" t="inlineStr">
        <is>
          <t>Ouvert</t>
        </is>
      </c>
      <c r="H45" s="10" t="inlineStr">
        <is>
          <t>Ouvert</t>
        </is>
      </c>
      <c r="I45" s="10" t="inlineStr">
        <is>
          <t>Ouvert</t>
        </is>
      </c>
      <c r="J45" s="10" t="inlineStr">
        <is>
          <t>Ouvert</t>
        </is>
      </c>
      <c r="K45" s="10" t="inlineStr">
        <is>
          <t>Ouvert</t>
        </is>
      </c>
      <c r="L45" s="10" t="inlineStr">
        <is>
          <t>Ouvert</t>
        </is>
      </c>
      <c r="M45" s="10" t="inlineStr">
        <is>
          <t>Ouvert</t>
        </is>
      </c>
      <c r="N45" s="9" t="inlineStr">
        <is>
          <t>ouvert 7j/7</t>
        </is>
      </c>
      <c r="O45" s="9" t="n">
        <v>0</v>
      </c>
      <c r="P45" s="9" t="inlineStr">
        <is>
          <t>Pas de soir libre</t>
        </is>
      </c>
      <c r="Q45" s="12" t="inlineStr">
        <is>
          <t>À contacter</t>
        </is>
      </c>
      <c r="R45" s="13" t="n"/>
      <c r="S45" s="12" t="inlineStr">
        <is>
          <t>Reconfirmer jours et horaires</t>
        </is>
      </c>
      <c r="T45" s="12" t="n"/>
      <c r="U45" s="12" t="n"/>
      <c r="V45" s="9" t="inlineStr">
        <is>
          <t>https://www.gillespudlowski.com/recherche/Restaurants/0/France/Paris/Paris/75008/</t>
        </is>
      </c>
    </row>
    <row r="46">
      <c r="A46" s="9" t="inlineStr">
        <is>
          <t>Très haut de gamme (base)</t>
        </is>
      </c>
      <c r="B46" s="9" t="inlineStr">
        <is>
          <t>Onyx</t>
        </is>
      </c>
      <c r="C46" s="9" t="n">
        <v>9</v>
      </c>
      <c r="D46" s="9" t="inlineStr">
        <is>
          <t>71, rue de Provence - 75009 Paris</t>
        </is>
      </c>
      <c r="E46" s="9" t="inlineStr">
        <is>
          <t>français, gastronomiques</t>
        </is>
      </c>
      <c r="F46" s="9" t="n">
        <v>95</v>
      </c>
      <c r="G46" s="10" t="inlineStr">
        <is>
          <t>Ouvert</t>
        </is>
      </c>
      <c r="H46" s="10" t="inlineStr">
        <is>
          <t>Ouvert</t>
        </is>
      </c>
      <c r="I46" s="10" t="inlineStr">
        <is>
          <t>Ouvert</t>
        </is>
      </c>
      <c r="J46" s="10" t="inlineStr">
        <is>
          <t>Ouvert</t>
        </is>
      </c>
      <c r="K46" s="10" t="inlineStr">
        <is>
          <t>Ouvert</t>
        </is>
      </c>
      <c r="L46" s="10" t="inlineStr">
        <is>
          <t>Ouvert</t>
        </is>
      </c>
      <c r="M46" s="10" t="inlineStr">
        <is>
          <t>Ouvert</t>
        </is>
      </c>
      <c r="N46" s="9" t="inlineStr">
        <is>
          <t>ouvert 7j/7</t>
        </is>
      </c>
      <c r="O46" s="9" t="n">
        <v>0</v>
      </c>
      <c r="P46" s="9" t="inlineStr">
        <is>
          <t>Pas de soir libre</t>
        </is>
      </c>
      <c r="Q46" s="12" t="inlineStr">
        <is>
          <t>À contacter</t>
        </is>
      </c>
      <c r="R46" s="13" t="n"/>
      <c r="S46" s="12" t="inlineStr">
        <is>
          <t>Reconfirmer jours et horaires</t>
        </is>
      </c>
      <c r="T46" s="12" t="n"/>
      <c r="U46" s="12" t="n"/>
      <c r="V46" s="9" t="inlineStr">
        <is>
          <t>https://www.gillespudlowski.com/recherche/Restaurants/0/France/Paris/Paris/75009/</t>
        </is>
      </c>
    </row>
    <row r="47">
      <c r="A47" s="9" t="inlineStr">
        <is>
          <t>Très haut de gamme (base)</t>
        </is>
      </c>
      <c r="B47" s="9" t="inlineStr">
        <is>
          <t>Le Train Bleu</t>
        </is>
      </c>
      <c r="C47" s="9" t="n">
        <v>12</v>
      </c>
      <c r="D47" s="9" t="inlineStr">
        <is>
          <t>Gare de Lyon, place Louis Armand - 75012 Paris</t>
        </is>
      </c>
      <c r="E47" s="9" t="inlineStr">
        <is>
          <t>français</t>
        </is>
      </c>
      <c r="F47" s="9" t="n">
        <v>120</v>
      </c>
      <c r="G47" s="10" t="inlineStr">
        <is>
          <t>Ouvert</t>
        </is>
      </c>
      <c r="H47" s="10" t="inlineStr">
        <is>
          <t>Ouvert</t>
        </is>
      </c>
      <c r="I47" s="10" t="inlineStr">
        <is>
          <t>Ouvert</t>
        </is>
      </c>
      <c r="J47" s="10" t="inlineStr">
        <is>
          <t>Ouvert</t>
        </is>
      </c>
      <c r="K47" s="10" t="inlineStr">
        <is>
          <t>Ouvert</t>
        </is>
      </c>
      <c r="L47" s="10" t="inlineStr">
        <is>
          <t>Ouvert</t>
        </is>
      </c>
      <c r="M47" s="10" t="inlineStr">
        <is>
          <t>Ouvert</t>
        </is>
      </c>
      <c r="N47" s="9" t="inlineStr">
        <is>
          <t>ouvert 7j/7</t>
        </is>
      </c>
      <c r="O47" s="9" t="n">
        <v>0</v>
      </c>
      <c r="P47" s="9" t="inlineStr">
        <is>
          <t>Pas de soir libre</t>
        </is>
      </c>
      <c r="Q47" s="12" t="inlineStr">
        <is>
          <t>À contacter</t>
        </is>
      </c>
      <c r="R47" s="13" t="n"/>
      <c r="S47" s="12" t="inlineStr">
        <is>
          <t>Reconfirmer jours et horaires</t>
        </is>
      </c>
      <c r="T47" s="12" t="n"/>
      <c r="U47" s="12" t="n"/>
      <c r="V47" s="9" t="inlineStr">
        <is>
          <t>https://www.gillespudlowski.com/recherche/Restaurants/0/France/Paris/Paris/75012/</t>
        </is>
      </c>
    </row>
    <row r="48">
      <c r="A48" s="9" t="inlineStr">
        <is>
          <t>Très haut de gamme (base)</t>
        </is>
      </c>
      <c r="B48" s="9" t="inlineStr">
        <is>
          <t>Le Dôme</t>
        </is>
      </c>
      <c r="C48" s="9" t="n">
        <v>14</v>
      </c>
      <c r="D48" s="9" t="inlineStr">
        <is>
          <t>108 boulevard du Montparnasse - 75014 Paris</t>
        </is>
      </c>
      <c r="E48" s="9" t="inlineStr">
        <is>
          <t>Brasseries, français</t>
        </is>
      </c>
      <c r="F48" s="9" t="n">
        <v>115</v>
      </c>
      <c r="G48" s="10" t="inlineStr">
        <is>
          <t>Ouvert</t>
        </is>
      </c>
      <c r="H48" s="10" t="inlineStr">
        <is>
          <t>Ouvert</t>
        </is>
      </c>
      <c r="I48" s="10" t="inlineStr">
        <is>
          <t>Ouvert</t>
        </is>
      </c>
      <c r="J48" s="10" t="inlineStr">
        <is>
          <t>Ouvert</t>
        </is>
      </c>
      <c r="K48" s="10" t="inlineStr">
        <is>
          <t>Ouvert</t>
        </is>
      </c>
      <c r="L48" s="10" t="inlineStr">
        <is>
          <t>Ouvert</t>
        </is>
      </c>
      <c r="M48" s="10" t="inlineStr">
        <is>
          <t>Ouvert</t>
        </is>
      </c>
      <c r="N48" s="9" t="inlineStr">
        <is>
          <t>ouvert 7j/7</t>
        </is>
      </c>
      <c r="O48" s="9" t="n">
        <v>0</v>
      </c>
      <c r="P48" s="9" t="inlineStr">
        <is>
          <t>Pas de soir libre</t>
        </is>
      </c>
      <c r="Q48" s="12" t="inlineStr">
        <is>
          <t>À contacter</t>
        </is>
      </c>
      <c r="R48" s="13" t="n"/>
      <c r="S48" s="12" t="inlineStr">
        <is>
          <t>Reconfirmer jours et horaires</t>
        </is>
      </c>
      <c r="T48" s="12" t="n"/>
      <c r="U48" s="12" t="n"/>
      <c r="V48" s="9" t="inlineStr">
        <is>
          <t>https://www.gillespudlowski.com/recherche/Restaurants/0/France/Paris/Paris/75014/</t>
        </is>
      </c>
    </row>
    <row r="49">
      <c r="A49" s="9" t="inlineStr">
        <is>
          <t>Très haut de gamme (base)</t>
        </is>
      </c>
      <c r="B49" s="9" t="inlineStr">
        <is>
          <t>La Grande Cascade</t>
        </is>
      </c>
      <c r="C49" s="9" t="n">
        <v>16</v>
      </c>
      <c r="D49" s="9" t="inlineStr">
        <is>
          <t>allée de Longchamp, bois de Boulogne - 75016 Paris</t>
        </is>
      </c>
      <c r="E49" s="9" t="inlineStr">
        <is>
          <t>français, gastronomiques</t>
        </is>
      </c>
      <c r="F49" s="9" t="n">
        <v>300</v>
      </c>
      <c r="G49" s="10" t="inlineStr">
        <is>
          <t>Ouvert</t>
        </is>
      </c>
      <c r="H49" s="10" t="inlineStr">
        <is>
          <t>Ouvert</t>
        </is>
      </c>
      <c r="I49" s="10" t="inlineStr">
        <is>
          <t>Ouvert</t>
        </is>
      </c>
      <c r="J49" s="10" t="inlineStr">
        <is>
          <t>Ouvert</t>
        </is>
      </c>
      <c r="K49" s="10" t="inlineStr">
        <is>
          <t>Ouvert</t>
        </is>
      </c>
      <c r="L49" s="10" t="inlineStr">
        <is>
          <t>Ouvert</t>
        </is>
      </c>
      <c r="M49" s="10" t="inlineStr">
        <is>
          <t>Ouvert</t>
        </is>
      </c>
      <c r="N49" s="9" t="inlineStr">
        <is>
          <t>ouvert 7j/7</t>
        </is>
      </c>
      <c r="O49" s="9" t="n">
        <v>0</v>
      </c>
      <c r="P49" s="9" t="inlineStr">
        <is>
          <t>Pas de soir libre</t>
        </is>
      </c>
      <c r="Q49" s="12" t="inlineStr">
        <is>
          <t>À contacter</t>
        </is>
      </c>
      <c r="R49" s="13" t="n"/>
      <c r="S49" s="12" t="inlineStr">
        <is>
          <t>Reconfirmer jours et horaires</t>
        </is>
      </c>
      <c r="T49" s="12" t="n"/>
      <c r="U49" s="12" t="n"/>
      <c r="V49" s="9" t="inlineStr">
        <is>
          <t>https://www.gillespudlowski.com/recherche/Restaurants/0/France/Paris/Paris/75016/</t>
        </is>
      </c>
    </row>
    <row r="50">
      <c r="A50" s="14" t="inlineStr">
        <is>
          <t>Proposition : haut de gamme élargi</t>
        </is>
      </c>
      <c r="B50" s="15" t="inlineStr">
        <is>
          <t>Nosso</t>
        </is>
      </c>
      <c r="C50" s="15" t="n">
        <v>13</v>
      </c>
      <c r="D50" s="15" t="inlineStr">
        <is>
          <t>22 Promenade Claude Lévi-Strauss - 75013 Paris</t>
        </is>
      </c>
      <c r="E50" s="15" t="inlineStr">
        <is>
          <t>français, gastronomiques</t>
        </is>
      </c>
      <c r="F50" s="15" t="n">
        <v>80</v>
      </c>
      <c r="G50" s="16" t="inlineStr">
        <is>
          <t>Ouvert</t>
        </is>
      </c>
      <c r="H50" s="16" t="inlineStr">
        <is>
          <t>Ouvert</t>
        </is>
      </c>
      <c r="I50" s="16" t="inlineStr">
        <is>
          <t>Ouvert</t>
        </is>
      </c>
      <c r="J50" s="16" t="inlineStr">
        <is>
          <t>Ouvert</t>
        </is>
      </c>
      <c r="K50" s="16" t="inlineStr">
        <is>
          <t>Ouvert</t>
        </is>
      </c>
      <c r="L50" s="11" t="inlineStr">
        <is>
          <t>Libre</t>
        </is>
      </c>
      <c r="M50" s="11" t="inlineStr">
        <is>
          <t>Libre</t>
        </is>
      </c>
      <c r="N50" s="15" t="inlineStr">
        <is>
          <t>Samedi, dimanche</t>
        </is>
      </c>
      <c r="O50" s="15" t="n">
        <v>2</v>
      </c>
      <c r="P50" s="15" t="inlineStr">
        <is>
          <t>A</t>
        </is>
      </c>
      <c r="Q50" s="12" t="inlineStr">
        <is>
          <t>À contacter</t>
        </is>
      </c>
      <c r="R50" s="13" t="n"/>
      <c r="S50" s="12" t="inlineStr">
        <is>
          <t>Reconfirmer jours et horaires</t>
        </is>
      </c>
      <c r="T50" s="12" t="n"/>
      <c r="U50" s="12" t="n"/>
      <c r="V50" s="15" t="inlineStr">
        <is>
          <t>https://www.gillespudlowski.com/recherche/Restaurants/0/France/Paris/Paris/75013/</t>
        </is>
      </c>
    </row>
    <row r="51">
      <c r="A51" s="14" t="inlineStr">
        <is>
          <t>Proposition : haut de gamme élargi</t>
        </is>
      </c>
      <c r="B51" s="15" t="inlineStr">
        <is>
          <t>Bistrot Flaubert</t>
        </is>
      </c>
      <c r="C51" s="15" t="n">
        <v>17</v>
      </c>
      <c r="D51" s="15" t="inlineStr">
        <is>
          <t>10 rue Gustave-Flaubert - 75017 Paris</t>
        </is>
      </c>
      <c r="E51" s="15" t="inlineStr">
        <is>
          <t>Bistrots, français</t>
        </is>
      </c>
      <c r="F51" s="15" t="n">
        <v>85</v>
      </c>
      <c r="G51" s="16" t="inlineStr">
        <is>
          <t>Ouvert</t>
        </is>
      </c>
      <c r="H51" s="16" t="inlineStr">
        <is>
          <t>Ouvert</t>
        </is>
      </c>
      <c r="I51" s="16" t="inlineStr">
        <is>
          <t>Ouvert</t>
        </is>
      </c>
      <c r="J51" s="16" t="inlineStr">
        <is>
          <t>Ouvert</t>
        </is>
      </c>
      <c r="K51" s="16" t="inlineStr">
        <is>
          <t>Ouvert</t>
        </is>
      </c>
      <c r="L51" s="11" t="inlineStr">
        <is>
          <t>Libre</t>
        </is>
      </c>
      <c r="M51" s="11" t="inlineStr">
        <is>
          <t>Libre</t>
        </is>
      </c>
      <c r="N51" s="15" t="inlineStr">
        <is>
          <t>Samedi, dimanche</t>
        </is>
      </c>
      <c r="O51" s="15" t="n">
        <v>2</v>
      </c>
      <c r="P51" s="15" t="inlineStr">
        <is>
          <t>A</t>
        </is>
      </c>
      <c r="Q51" s="12" t="inlineStr">
        <is>
          <t>À contacter</t>
        </is>
      </c>
      <c r="R51" s="13" t="n"/>
      <c r="S51" s="12" t="inlineStr">
        <is>
          <t>Reconfirmer jours et horaires</t>
        </is>
      </c>
      <c r="T51" s="12" t="n"/>
      <c r="U51" s="12" t="n"/>
      <c r="V51" s="15" t="inlineStr">
        <is>
          <t>https://www.gillespudlowski.com/recherche/Restaurants/0/France/Paris/Paris/75017/</t>
        </is>
      </c>
    </row>
    <row r="52">
      <c r="A52" s="14" t="inlineStr">
        <is>
          <t>Proposition : haut de gamme élargi</t>
        </is>
      </c>
      <c r="B52" s="15" t="inlineStr">
        <is>
          <t>Vong</t>
        </is>
      </c>
      <c r="C52" s="15" t="n">
        <v>1</v>
      </c>
      <c r="D52" s="15" t="inlineStr">
        <is>
          <t>10, rue de la Grande Truanderie, 75001 Paris</t>
        </is>
      </c>
      <c r="E52" s="15" t="inlineStr">
        <is>
          <t>chinois</t>
        </is>
      </c>
      <c r="F52" s="15" t="n">
        <v>90</v>
      </c>
      <c r="G52" s="11" t="inlineStr">
        <is>
          <t>Libre</t>
        </is>
      </c>
      <c r="H52" s="16" t="inlineStr">
        <is>
          <t>Ouvert</t>
        </is>
      </c>
      <c r="I52" s="16" t="inlineStr">
        <is>
          <t>Ouvert</t>
        </is>
      </c>
      <c r="J52" s="16" t="inlineStr">
        <is>
          <t>Ouvert</t>
        </is>
      </c>
      <c r="K52" s="16" t="inlineStr">
        <is>
          <t>Ouvert</t>
        </is>
      </c>
      <c r="L52" s="16" t="inlineStr">
        <is>
          <t>Ouvert</t>
        </is>
      </c>
      <c r="M52" s="11" t="inlineStr">
        <is>
          <t>Libre</t>
        </is>
      </c>
      <c r="N52" s="15" t="inlineStr">
        <is>
          <t>Dimanche et lundi</t>
        </is>
      </c>
      <c r="O52" s="15" t="n">
        <v>2</v>
      </c>
      <c r="P52" s="15" t="inlineStr">
        <is>
          <t>B</t>
        </is>
      </c>
      <c r="Q52" s="12" t="inlineStr">
        <is>
          <t>À contacter</t>
        </is>
      </c>
      <c r="R52" s="13" t="n"/>
      <c r="S52" s="12" t="inlineStr">
        <is>
          <t>Reconfirmer jours et horaires</t>
        </is>
      </c>
      <c r="T52" s="12" t="n"/>
      <c r="U52" s="12" t="n"/>
      <c r="V52" s="15" t="inlineStr">
        <is>
          <t>https://www.gillespudlowski.com/recherche/Restaurants/0/France/Paris/Paris/75001/</t>
        </is>
      </c>
    </row>
    <row r="53">
      <c r="A53" s="14" t="inlineStr">
        <is>
          <t>Proposition : haut de gamme élargi</t>
        </is>
      </c>
      <c r="B53" s="15" t="inlineStr">
        <is>
          <t>La Fontaine Gaillon</t>
        </is>
      </c>
      <c r="C53" s="15" t="n">
        <v>2</v>
      </c>
      <c r="D53" s="15" t="inlineStr">
        <is>
          <t>place Gaillon - 75002 Paris</t>
        </is>
      </c>
      <c r="E53" s="15" t="inlineStr">
        <is>
          <t>français</t>
        </is>
      </c>
      <c r="F53" s="15" t="n">
        <v>95</v>
      </c>
      <c r="G53" s="16" t="inlineStr">
        <is>
          <t>Ouvert</t>
        </is>
      </c>
      <c r="H53" s="16" t="inlineStr">
        <is>
          <t>Ouvert</t>
        </is>
      </c>
      <c r="I53" s="16" t="inlineStr">
        <is>
          <t>Ouvert</t>
        </is>
      </c>
      <c r="J53" s="16" t="inlineStr">
        <is>
          <t>Ouvert</t>
        </is>
      </c>
      <c r="K53" s="16" t="inlineStr">
        <is>
          <t>Ouvert</t>
        </is>
      </c>
      <c r="L53" s="16" t="inlineStr">
        <is>
          <t>Ouvert</t>
        </is>
      </c>
      <c r="M53" s="11" t="inlineStr">
        <is>
          <t>Libre</t>
        </is>
      </c>
      <c r="N53" s="15" t="inlineStr">
        <is>
          <t>Samedi midi, dimanche</t>
        </is>
      </c>
      <c r="O53" s="15" t="n">
        <v>1</v>
      </c>
      <c r="P53" s="15" t="inlineStr">
        <is>
          <t>B</t>
        </is>
      </c>
      <c r="Q53" s="12" t="inlineStr">
        <is>
          <t>À contacter</t>
        </is>
      </c>
      <c r="R53" s="13" t="n"/>
      <c r="S53" s="12" t="inlineStr">
        <is>
          <t>Reconfirmer jours et horaires</t>
        </is>
      </c>
      <c r="T53" s="12" t="n"/>
      <c r="U53" s="12" t="n"/>
      <c r="V53" s="15" t="inlineStr">
        <is>
          <t>https://www.gillespudlowski.com/recherche/Restaurants/0/France/Paris/Paris/75002/</t>
        </is>
      </c>
    </row>
    <row r="54">
      <c r="A54" s="14" t="inlineStr">
        <is>
          <t>Proposition : haut de gamme élargi</t>
        </is>
      </c>
      <c r="B54" s="15" t="inlineStr">
        <is>
          <t>Le Sancerre Rive Gauche</t>
        </is>
      </c>
      <c r="C54" s="15" t="n">
        <v>7</v>
      </c>
      <c r="D54" s="15" t="inlineStr">
        <is>
          <t>22 avenue Rapp - 75007 Paris</t>
        </is>
      </c>
      <c r="E54" s="15" t="inlineStr">
        <is>
          <t>Bistrots, français</t>
        </is>
      </c>
      <c r="F54" s="15" t="n">
        <v>85</v>
      </c>
      <c r="G54" s="16" t="inlineStr">
        <is>
          <t>Ouvert</t>
        </is>
      </c>
      <c r="H54" s="16" t="inlineStr">
        <is>
          <t>Ouvert</t>
        </is>
      </c>
      <c r="I54" s="16" t="inlineStr">
        <is>
          <t>Ouvert</t>
        </is>
      </c>
      <c r="J54" s="16" t="inlineStr">
        <is>
          <t>Ouvert</t>
        </is>
      </c>
      <c r="K54" s="16" t="inlineStr">
        <is>
          <t>Ouvert</t>
        </is>
      </c>
      <c r="L54" s="16" t="inlineStr">
        <is>
          <t>Ouvert</t>
        </is>
      </c>
      <c r="M54" s="11" t="inlineStr">
        <is>
          <t>Libre</t>
        </is>
      </c>
      <c r="N54" s="15" t="inlineStr">
        <is>
          <t>Samedi midi, dimanche</t>
        </is>
      </c>
      <c r="O54" s="15" t="n">
        <v>1</v>
      </c>
      <c r="P54" s="15" t="inlineStr">
        <is>
          <t>B</t>
        </is>
      </c>
      <c r="Q54" s="12" t="inlineStr">
        <is>
          <t>À contacter</t>
        </is>
      </c>
      <c r="R54" s="13" t="n"/>
      <c r="S54" s="12" t="inlineStr">
        <is>
          <t>Reconfirmer jours et horaires</t>
        </is>
      </c>
      <c r="T54" s="12" t="n"/>
      <c r="U54" s="12" t="n"/>
      <c r="V54" s="15" t="inlineStr">
        <is>
          <t>https://www.gillespudlowski.com/recherche/Restaurants/0/France/Paris/Paris/75007/</t>
        </is>
      </c>
    </row>
    <row r="55">
      <c r="A55" s="14" t="inlineStr">
        <is>
          <t>Proposition : haut de gamme élargi</t>
        </is>
      </c>
      <c r="B55" s="15" t="inlineStr">
        <is>
          <t>La Traboule</t>
        </is>
      </c>
      <c r="C55" s="15" t="n">
        <v>8</v>
      </c>
      <c r="D55" s="15" t="inlineStr">
        <is>
          <t>27, rue de Penthièvre - 75008 Paris</t>
        </is>
      </c>
      <c r="E55" s="15" t="inlineStr">
        <is>
          <t>Cuisine internationale, italiens</t>
        </is>
      </c>
      <c r="F55" s="15" t="n">
        <v>85</v>
      </c>
      <c r="G55" s="11" t="inlineStr">
        <is>
          <t>Libre</t>
        </is>
      </c>
      <c r="H55" s="16" t="inlineStr">
        <is>
          <t>Ouvert</t>
        </is>
      </c>
      <c r="I55" s="16" t="inlineStr">
        <is>
          <t>Ouvert</t>
        </is>
      </c>
      <c r="J55" s="16" t="inlineStr">
        <is>
          <t>Ouvert</t>
        </is>
      </c>
      <c r="K55" s="16" t="inlineStr">
        <is>
          <t>Ouvert</t>
        </is>
      </c>
      <c r="L55" s="16" t="inlineStr">
        <is>
          <t>Ouvert</t>
        </is>
      </c>
      <c r="M55" s="11" t="inlineStr">
        <is>
          <t>Libre</t>
        </is>
      </c>
      <c r="N55" s="15" t="inlineStr">
        <is>
          <t>Lundi, dimanche</t>
        </is>
      </c>
      <c r="O55" s="15" t="n">
        <v>2</v>
      </c>
      <c r="P55" s="15" t="inlineStr">
        <is>
          <t>B</t>
        </is>
      </c>
      <c r="Q55" s="12" t="inlineStr">
        <is>
          <t>À contacter</t>
        </is>
      </c>
      <c r="R55" s="13" t="n"/>
      <c r="S55" s="12" t="inlineStr">
        <is>
          <t>Reconfirmer jours et horaires</t>
        </is>
      </c>
      <c r="T55" s="12" t="n"/>
      <c r="U55" s="12" t="n"/>
      <c r="V55" s="15" t="inlineStr">
        <is>
          <t>https://www.gillespudlowski.com/recherche/Restaurants/0/France/Paris/Paris/75008/</t>
        </is>
      </c>
    </row>
    <row r="56">
      <c r="A56" s="14" t="inlineStr">
        <is>
          <t>Proposition : haut de gamme élargi</t>
        </is>
      </c>
      <c r="B56" s="15" t="inlineStr">
        <is>
          <t>Da Lucrezia Osteria</t>
        </is>
      </c>
      <c r="C56" s="15" t="n">
        <v>15</v>
      </c>
      <c r="D56" s="15" t="inlineStr">
        <is>
          <t>171 rue de la Convention - 75015 Paris</t>
        </is>
      </c>
      <c r="E56" s="15" t="inlineStr">
        <is>
          <t>italiens</t>
        </is>
      </c>
      <c r="F56" s="15" t="n">
        <v>92</v>
      </c>
      <c r="G56" s="11" t="inlineStr">
        <is>
          <t>Libre</t>
        </is>
      </c>
      <c r="H56" s="16" t="inlineStr">
        <is>
          <t>Ouvert</t>
        </is>
      </c>
      <c r="I56" s="16" t="inlineStr">
        <is>
          <t>Ouvert</t>
        </is>
      </c>
      <c r="J56" s="16" t="inlineStr">
        <is>
          <t>Ouvert</t>
        </is>
      </c>
      <c r="K56" s="16" t="inlineStr">
        <is>
          <t>Ouvert</t>
        </is>
      </c>
      <c r="L56" s="16" t="inlineStr">
        <is>
          <t>Ouvert</t>
        </is>
      </c>
      <c r="M56" s="11" t="inlineStr">
        <is>
          <t>Libre</t>
        </is>
      </c>
      <c r="N56" s="15" t="inlineStr">
        <is>
          <t>Lundi, dimanche soir</t>
        </is>
      </c>
      <c r="O56" s="15" t="n">
        <v>2</v>
      </c>
      <c r="P56" s="15" t="inlineStr">
        <is>
          <t>B</t>
        </is>
      </c>
      <c r="Q56" s="12" t="inlineStr">
        <is>
          <t>À contacter</t>
        </is>
      </c>
      <c r="R56" s="13" t="n"/>
      <c r="S56" s="12" t="inlineStr">
        <is>
          <t>Reconfirmer jours et horaires</t>
        </is>
      </c>
      <c r="T56" s="12" t="n"/>
      <c r="U56" s="12" t="n"/>
      <c r="V56" s="15" t="inlineStr">
        <is>
          <t>https://www.gillespudlowski.com/recherche/Restaurants/0/France/Paris/Paris/75015/</t>
        </is>
      </c>
    </row>
    <row r="57">
      <c r="A57" s="14" t="inlineStr">
        <is>
          <t>Proposition : haut de gamme élargi</t>
        </is>
      </c>
      <c r="B57" s="15" t="inlineStr">
        <is>
          <t>Ebène</t>
        </is>
      </c>
      <c r="C57" s="15" t="n">
        <v>15</v>
      </c>
      <c r="D57" s="15" t="inlineStr">
        <is>
          <t>8, rue Falguière - 75015 Paris</t>
        </is>
      </c>
      <c r="E57" s="15" t="inlineStr">
        <is>
          <t>français</t>
        </is>
      </c>
      <c r="F57" s="15" t="n">
        <v>95</v>
      </c>
      <c r="G57" s="11" t="inlineStr">
        <is>
          <t>Libre</t>
        </is>
      </c>
      <c r="H57" s="16" t="inlineStr">
        <is>
          <t>Ouvert</t>
        </is>
      </c>
      <c r="I57" s="16" t="inlineStr">
        <is>
          <t>Ouvert</t>
        </is>
      </c>
      <c r="J57" s="16" t="inlineStr">
        <is>
          <t>Ouvert</t>
        </is>
      </c>
      <c r="K57" s="16" t="inlineStr">
        <is>
          <t>Ouvert</t>
        </is>
      </c>
      <c r="L57" s="16" t="inlineStr">
        <is>
          <t>Ouvert</t>
        </is>
      </c>
      <c r="M57" s="11" t="inlineStr">
        <is>
          <t>Libre</t>
        </is>
      </c>
      <c r="N57" s="15" t="inlineStr">
        <is>
          <t>Lundi, dimanche</t>
        </is>
      </c>
      <c r="O57" s="15" t="n">
        <v>2</v>
      </c>
      <c r="P57" s="15" t="inlineStr">
        <is>
          <t>B</t>
        </is>
      </c>
      <c r="Q57" s="12" t="inlineStr">
        <is>
          <t>À contacter</t>
        </is>
      </c>
      <c r="R57" s="13" t="n"/>
      <c r="S57" s="12" t="inlineStr">
        <is>
          <t>Reconfirmer jours et horaires</t>
        </is>
      </c>
      <c r="T57" s="12" t="n"/>
      <c r="U57" s="12" t="n"/>
      <c r="V57" s="15" t="inlineStr">
        <is>
          <t>https://www.gillespudlowski.com/recherche/Restaurants/0/France/Paris/Paris/75015/</t>
        </is>
      </c>
    </row>
    <row r="58">
      <c r="A58" s="14" t="inlineStr">
        <is>
          <t>Proposition : haut de gamme élargi</t>
        </is>
      </c>
      <c r="B58" s="15" t="inlineStr">
        <is>
          <t>Chez Suzy à l'hôtel Regina Louvre</t>
        </is>
      </c>
      <c r="C58" s="15" t="n">
        <v>1</v>
      </c>
      <c r="D58" s="15" t="inlineStr">
        <is>
          <t>2 Pl. des Pyramides, 75001 Paris</t>
        </is>
      </c>
      <c r="E58" s="15" t="inlineStr">
        <is>
          <t>Brasseries, français</t>
        </is>
      </c>
      <c r="F58" s="15" t="n">
        <v>85</v>
      </c>
      <c r="G58" s="16" t="inlineStr">
        <is>
          <t>Ouvert</t>
        </is>
      </c>
      <c r="H58" s="16" t="inlineStr">
        <is>
          <t>Ouvert</t>
        </is>
      </c>
      <c r="I58" s="16" t="inlineStr">
        <is>
          <t>Ouvert</t>
        </is>
      </c>
      <c r="J58" s="16" t="inlineStr">
        <is>
          <t>Ouvert</t>
        </is>
      </c>
      <c r="K58" s="16" t="inlineStr">
        <is>
          <t>Ouvert</t>
        </is>
      </c>
      <c r="L58" s="16" t="inlineStr">
        <is>
          <t>Ouvert</t>
        </is>
      </c>
      <c r="M58" s="16" t="inlineStr">
        <is>
          <t>Ouvert</t>
        </is>
      </c>
      <c r="N58" s="15" t="inlineStr">
        <is>
          <t>ouvert 7j/7</t>
        </is>
      </c>
      <c r="O58" s="15" t="n">
        <v>0</v>
      </c>
      <c r="P58" s="15" t="inlineStr">
        <is>
          <t>Pas de soir libre</t>
        </is>
      </c>
      <c r="Q58" s="12" t="inlineStr">
        <is>
          <t>À contacter</t>
        </is>
      </c>
      <c r="R58" s="13" t="n"/>
      <c r="S58" s="12" t="inlineStr">
        <is>
          <t>Reconfirmer jours et horaires</t>
        </is>
      </c>
      <c r="T58" s="12" t="n"/>
      <c r="U58" s="12" t="n"/>
      <c r="V58" s="15" t="inlineStr">
        <is>
          <t>https://www.gillespudlowski.com/recherche/Restaurants/0/France/Paris/Paris/75001/</t>
        </is>
      </c>
    </row>
    <row r="59">
      <c r="A59" s="14" t="inlineStr">
        <is>
          <t>Proposition : haut de gamme élargi</t>
        </is>
      </c>
      <c r="B59" s="15" t="inlineStr">
        <is>
          <t>Saku Vendôme</t>
        </is>
      </c>
      <c r="C59" s="15" t="n">
        <v>1</v>
      </c>
      <c r="D59" s="15" t="inlineStr">
        <is>
          <t>9 Rue du Mont Thabor, 75001 Paris</t>
        </is>
      </c>
      <c r="E59" s="15" t="inlineStr">
        <is>
          <t>japonais</t>
        </is>
      </c>
      <c r="F59" s="15" t="n">
        <v>80</v>
      </c>
      <c r="G59" s="16" t="inlineStr">
        <is>
          <t>Ouvert</t>
        </is>
      </c>
      <c r="H59" s="16" t="inlineStr">
        <is>
          <t>Ouvert</t>
        </is>
      </c>
      <c r="I59" s="16" t="inlineStr">
        <is>
          <t>Ouvert</t>
        </is>
      </c>
      <c r="J59" s="16" t="inlineStr">
        <is>
          <t>Ouvert</t>
        </is>
      </c>
      <c r="K59" s="16" t="inlineStr">
        <is>
          <t>Ouvert</t>
        </is>
      </c>
      <c r="L59" s="16" t="inlineStr">
        <is>
          <t>Ouvert</t>
        </is>
      </c>
      <c r="M59" s="16" t="inlineStr">
        <is>
          <t>Ouvert</t>
        </is>
      </c>
      <c r="N59" s="15" t="inlineStr">
        <is>
          <t>ouvert 7j/7</t>
        </is>
      </c>
      <c r="O59" s="15" t="n">
        <v>0</v>
      </c>
      <c r="P59" s="15" t="inlineStr">
        <is>
          <t>Pas de soir libre</t>
        </is>
      </c>
      <c r="Q59" s="12" t="inlineStr">
        <is>
          <t>À contacter</t>
        </is>
      </c>
      <c r="R59" s="13" t="n"/>
      <c r="S59" s="12" t="inlineStr">
        <is>
          <t>Reconfirmer jours et horaires</t>
        </is>
      </c>
      <c r="T59" s="12" t="n"/>
      <c r="U59" s="12" t="n"/>
      <c r="V59" s="15" t="inlineStr">
        <is>
          <t>https://www.gillespudlowski.com/recherche/Restaurants/0/France/Paris/Paris/75001/</t>
        </is>
      </c>
    </row>
    <row r="60">
      <c r="A60" s="14" t="inlineStr">
        <is>
          <t>Proposition : haut de gamme élargi</t>
        </is>
      </c>
      <c r="B60" s="15" t="inlineStr">
        <is>
          <t>Au Top</t>
        </is>
      </c>
      <c r="C60" s="15" t="n">
        <v>3</v>
      </c>
      <c r="D60" s="15" t="inlineStr">
        <is>
          <t>93, Rue Vieille du Temple - 75003 Paris</t>
        </is>
      </c>
      <c r="E60" s="15" t="inlineStr">
        <is>
          <t>français</t>
        </is>
      </c>
      <c r="F60" s="15" t="n">
        <v>90</v>
      </c>
      <c r="G60" s="16" t="inlineStr">
        <is>
          <t>Ouvert</t>
        </is>
      </c>
      <c r="H60" s="16" t="inlineStr">
        <is>
          <t>Ouvert</t>
        </is>
      </c>
      <c r="I60" s="16" t="inlineStr">
        <is>
          <t>Ouvert</t>
        </is>
      </c>
      <c r="J60" s="16" t="inlineStr">
        <is>
          <t>Ouvert</t>
        </is>
      </c>
      <c r="K60" s="16" t="inlineStr">
        <is>
          <t>Ouvert</t>
        </is>
      </c>
      <c r="L60" s="16" t="inlineStr">
        <is>
          <t>Ouvert</t>
        </is>
      </c>
      <c r="M60" s="16" t="inlineStr">
        <is>
          <t>Ouvert</t>
        </is>
      </c>
      <c r="N60" s="15" t="inlineStr">
        <is>
          <t>ouvert 7j/7</t>
        </is>
      </c>
      <c r="O60" s="15" t="n">
        <v>0</v>
      </c>
      <c r="P60" s="15" t="inlineStr">
        <is>
          <t>Pas de soir libre</t>
        </is>
      </c>
      <c r="Q60" s="12" t="inlineStr">
        <is>
          <t>À contacter</t>
        </is>
      </c>
      <c r="R60" s="13" t="n"/>
      <c r="S60" s="12" t="inlineStr">
        <is>
          <t>Reconfirmer jours et horaires</t>
        </is>
      </c>
      <c r="T60" s="12" t="n"/>
      <c r="U60" s="12" t="n"/>
      <c r="V60" s="15" t="inlineStr">
        <is>
          <t>https://www.gillespudlowski.com/recherche/Restaurants/0/France/Paris/Paris/75003/</t>
        </is>
      </c>
    </row>
    <row r="61">
      <c r="A61" s="14" t="inlineStr">
        <is>
          <t>Proposition : haut de gamme élargi</t>
        </is>
      </c>
      <c r="B61" s="15" t="inlineStr">
        <is>
          <t>Armani Caffè</t>
        </is>
      </c>
      <c r="C61" s="15" t="n">
        <v>6</v>
      </c>
      <c r="D61" s="15" t="inlineStr">
        <is>
          <t>149, boulevard Saint-Germain, 75006 Paris</t>
        </is>
      </c>
      <c r="E61" s="15" t="inlineStr">
        <is>
          <t>italiens</t>
        </is>
      </c>
      <c r="F61" s="15" t="n">
        <v>80</v>
      </c>
      <c r="G61" s="16" t="inlineStr">
        <is>
          <t>Ouvert</t>
        </is>
      </c>
      <c r="H61" s="16" t="inlineStr">
        <is>
          <t>Ouvert</t>
        </is>
      </c>
      <c r="I61" s="16" t="inlineStr">
        <is>
          <t>Ouvert</t>
        </is>
      </c>
      <c r="J61" s="16" t="inlineStr">
        <is>
          <t>Ouvert</t>
        </is>
      </c>
      <c r="K61" s="16" t="inlineStr">
        <is>
          <t>Ouvert</t>
        </is>
      </c>
      <c r="L61" s="16" t="inlineStr">
        <is>
          <t>Ouvert</t>
        </is>
      </c>
      <c r="M61" s="16" t="inlineStr">
        <is>
          <t>Ouvert</t>
        </is>
      </c>
      <c r="N61" s="15" t="inlineStr">
        <is>
          <t>ouvert 7j/7</t>
        </is>
      </c>
      <c r="O61" s="15" t="n">
        <v>0</v>
      </c>
      <c r="P61" s="15" t="inlineStr">
        <is>
          <t>Pas de soir libre</t>
        </is>
      </c>
      <c r="Q61" s="12" t="inlineStr">
        <is>
          <t>À contacter</t>
        </is>
      </c>
      <c r="R61" s="13" t="n"/>
      <c r="S61" s="12" t="inlineStr">
        <is>
          <t>Reconfirmer jours et horaires</t>
        </is>
      </c>
      <c r="T61" s="12" t="n"/>
      <c r="U61" s="12" t="n"/>
      <c r="V61" s="15" t="inlineStr">
        <is>
          <t>https://www.gillespudlowski.com/recherche/Restaurants/0/France/Paris/Paris/75006/</t>
        </is>
      </c>
    </row>
    <row r="62">
      <c r="A62" s="14" t="inlineStr">
        <is>
          <t>Proposition : haut de gamme élargi</t>
        </is>
      </c>
      <c r="B62" s="15" t="inlineStr">
        <is>
          <t>L'Auberge Bressane</t>
        </is>
      </c>
      <c r="C62" s="15" t="n">
        <v>7</v>
      </c>
      <c r="D62" s="15" t="inlineStr">
        <is>
          <t>16, avenue de La Motte-Picquet - 75007 Paris</t>
        </is>
      </c>
      <c r="E62" s="15" t="inlineStr">
        <is>
          <t>Brasseries, français</t>
        </is>
      </c>
      <c r="F62" s="15" t="n">
        <v>80</v>
      </c>
      <c r="G62" s="16" t="inlineStr">
        <is>
          <t>Ouvert</t>
        </is>
      </c>
      <c r="H62" s="16" t="inlineStr">
        <is>
          <t>Ouvert</t>
        </is>
      </c>
      <c r="I62" s="16" t="inlineStr">
        <is>
          <t>Ouvert</t>
        </is>
      </c>
      <c r="J62" s="16" t="inlineStr">
        <is>
          <t>Ouvert</t>
        </is>
      </c>
      <c r="K62" s="16" t="inlineStr">
        <is>
          <t>Ouvert</t>
        </is>
      </c>
      <c r="L62" s="16" t="inlineStr">
        <is>
          <t>Ouvert</t>
        </is>
      </c>
      <c r="M62" s="16" t="inlineStr">
        <is>
          <t>Ouvert</t>
        </is>
      </c>
      <c r="N62" s="15" t="inlineStr">
        <is>
          <t>Samedi midi</t>
        </is>
      </c>
      <c r="O62" s="15" t="n">
        <v>0</v>
      </c>
      <c r="P62" s="15" t="inlineStr">
        <is>
          <t>Pas de soir libre</t>
        </is>
      </c>
      <c r="Q62" s="12" t="inlineStr">
        <is>
          <t>À contacter</t>
        </is>
      </c>
      <c r="R62" s="13" t="n"/>
      <c r="S62" s="12" t="inlineStr">
        <is>
          <t>Reconfirmer jours et horaires</t>
        </is>
      </c>
      <c r="T62" s="12" t="n"/>
      <c r="U62" s="12" t="n"/>
      <c r="V62" s="15" t="inlineStr">
        <is>
          <t>https://www.gillespudlowski.com/recherche/Restaurants/0/France/Paris/Paris/75007/</t>
        </is>
      </c>
    </row>
    <row r="63">
      <c r="A63" s="14" t="inlineStr">
        <is>
          <t>Proposition : haut de gamme élargi</t>
        </is>
      </c>
      <c r="B63" s="15" t="inlineStr">
        <is>
          <t>La Petite Chaise</t>
        </is>
      </c>
      <c r="C63" s="15" t="n">
        <v>7</v>
      </c>
      <c r="D63" s="15" t="inlineStr">
        <is>
          <t>36 Rue de Grenelle - 75007 Paris</t>
        </is>
      </c>
      <c r="E63" s="15" t="inlineStr">
        <is>
          <t>français</t>
        </is>
      </c>
      <c r="F63" s="15" t="n">
        <v>85</v>
      </c>
      <c r="G63" s="16" t="inlineStr">
        <is>
          <t>Ouvert</t>
        </is>
      </c>
      <c r="H63" s="16" t="inlineStr">
        <is>
          <t>Ouvert</t>
        </is>
      </c>
      <c r="I63" s="16" t="inlineStr">
        <is>
          <t>Ouvert</t>
        </is>
      </c>
      <c r="J63" s="16" t="inlineStr">
        <is>
          <t>Ouvert</t>
        </is>
      </c>
      <c r="K63" s="16" t="inlineStr">
        <is>
          <t>Ouvert</t>
        </is>
      </c>
      <c r="L63" s="16" t="inlineStr">
        <is>
          <t>Ouvert</t>
        </is>
      </c>
      <c r="M63" s="16" t="inlineStr">
        <is>
          <t>Ouvert</t>
        </is>
      </c>
      <c r="N63" s="15" t="inlineStr">
        <is>
          <t>ouvert 7j/7</t>
        </is>
      </c>
      <c r="O63" s="15" t="n">
        <v>0</v>
      </c>
      <c r="P63" s="15" t="inlineStr">
        <is>
          <t>Pas de soir libre</t>
        </is>
      </c>
      <c r="Q63" s="12" t="inlineStr">
        <is>
          <t>À contacter</t>
        </is>
      </c>
      <c r="R63" s="13" t="n"/>
      <c r="S63" s="12" t="inlineStr">
        <is>
          <t>Reconfirmer jours et horaires</t>
        </is>
      </c>
      <c r="T63" s="12" t="n"/>
      <c r="U63" s="12" t="n"/>
      <c r="V63" s="15" t="inlineStr">
        <is>
          <t>https://www.gillespudlowski.com/recherche/Restaurants/0/France/Paris/Paris/75007/</t>
        </is>
      </c>
    </row>
    <row r="64">
      <c r="A64" s="14" t="inlineStr">
        <is>
          <t>Proposition : haut de gamme élargi</t>
        </is>
      </c>
      <c r="B64" s="15" t="inlineStr">
        <is>
          <t>Le Café de l'Esplanade</t>
        </is>
      </c>
      <c r="C64" s="15" t="n">
        <v>7</v>
      </c>
      <c r="D64" s="15" t="inlineStr">
        <is>
          <t>52, rue Fabert - 75007 Paris</t>
        </is>
      </c>
      <c r="E64" s="15" t="inlineStr">
        <is>
          <t>français</t>
        </is>
      </c>
      <c r="F64" s="15" t="n">
        <v>92</v>
      </c>
      <c r="G64" s="16" t="inlineStr">
        <is>
          <t>Ouvert</t>
        </is>
      </c>
      <c r="H64" s="16" t="inlineStr">
        <is>
          <t>Ouvert</t>
        </is>
      </c>
      <c r="I64" s="16" t="inlineStr">
        <is>
          <t>Ouvert</t>
        </is>
      </c>
      <c r="J64" s="16" t="inlineStr">
        <is>
          <t>Ouvert</t>
        </is>
      </c>
      <c r="K64" s="16" t="inlineStr">
        <is>
          <t>Ouvert</t>
        </is>
      </c>
      <c r="L64" s="16" t="inlineStr">
        <is>
          <t>Ouvert</t>
        </is>
      </c>
      <c r="M64" s="16" t="inlineStr">
        <is>
          <t>Ouvert</t>
        </is>
      </c>
      <c r="N64" s="15" t="inlineStr">
        <is>
          <t>ouvert 7j/7</t>
        </is>
      </c>
      <c r="O64" s="15" t="n">
        <v>0</v>
      </c>
      <c r="P64" s="15" t="inlineStr">
        <is>
          <t>Pas de soir libre</t>
        </is>
      </c>
      <c r="Q64" s="12" t="inlineStr">
        <is>
          <t>À contacter</t>
        </is>
      </c>
      <c r="R64" s="13" t="n"/>
      <c r="S64" s="12" t="inlineStr">
        <is>
          <t>Reconfirmer jours et horaires</t>
        </is>
      </c>
      <c r="T64" s="12" t="n"/>
      <c r="U64" s="12" t="n"/>
      <c r="V64" s="15" t="inlineStr">
        <is>
          <t>https://www.gillespudlowski.com/recherche/Restaurants/0/France/Paris/Paris/75007/</t>
        </is>
      </c>
    </row>
    <row r="65">
      <c r="A65" s="14" t="inlineStr">
        <is>
          <t>Proposition : haut de gamme élargi</t>
        </is>
      </c>
      <c r="B65" s="15" t="inlineStr">
        <is>
          <t>Vendémiaire</t>
        </is>
      </c>
      <c r="C65" s="15" t="n">
        <v>7</v>
      </c>
      <c r="D65" s="15" t="inlineStr">
        <is>
          <t>54 Bd de la Tour-Maubourg - 75007 Paris</t>
        </is>
      </c>
      <c r="E65" s="15" t="inlineStr">
        <is>
          <t>Brasseries, français</t>
        </is>
      </c>
      <c r="F65" s="15" t="n">
        <v>80</v>
      </c>
      <c r="G65" s="16" t="inlineStr">
        <is>
          <t>Ouvert</t>
        </is>
      </c>
      <c r="H65" s="16" t="inlineStr">
        <is>
          <t>Ouvert</t>
        </is>
      </c>
      <c r="I65" s="16" t="inlineStr">
        <is>
          <t>Ouvert</t>
        </is>
      </c>
      <c r="J65" s="16" t="inlineStr">
        <is>
          <t>Ouvert</t>
        </is>
      </c>
      <c r="K65" s="16" t="inlineStr">
        <is>
          <t>Ouvert</t>
        </is>
      </c>
      <c r="L65" s="16" t="inlineStr">
        <is>
          <t>Ouvert</t>
        </is>
      </c>
      <c r="M65" s="16" t="inlineStr">
        <is>
          <t>Ouvert</t>
        </is>
      </c>
      <c r="N65" s="15" t="inlineStr">
        <is>
          <t>ouvert 7j/7</t>
        </is>
      </c>
      <c r="O65" s="15" t="n">
        <v>0</v>
      </c>
      <c r="P65" s="15" t="inlineStr">
        <is>
          <t>Pas de soir libre</t>
        </is>
      </c>
      <c r="Q65" s="12" t="inlineStr">
        <is>
          <t>À contacter</t>
        </is>
      </c>
      <c r="R65" s="13" t="n"/>
      <c r="S65" s="12" t="inlineStr">
        <is>
          <t>Reconfirmer jours et horaires</t>
        </is>
      </c>
      <c r="T65" s="12" t="n"/>
      <c r="U65" s="12" t="n"/>
      <c r="V65" s="15" t="inlineStr">
        <is>
          <t>https://www.gillespudlowski.com/recherche/Restaurants/0/France/Paris/Paris/75007/</t>
        </is>
      </c>
    </row>
    <row r="66">
      <c r="A66" s="14" t="inlineStr">
        <is>
          <t>Proposition : haut de gamme élargi</t>
        </is>
      </c>
      <c r="B66" s="15" t="inlineStr">
        <is>
          <t>Le Berkeley</t>
        </is>
      </c>
      <c r="C66" s="15" t="n">
        <v>8</v>
      </c>
      <c r="D66" s="15" t="inlineStr">
        <is>
          <t>7 avenue Matignon - 75008 Paris</t>
        </is>
      </c>
      <c r="E66" s="15" t="inlineStr">
        <is>
          <t>Brasseries, français</t>
        </is>
      </c>
      <c r="F66" s="15" t="n">
        <v>92</v>
      </c>
      <c r="G66" s="16" t="inlineStr">
        <is>
          <t>Ouvert</t>
        </is>
      </c>
      <c r="H66" s="16" t="inlineStr">
        <is>
          <t>Ouvert</t>
        </is>
      </c>
      <c r="I66" s="16" t="inlineStr">
        <is>
          <t>Ouvert</t>
        </is>
      </c>
      <c r="J66" s="16" t="inlineStr">
        <is>
          <t>Ouvert</t>
        </is>
      </c>
      <c r="K66" s="16" t="inlineStr">
        <is>
          <t>Ouvert</t>
        </is>
      </c>
      <c r="L66" s="16" t="inlineStr">
        <is>
          <t>Ouvert</t>
        </is>
      </c>
      <c r="M66" s="16" t="inlineStr">
        <is>
          <t>Ouvert</t>
        </is>
      </c>
      <c r="N66" s="15" t="inlineStr">
        <is>
          <t>ouvert 7j/7</t>
        </is>
      </c>
      <c r="O66" s="15" t="n">
        <v>0</v>
      </c>
      <c r="P66" s="15" t="inlineStr">
        <is>
          <t>Pas de soir libre</t>
        </is>
      </c>
      <c r="Q66" s="12" t="inlineStr">
        <is>
          <t>À contacter</t>
        </is>
      </c>
      <c r="R66" s="13" t="n"/>
      <c r="S66" s="12" t="inlineStr">
        <is>
          <t>Reconfirmer jours et horaires</t>
        </is>
      </c>
      <c r="T66" s="12" t="n"/>
      <c r="U66" s="12" t="n"/>
      <c r="V66" s="15" t="inlineStr">
        <is>
          <t>https://www.gillespudlowski.com/recherche/Restaurants/0/France/Paris/Paris/75008/</t>
        </is>
      </c>
    </row>
    <row r="67">
      <c r="A67" s="14" t="inlineStr">
        <is>
          <t>Proposition : haut de gamme élargi</t>
        </is>
      </c>
      <c r="B67" s="15" t="inlineStr">
        <is>
          <t>Maison François 1er</t>
        </is>
      </c>
      <c r="C67" s="15" t="n">
        <v>8</v>
      </c>
      <c r="D67" s="15" t="inlineStr">
        <is>
          <t>64 Rue François 1er - 75008 Paris</t>
        </is>
      </c>
      <c r="E67" s="15" t="inlineStr">
        <is>
          <t>Brasseries</t>
        </is>
      </c>
      <c r="F67" s="15" t="n">
        <v>85</v>
      </c>
      <c r="G67" s="16" t="inlineStr">
        <is>
          <t>Ouvert</t>
        </is>
      </c>
      <c r="H67" s="16" t="inlineStr">
        <is>
          <t>Ouvert</t>
        </is>
      </c>
      <c r="I67" s="16" t="inlineStr">
        <is>
          <t>Ouvert</t>
        </is>
      </c>
      <c r="J67" s="16" t="inlineStr">
        <is>
          <t>Ouvert</t>
        </is>
      </c>
      <c r="K67" s="16" t="inlineStr">
        <is>
          <t>Ouvert</t>
        </is>
      </c>
      <c r="L67" s="16" t="inlineStr">
        <is>
          <t>Ouvert</t>
        </is>
      </c>
      <c r="M67" s="16" t="inlineStr">
        <is>
          <t>Ouvert</t>
        </is>
      </c>
      <c r="N67" s="15" t="inlineStr">
        <is>
          <t>ouvert 7j/7</t>
        </is>
      </c>
      <c r="O67" s="15" t="n">
        <v>0</v>
      </c>
      <c r="P67" s="15" t="inlineStr">
        <is>
          <t>Pas de soir libre</t>
        </is>
      </c>
      <c r="Q67" s="12" t="inlineStr">
        <is>
          <t>À contacter</t>
        </is>
      </c>
      <c r="R67" s="13" t="n"/>
      <c r="S67" s="12" t="inlineStr">
        <is>
          <t>Reconfirmer jours et horaires</t>
        </is>
      </c>
      <c r="T67" s="12" t="n"/>
      <c r="U67" s="12" t="n"/>
      <c r="V67" s="15" t="inlineStr">
        <is>
          <t>https://www.gillespudlowski.com/recherche/Restaurants/0/France/Paris/Paris/75008/</t>
        </is>
      </c>
    </row>
    <row r="68">
      <c r="A68" s="14" t="inlineStr">
        <is>
          <t>Proposition : haut de gamme élargi</t>
        </is>
      </c>
      <c r="B68" s="15" t="inlineStr">
        <is>
          <t>Grand Café Capucines</t>
        </is>
      </c>
      <c r="C68" s="15" t="n">
        <v>9</v>
      </c>
      <c r="D68" s="15" t="inlineStr">
        <is>
          <t>4 boulevard des Capucines - 75009 Paris</t>
        </is>
      </c>
      <c r="E68" s="15" t="inlineStr">
        <is>
          <t>Brasseries, français</t>
        </is>
      </c>
      <c r="F68" s="15" t="n">
        <v>82</v>
      </c>
      <c r="G68" s="16" t="inlineStr">
        <is>
          <t>Ouvert</t>
        </is>
      </c>
      <c r="H68" s="16" t="inlineStr">
        <is>
          <t>Ouvert</t>
        </is>
      </c>
      <c r="I68" s="16" t="inlineStr">
        <is>
          <t>Ouvert</t>
        </is>
      </c>
      <c r="J68" s="16" t="inlineStr">
        <is>
          <t>Ouvert</t>
        </is>
      </c>
      <c r="K68" s="16" t="inlineStr">
        <is>
          <t>Ouvert</t>
        </is>
      </c>
      <c r="L68" s="16" t="inlineStr">
        <is>
          <t>Ouvert</t>
        </is>
      </c>
      <c r="M68" s="16" t="inlineStr">
        <is>
          <t>Ouvert</t>
        </is>
      </c>
      <c r="N68" s="15" t="inlineStr">
        <is>
          <t>ouvert 7j/7</t>
        </is>
      </c>
      <c r="O68" s="15" t="n">
        <v>0</v>
      </c>
      <c r="P68" s="15" t="inlineStr">
        <is>
          <t>Pas de soir libre</t>
        </is>
      </c>
      <c r="Q68" s="12" t="inlineStr">
        <is>
          <t>À contacter</t>
        </is>
      </c>
      <c r="R68" s="13" t="n"/>
      <c r="S68" s="12" t="inlineStr">
        <is>
          <t>Reconfirmer jours et horaires</t>
        </is>
      </c>
      <c r="T68" s="12" t="n"/>
      <c r="U68" s="12" t="n"/>
      <c r="V68" s="15" t="inlineStr">
        <is>
          <t>https://www.gillespudlowski.com/recherche/Restaurants/0/France/Paris/Paris/75009/</t>
        </is>
      </c>
    </row>
    <row r="69">
      <c r="A69" s="14" t="inlineStr">
        <is>
          <t>Proposition : haut de gamme élargi</t>
        </is>
      </c>
      <c r="B69" s="15" t="inlineStr">
        <is>
          <t>Le Bon Georges</t>
        </is>
      </c>
      <c r="C69" s="15" t="n">
        <v>9</v>
      </c>
      <c r="D69" s="15" t="inlineStr">
        <is>
          <t>45, rue Saint Georges - 75009 Paris</t>
        </is>
      </c>
      <c r="E69" s="15" t="inlineStr">
        <is>
          <t>Bistrots, français</t>
        </is>
      </c>
      <c r="F69" s="15" t="n">
        <v>85</v>
      </c>
      <c r="G69" s="16" t="inlineStr">
        <is>
          <t>Ouvert</t>
        </is>
      </c>
      <c r="H69" s="16" t="inlineStr">
        <is>
          <t>Ouvert</t>
        </is>
      </c>
      <c r="I69" s="16" t="inlineStr">
        <is>
          <t>Ouvert</t>
        </is>
      </c>
      <c r="J69" s="16" t="inlineStr">
        <is>
          <t>Ouvert</t>
        </is>
      </c>
      <c r="K69" s="16" t="inlineStr">
        <is>
          <t>Ouvert</t>
        </is>
      </c>
      <c r="L69" s="16" t="inlineStr">
        <is>
          <t>Ouvert</t>
        </is>
      </c>
      <c r="M69" s="16" t="inlineStr">
        <is>
          <t>Ouvert</t>
        </is>
      </c>
      <c r="N69" s="15" t="inlineStr">
        <is>
          <t>ouvert 7j/7</t>
        </is>
      </c>
      <c r="O69" s="15" t="n">
        <v>0</v>
      </c>
      <c r="P69" s="15" t="inlineStr">
        <is>
          <t>Pas de soir libre</t>
        </is>
      </c>
      <c r="Q69" s="12" t="inlineStr">
        <is>
          <t>À contacter</t>
        </is>
      </c>
      <c r="R69" s="13" t="n"/>
      <c r="S69" s="12" t="inlineStr">
        <is>
          <t>Reconfirmer jours et horaires</t>
        </is>
      </c>
      <c r="T69" s="12" t="n"/>
      <c r="U69" s="12" t="n"/>
      <c r="V69" s="15" t="inlineStr">
        <is>
          <t>https://www.gillespudlowski.com/recherche/Restaurants/0/France/Paris/Paris/75009/</t>
        </is>
      </c>
    </row>
    <row r="70">
      <c r="A70" s="14" t="inlineStr">
        <is>
          <t>Proposition : haut de gamme élargi</t>
        </is>
      </c>
      <c r="B70" s="15" t="inlineStr">
        <is>
          <t>Maison Roland – Shangri-La Paris</t>
        </is>
      </c>
      <c r="C70" s="15" t="n">
        <v>16</v>
      </c>
      <c r="D70" s="15" t="inlineStr">
        <is>
          <t>10, avenue d'Iéna - 75016 Paris</t>
        </is>
      </c>
      <c r="E70" s="15" t="inlineStr">
        <is>
          <t>Bistrots, français, gastronomiques</t>
        </is>
      </c>
      <c r="F70" s="15" t="n">
        <v>80</v>
      </c>
      <c r="G70" s="16" t="inlineStr">
        <is>
          <t>Ouvert</t>
        </is>
      </c>
      <c r="H70" s="16" t="inlineStr">
        <is>
          <t>Ouvert</t>
        </is>
      </c>
      <c r="I70" s="16" t="inlineStr">
        <is>
          <t>Ouvert</t>
        </is>
      </c>
      <c r="J70" s="16" t="inlineStr">
        <is>
          <t>Ouvert</t>
        </is>
      </c>
      <c r="K70" s="16" t="inlineStr">
        <is>
          <t>Ouvert</t>
        </is>
      </c>
      <c r="L70" s="16" t="inlineStr">
        <is>
          <t>Ouvert</t>
        </is>
      </c>
      <c r="M70" s="16" t="inlineStr">
        <is>
          <t>Ouvert</t>
        </is>
      </c>
      <c r="N70" s="15" t="inlineStr">
        <is>
          <t>ouvert 7j/7</t>
        </is>
      </c>
      <c r="O70" s="15" t="n">
        <v>0</v>
      </c>
      <c r="P70" s="15" t="inlineStr">
        <is>
          <t>Pas de soir libre</t>
        </is>
      </c>
      <c r="Q70" s="12" t="inlineStr">
        <is>
          <t>À contacter</t>
        </is>
      </c>
      <c r="R70" s="13" t="n"/>
      <c r="S70" s="12" t="inlineStr">
        <is>
          <t>Reconfirmer jours et horaires</t>
        </is>
      </c>
      <c r="T70" s="12" t="n"/>
      <c r="U70" s="12" t="n"/>
      <c r="V70" s="15" t="inlineStr">
        <is>
          <t>https://www.gillespudlowski.com/recherche/Restaurants/0/France/Paris/Paris/75016/</t>
        </is>
      </c>
    </row>
    <row r="71">
      <c r="A71" s="14" t="inlineStr">
        <is>
          <t>Proposition : haut de gamme élargi</t>
        </is>
      </c>
      <c r="B71" s="15" t="inlineStr">
        <is>
          <t>Le Coq &amp; Fils</t>
        </is>
      </c>
      <c r="C71" s="15" t="n">
        <v>18</v>
      </c>
      <c r="D71" s="15" t="inlineStr">
        <is>
          <t>98 rue Lepic - 75018 Paris</t>
        </is>
      </c>
      <c r="E71" s="15" t="inlineStr">
        <is>
          <t>français</t>
        </is>
      </c>
      <c r="F71" s="15" t="n">
        <v>80</v>
      </c>
      <c r="G71" s="16" t="inlineStr">
        <is>
          <t>Ouvert</t>
        </is>
      </c>
      <c r="H71" s="16" t="inlineStr">
        <is>
          <t>Ouvert</t>
        </is>
      </c>
      <c r="I71" s="16" t="inlineStr">
        <is>
          <t>Ouvert</t>
        </is>
      </c>
      <c r="J71" s="16" t="inlineStr">
        <is>
          <t>Ouvert</t>
        </is>
      </c>
      <c r="K71" s="16" t="inlineStr">
        <is>
          <t>Ouvert</t>
        </is>
      </c>
      <c r="L71" s="16" t="inlineStr">
        <is>
          <t>Ouvert</t>
        </is>
      </c>
      <c r="M71" s="16" t="inlineStr">
        <is>
          <t>Ouvert</t>
        </is>
      </c>
      <c r="N71" s="15" t="inlineStr">
        <is>
          <t>ouvert 7j/7</t>
        </is>
      </c>
      <c r="O71" s="15" t="n">
        <v>0</v>
      </c>
      <c r="P71" s="15" t="inlineStr">
        <is>
          <t>Pas de soir libre</t>
        </is>
      </c>
      <c r="Q71" s="12" t="inlineStr">
        <is>
          <t>À contacter</t>
        </is>
      </c>
      <c r="R71" s="13" t="n"/>
      <c r="S71" s="12" t="inlineStr">
        <is>
          <t>Reconfirmer jours et horaires</t>
        </is>
      </c>
      <c r="T71" s="12" t="n"/>
      <c r="U71" s="12" t="n"/>
      <c r="V71" s="15" t="inlineStr">
        <is>
          <t>https://www.gillespudlowski.com/recherche/Restaurants/0/France/Paris/Paris/75018/</t>
        </is>
      </c>
    </row>
  </sheetData>
  <autoFilter ref="A2:V71"/>
  <conditionalFormatting sqref="P3:P121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"Pas de soir libre"</formula>
    </cfRule>
  </conditionalFormatting>
  <dataValidations count="1">
    <dataValidation sqref="Q3:Q121" showDropDown="0" showInputMessage="0" showErrorMessage="0" allowBlank="1" type="list">
      <formula1>"À contacter,Contacté,RDV obtenu,Intéressé,Accord de principe,Contrat signé,Refus,Fermé / injoignable"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Restaurants d'exception : ouverts et salles libres, soir par soir</t>
        </is>
      </c>
    </row>
    <row r="2">
      <c r="A2" s="2" t="inlineStr">
        <is>
          <t>Calcul en direct depuis l'onglet Base. Bloc 1 : très haut de gamme seul. Bloc 2 (bleu) : avec la proposition d'élargissement à 80 € et plus.</t>
        </is>
      </c>
    </row>
    <row r="4">
      <c r="A4" s="17" t="inlineStr">
        <is>
          <t>1. Très haut de gamme (47 restaurants de la base)</t>
        </is>
      </c>
    </row>
    <row r="5" ht="34" customHeight="1">
      <c r="A5" s="8" t="inlineStr">
        <is>
          <t>Soir</t>
        </is>
      </c>
      <c r="B5" s="8" t="inlineStr">
        <is>
          <t>Restaurants</t>
        </is>
      </c>
      <c r="C5" s="8" t="inlineStr">
        <is>
          <t>Ouverts le soir</t>
        </is>
      </c>
      <c r="D5" s="8" t="inlineStr">
        <is>
          <t>Salles libres le soir</t>
        </is>
      </c>
      <c r="E5" s="8" t="inlineStr">
        <is>
          <t>% salles libres</t>
        </is>
      </c>
      <c r="F5" s="8" t="inlineStr">
        <is>
          <t>dont fermés toute la journée</t>
        </is>
      </c>
    </row>
    <row r="6">
      <c r="A6" s="18" t="inlineStr">
        <is>
          <t>Lundi</t>
        </is>
      </c>
      <c r="B6" s="19">
        <f>COUNTIFS(Base!$A$2:$A$70,"Très haut de gamme (base)")</f>
        <v/>
      </c>
      <c r="C6" s="19">
        <f>B6-D6</f>
        <v/>
      </c>
      <c r="D6" s="19">
        <f>COUNTIFS(Base!$A$2:$A$70,"Très haut de gamme (base)",Base!$G$2:$G$70,"Fermé")+COUNTIFS(Base!$A$2:$A$70,"Très haut de gamme (base)",Base!$G$2:$G$70,"Fermé soir")</f>
        <v/>
      </c>
      <c r="E6" s="20">
        <f>D6/B6</f>
        <v/>
      </c>
      <c r="F6" s="19">
        <f>COUNTIFS(Base!$A$2:$A$70,"Très haut de gamme (base)",Base!$G$2:$G$70,"Fermé")</f>
        <v/>
      </c>
    </row>
    <row r="7">
      <c r="A7" s="18" t="inlineStr">
        <is>
          <t>Mardi</t>
        </is>
      </c>
      <c r="B7" s="19">
        <f>COUNTIFS(Base!$A$2:$A$70,"Très haut de gamme (base)")</f>
        <v/>
      </c>
      <c r="C7" s="19">
        <f>B7-D7</f>
        <v/>
      </c>
      <c r="D7" s="19">
        <f>COUNTIFS(Base!$A$2:$A$70,"Très haut de gamme (base)",Base!$H$2:$H$70,"Fermé")+COUNTIFS(Base!$A$2:$A$70,"Très haut de gamme (base)",Base!$H$2:$H$70,"Fermé soir")</f>
        <v/>
      </c>
      <c r="E7" s="20">
        <f>D7/B7</f>
        <v/>
      </c>
      <c r="F7" s="19">
        <f>COUNTIFS(Base!$A$2:$A$70,"Très haut de gamme (base)",Base!$H$2:$H$70,"Fermé")</f>
        <v/>
      </c>
    </row>
    <row r="8">
      <c r="A8" s="18" t="inlineStr">
        <is>
          <t>Mercredi</t>
        </is>
      </c>
      <c r="B8" s="19">
        <f>COUNTIFS(Base!$A$2:$A$70,"Très haut de gamme (base)")</f>
        <v/>
      </c>
      <c r="C8" s="19">
        <f>B8-D8</f>
        <v/>
      </c>
      <c r="D8" s="19">
        <f>COUNTIFS(Base!$A$2:$A$70,"Très haut de gamme (base)",Base!$I$2:$I$70,"Fermé")+COUNTIFS(Base!$A$2:$A$70,"Très haut de gamme (base)",Base!$I$2:$I$70,"Fermé soir")</f>
        <v/>
      </c>
      <c r="E8" s="20">
        <f>D8/B8</f>
        <v/>
      </c>
      <c r="F8" s="19">
        <f>COUNTIFS(Base!$A$2:$A$70,"Très haut de gamme (base)",Base!$I$2:$I$70,"Fermé")</f>
        <v/>
      </c>
    </row>
    <row r="9">
      <c r="A9" s="18" t="inlineStr">
        <is>
          <t>Jeudi</t>
        </is>
      </c>
      <c r="B9" s="19">
        <f>COUNTIFS(Base!$A$2:$A$70,"Très haut de gamme (base)")</f>
        <v/>
      </c>
      <c r="C9" s="19">
        <f>B9-D9</f>
        <v/>
      </c>
      <c r="D9" s="19">
        <f>COUNTIFS(Base!$A$2:$A$70,"Très haut de gamme (base)",Base!$J$2:$J$70,"Fermé")+COUNTIFS(Base!$A$2:$A$70,"Très haut de gamme (base)",Base!$J$2:$J$70,"Fermé soir")</f>
        <v/>
      </c>
      <c r="E9" s="20">
        <f>D9/B9</f>
        <v/>
      </c>
      <c r="F9" s="19">
        <f>COUNTIFS(Base!$A$2:$A$70,"Très haut de gamme (base)",Base!$J$2:$J$70,"Fermé")</f>
        <v/>
      </c>
    </row>
    <row r="10">
      <c r="A10" s="18" t="inlineStr">
        <is>
          <t>Vendredi</t>
        </is>
      </c>
      <c r="B10" s="19">
        <f>COUNTIFS(Base!$A$2:$A$70,"Très haut de gamme (base)")</f>
        <v/>
      </c>
      <c r="C10" s="19">
        <f>B10-D10</f>
        <v/>
      </c>
      <c r="D10" s="19">
        <f>COUNTIFS(Base!$A$2:$A$70,"Très haut de gamme (base)",Base!$K$2:$K$70,"Fermé")+COUNTIFS(Base!$A$2:$A$70,"Très haut de gamme (base)",Base!$K$2:$K$70,"Fermé soir")</f>
        <v/>
      </c>
      <c r="E10" s="20">
        <f>D10/B10</f>
        <v/>
      </c>
      <c r="F10" s="19">
        <f>COUNTIFS(Base!$A$2:$A$70,"Très haut de gamme (base)",Base!$K$2:$K$70,"Fermé")</f>
        <v/>
      </c>
    </row>
    <row r="11">
      <c r="A11" s="18" t="inlineStr">
        <is>
          <t>Samedi</t>
        </is>
      </c>
      <c r="B11" s="19">
        <f>COUNTIFS(Base!$A$2:$A$70,"Très haut de gamme (base)")</f>
        <v/>
      </c>
      <c r="C11" s="19">
        <f>B11-D11</f>
        <v/>
      </c>
      <c r="D11" s="19">
        <f>COUNTIFS(Base!$A$2:$A$70,"Très haut de gamme (base)",Base!$L$2:$L$70,"Fermé")+COUNTIFS(Base!$A$2:$A$70,"Très haut de gamme (base)",Base!$L$2:$L$70,"Fermé soir")</f>
        <v/>
      </c>
      <c r="E11" s="20">
        <f>D11/B11</f>
        <v/>
      </c>
      <c r="F11" s="19">
        <f>COUNTIFS(Base!$A$2:$A$70,"Très haut de gamme (base)",Base!$L$2:$L$70,"Fermé")</f>
        <v/>
      </c>
    </row>
    <row r="12">
      <c r="A12" s="18" t="inlineStr">
        <is>
          <t>Dimanche</t>
        </is>
      </c>
      <c r="B12" s="19">
        <f>COUNTIFS(Base!$A$2:$A$70,"Très haut de gamme (base)")</f>
        <v/>
      </c>
      <c r="C12" s="19">
        <f>B12-D12</f>
        <v/>
      </c>
      <c r="D12" s="19">
        <f>COUNTIFS(Base!$A$2:$A$70,"Très haut de gamme (base)",Base!$M$2:$M$70,"Fermé")+COUNTIFS(Base!$A$2:$A$70,"Très haut de gamme (base)",Base!$M$2:$M$70,"Fermé soir")</f>
        <v/>
      </c>
      <c r="E12" s="20">
        <f>D12/B12</f>
        <v/>
      </c>
      <c r="F12" s="19">
        <f>COUNTIFS(Base!$A$2:$A$70,"Très haut de gamme (base)",Base!$M$2:$M$70,"Fermé")</f>
        <v/>
      </c>
    </row>
    <row r="13">
      <c r="A13" s="21" t="inlineStr">
        <is>
          <t>Total soirées libres / semaine</t>
        </is>
      </c>
      <c r="D13" s="21">
        <f>SUM(D6:D12)</f>
        <v/>
      </c>
    </row>
    <row r="16">
      <c r="A16" s="22" t="inlineStr">
        <is>
          <t>2. Avec la proposition : haut de gamme élargi (≥ 80 €/pers.)</t>
        </is>
      </c>
    </row>
    <row r="17" ht="34" customHeight="1">
      <c r="A17" s="8" t="inlineStr">
        <is>
          <t>Soir</t>
        </is>
      </c>
      <c r="B17" s="8" t="inlineStr">
        <is>
          <t>Restaurants</t>
        </is>
      </c>
      <c r="C17" s="8" t="inlineStr">
        <is>
          <t>Ouverts le soir</t>
        </is>
      </c>
      <c r="D17" s="8" t="inlineStr">
        <is>
          <t>Salles libres le soir</t>
        </is>
      </c>
      <c r="E17" s="8" t="inlineStr">
        <is>
          <t>% salles libres</t>
        </is>
      </c>
      <c r="F17" s="8" t="inlineStr">
        <is>
          <t>dont fermés toute la journée</t>
        </is>
      </c>
    </row>
    <row r="18">
      <c r="A18" s="23" t="inlineStr">
        <is>
          <t>Lundi</t>
        </is>
      </c>
      <c r="B18" s="16">
        <f>COUNTA(Base!$B$2:$B$70)</f>
        <v/>
      </c>
      <c r="C18" s="16">
        <f>B18-D18</f>
        <v/>
      </c>
      <c r="D18" s="16">
        <f>COUNTIFS(Base!$G$2:$G$70,"Fermé")+COUNTIFS(Base!$G$2:$G$70,"Fermé soir")</f>
        <v/>
      </c>
      <c r="E18" s="24">
        <f>D18/B18</f>
        <v/>
      </c>
      <c r="F18" s="16">
        <f>COUNTIFS(Base!$G$2:$G$70,"Fermé")</f>
        <v/>
      </c>
    </row>
    <row r="19">
      <c r="A19" s="23" t="inlineStr">
        <is>
          <t>Mardi</t>
        </is>
      </c>
      <c r="B19" s="16">
        <f>COUNTA(Base!$B$2:$B$70)</f>
        <v/>
      </c>
      <c r="C19" s="16">
        <f>B19-D19</f>
        <v/>
      </c>
      <c r="D19" s="16">
        <f>COUNTIFS(Base!$H$2:$H$70,"Fermé")+COUNTIFS(Base!$H$2:$H$70,"Fermé soir")</f>
        <v/>
      </c>
      <c r="E19" s="24">
        <f>D19/B19</f>
        <v/>
      </c>
      <c r="F19" s="16">
        <f>COUNTIFS(Base!$H$2:$H$70,"Fermé")</f>
        <v/>
      </c>
    </row>
    <row r="20">
      <c r="A20" s="23" t="inlineStr">
        <is>
          <t>Mercredi</t>
        </is>
      </c>
      <c r="B20" s="16">
        <f>COUNTA(Base!$B$2:$B$70)</f>
        <v/>
      </c>
      <c r="C20" s="16">
        <f>B20-D20</f>
        <v/>
      </c>
      <c r="D20" s="16">
        <f>COUNTIFS(Base!$I$2:$I$70,"Fermé")+COUNTIFS(Base!$I$2:$I$70,"Fermé soir")</f>
        <v/>
      </c>
      <c r="E20" s="24">
        <f>D20/B20</f>
        <v/>
      </c>
      <c r="F20" s="16">
        <f>COUNTIFS(Base!$I$2:$I$70,"Fermé")</f>
        <v/>
      </c>
    </row>
    <row r="21">
      <c r="A21" s="23" t="inlineStr">
        <is>
          <t>Jeudi</t>
        </is>
      </c>
      <c r="B21" s="16">
        <f>COUNTA(Base!$B$2:$B$70)</f>
        <v/>
      </c>
      <c r="C21" s="16">
        <f>B21-D21</f>
        <v/>
      </c>
      <c r="D21" s="16">
        <f>COUNTIFS(Base!$J$2:$J$70,"Fermé")+COUNTIFS(Base!$J$2:$J$70,"Fermé soir")</f>
        <v/>
      </c>
      <c r="E21" s="24">
        <f>D21/B21</f>
        <v/>
      </c>
      <c r="F21" s="16">
        <f>COUNTIFS(Base!$J$2:$J$70,"Fermé")</f>
        <v/>
      </c>
    </row>
    <row r="22">
      <c r="A22" s="23" t="inlineStr">
        <is>
          <t>Vendredi</t>
        </is>
      </c>
      <c r="B22" s="16">
        <f>COUNTA(Base!$B$2:$B$70)</f>
        <v/>
      </c>
      <c r="C22" s="16">
        <f>B22-D22</f>
        <v/>
      </c>
      <c r="D22" s="16">
        <f>COUNTIFS(Base!$K$2:$K$70,"Fermé")+COUNTIFS(Base!$K$2:$K$70,"Fermé soir")</f>
        <v/>
      </c>
      <c r="E22" s="24">
        <f>D22/B22</f>
        <v/>
      </c>
      <c r="F22" s="16">
        <f>COUNTIFS(Base!$K$2:$K$70,"Fermé")</f>
        <v/>
      </c>
    </row>
    <row r="23">
      <c r="A23" s="23" t="inlineStr">
        <is>
          <t>Samedi</t>
        </is>
      </c>
      <c r="B23" s="16">
        <f>COUNTA(Base!$B$2:$B$70)</f>
        <v/>
      </c>
      <c r="C23" s="16">
        <f>B23-D23</f>
        <v/>
      </c>
      <c r="D23" s="16">
        <f>COUNTIFS(Base!$L$2:$L$70,"Fermé")+COUNTIFS(Base!$L$2:$L$70,"Fermé soir")</f>
        <v/>
      </c>
      <c r="E23" s="24">
        <f>D23/B23</f>
        <v/>
      </c>
      <c r="F23" s="16">
        <f>COUNTIFS(Base!$L$2:$L$70,"Fermé")</f>
        <v/>
      </c>
    </row>
    <row r="24">
      <c r="A24" s="23" t="inlineStr">
        <is>
          <t>Dimanche</t>
        </is>
      </c>
      <c r="B24" s="16">
        <f>COUNTA(Base!$B$2:$B$70)</f>
        <v/>
      </c>
      <c r="C24" s="16">
        <f>B24-D24</f>
        <v/>
      </c>
      <c r="D24" s="16">
        <f>COUNTIFS(Base!$M$2:$M$70,"Fermé")+COUNTIFS(Base!$M$2:$M$70,"Fermé soir")</f>
        <v/>
      </c>
      <c r="E24" s="24">
        <f>D24/B24</f>
        <v/>
      </c>
      <c r="F24" s="16">
        <f>COUNTIFS(Base!$M$2:$M$70,"Fermé")</f>
        <v/>
      </c>
    </row>
    <row r="25">
      <c r="A25" s="21" t="inlineStr">
        <is>
          <t>Total soirées libres / semaine</t>
        </is>
      </c>
      <c r="D25" s="21">
        <f>SUM(D18:D24)</f>
        <v/>
      </c>
    </row>
    <row r="28">
      <c r="A28" s="17" t="inlineStr">
        <is>
          <t>Priorités de démarchage (proposition)</t>
        </is>
      </c>
    </row>
    <row r="29" ht="34" customHeight="1">
      <c r="A29" s="8" t="inlineStr">
        <is>
          <t>Priorité</t>
        </is>
      </c>
      <c r="B29" s="8" t="inlineStr">
        <is>
          <t>Très haut de gamme</t>
        </is>
      </c>
      <c r="C29" s="8" t="inlineStr">
        <is>
          <t>Avec l'élargissement</t>
        </is>
      </c>
      <c r="D29" s="8" t="inlineStr">
        <is>
          <t>Définition</t>
        </is>
      </c>
    </row>
    <row r="30">
      <c r="A30" s="25" t="inlineStr">
        <is>
          <t>A</t>
        </is>
      </c>
      <c r="B30" s="25">
        <f>COUNTIFS(Restaurants!$P$3:$P$500,"A",Restaurants!$A$3:$A$500,"Très haut de gamme (base)")</f>
        <v/>
      </c>
      <c r="C30" s="26">
        <f>COUNTIF(Restaurants!$P$3:$P$500,"A")</f>
        <v/>
      </c>
      <c r="D30" t="inlineStr">
        <is>
          <t>Au moins un soir libre du mardi au samedi</t>
        </is>
      </c>
    </row>
    <row r="31">
      <c r="A31" s="25" t="inlineStr">
        <is>
          <t>B</t>
        </is>
      </c>
      <c r="B31" s="25">
        <f>COUNTIFS(Restaurants!$P$3:$P$500,"B",Restaurants!$A$3:$A$500,"Très haut de gamme (base)")</f>
        <v/>
      </c>
      <c r="C31" s="26">
        <f>COUNTIF(Restaurants!$P$3:$P$500,"B")</f>
        <v/>
      </c>
      <c r="D31" t="inlineStr">
        <is>
          <t>Libre le dimanche et/ou le lundi seulement</t>
        </is>
      </c>
    </row>
    <row r="32">
      <c r="A32" s="25" t="inlineStr">
        <is>
          <t>Pas de soir libre</t>
        </is>
      </c>
      <c r="B32" s="25">
        <f>COUNTIFS(Restaurants!$P$3:$P$500,"Pas de soir libre",Restaurants!$A$3:$A$500,"Très haut de gamme (base)")</f>
        <v/>
      </c>
      <c r="C32" s="26">
        <f>COUNTIF(Restaurants!$P$3:$P$500,"Pas de soir libre")</f>
        <v/>
      </c>
      <c r="D32" t="inlineStr">
        <is>
          <t>Ouvert 7 soirs sur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Salles libres le soir par arrondissement (très haut de gamme + élargissement)</t>
        </is>
      </c>
    </row>
    <row r="2">
      <c r="A2" s="2" t="inlineStr">
        <is>
          <t>Nombre de restaurants de l'onglet Base fermés ce soir-là. Colonne « dont très haut de gamme » : sans l'élargissement.</t>
        </is>
      </c>
    </row>
    <row r="4" ht="34" customHeight="1">
      <c r="A4" s="8" t="inlineStr">
        <is>
          <t>Arr.</t>
        </is>
      </c>
      <c r="B4" s="8" t="inlineStr">
        <is>
          <t>Restaurants</t>
        </is>
      </c>
      <c r="C4" s="8" t="inlineStr">
        <is>
          <t>dont très haut de gamme</t>
        </is>
      </c>
      <c r="D4" s="8" t="inlineStr">
        <is>
          <t>Lundi</t>
        </is>
      </c>
      <c r="E4" s="8" t="inlineStr">
        <is>
          <t>Mardi</t>
        </is>
      </c>
      <c r="F4" s="8" t="inlineStr">
        <is>
          <t>Mercredi</t>
        </is>
      </c>
      <c r="G4" s="8" t="inlineStr">
        <is>
          <t>Jeudi</t>
        </is>
      </c>
      <c r="H4" s="8" t="inlineStr">
        <is>
          <t>Vendredi</t>
        </is>
      </c>
      <c r="I4" s="8" t="inlineStr">
        <is>
          <t>Samedi</t>
        </is>
      </c>
      <c r="J4" s="8" t="inlineStr">
        <is>
          <t>Dimanche</t>
        </is>
      </c>
      <c r="K4" s="8" t="inlineStr">
        <is>
          <t>Avec ≥ 1 soir libre</t>
        </is>
      </c>
    </row>
    <row r="5">
      <c r="A5" s="10" t="inlineStr">
        <is>
          <t>1er</t>
        </is>
      </c>
      <c r="B5" s="10">
        <f>COUNTIF(Base!$D$2:$D$70,1)</f>
        <v/>
      </c>
      <c r="C5" s="10">
        <f>COUNTIFS(Base!$D$2:$D$70,1,Base!$A$2:$A$70,"Très haut de gamme (base)")</f>
        <v/>
      </c>
      <c r="D5" s="10">
        <f>COUNTIFS(Base!$D$2:$D$70,1,Base!$G$2:$G$70,"Fermé")+COUNTIFS(Base!$D$2:$D$70,1,Base!$G$2:$G$70,"Fermé soir")</f>
        <v/>
      </c>
      <c r="E5" s="10">
        <f>COUNTIFS(Base!$D$2:$D$70,1,Base!$H$2:$H$70,"Fermé")+COUNTIFS(Base!$D$2:$D$70,1,Base!$H$2:$H$70,"Fermé soir")</f>
        <v/>
      </c>
      <c r="F5" s="10">
        <f>COUNTIFS(Base!$D$2:$D$70,1,Base!$I$2:$I$70,"Fermé")+COUNTIFS(Base!$D$2:$D$70,1,Base!$I$2:$I$70,"Fermé soir")</f>
        <v/>
      </c>
      <c r="G5" s="10">
        <f>COUNTIFS(Base!$D$2:$D$70,1,Base!$J$2:$J$70,"Fermé")+COUNTIFS(Base!$D$2:$D$70,1,Base!$J$2:$J$70,"Fermé soir")</f>
        <v/>
      </c>
      <c r="H5" s="10">
        <f>COUNTIFS(Base!$D$2:$D$70,1,Base!$K$2:$K$70,"Fermé")+COUNTIFS(Base!$D$2:$D$70,1,Base!$K$2:$K$70,"Fermé soir")</f>
        <v/>
      </c>
      <c r="I5" s="10">
        <f>COUNTIFS(Base!$D$2:$D$70,1,Base!$L$2:$L$70,"Fermé")+COUNTIFS(Base!$D$2:$D$70,1,Base!$L$2:$L$70,"Fermé soir")</f>
        <v/>
      </c>
      <c r="J5" s="10">
        <f>COUNTIFS(Base!$D$2:$D$70,1,Base!$M$2:$M$70,"Fermé")+COUNTIFS(Base!$D$2:$D$70,1,Base!$M$2:$M$70,"Fermé soir")</f>
        <v/>
      </c>
      <c r="K5" s="10">
        <f>COUNTIFS(Restaurants!$C$3:$C$500,1,Restaurants!$O$3:$O$500,"&gt;0")</f>
        <v/>
      </c>
    </row>
    <row r="6">
      <c r="A6" s="10" t="inlineStr">
        <is>
          <t>2e</t>
        </is>
      </c>
      <c r="B6" s="10">
        <f>COUNTIF(Base!$D$2:$D$70,2)</f>
        <v/>
      </c>
      <c r="C6" s="10">
        <f>COUNTIFS(Base!$D$2:$D$70,2,Base!$A$2:$A$70,"Très haut de gamme (base)")</f>
        <v/>
      </c>
      <c r="D6" s="10">
        <f>COUNTIFS(Base!$D$2:$D$70,2,Base!$G$2:$G$70,"Fermé")+COUNTIFS(Base!$D$2:$D$70,2,Base!$G$2:$G$70,"Fermé soir")</f>
        <v/>
      </c>
      <c r="E6" s="10">
        <f>COUNTIFS(Base!$D$2:$D$70,2,Base!$H$2:$H$70,"Fermé")+COUNTIFS(Base!$D$2:$D$70,2,Base!$H$2:$H$70,"Fermé soir")</f>
        <v/>
      </c>
      <c r="F6" s="10">
        <f>COUNTIFS(Base!$D$2:$D$70,2,Base!$I$2:$I$70,"Fermé")+COUNTIFS(Base!$D$2:$D$70,2,Base!$I$2:$I$70,"Fermé soir")</f>
        <v/>
      </c>
      <c r="G6" s="10">
        <f>COUNTIFS(Base!$D$2:$D$70,2,Base!$J$2:$J$70,"Fermé")+COUNTIFS(Base!$D$2:$D$70,2,Base!$J$2:$J$70,"Fermé soir")</f>
        <v/>
      </c>
      <c r="H6" s="10">
        <f>COUNTIFS(Base!$D$2:$D$70,2,Base!$K$2:$K$70,"Fermé")+COUNTIFS(Base!$D$2:$D$70,2,Base!$K$2:$K$70,"Fermé soir")</f>
        <v/>
      </c>
      <c r="I6" s="10">
        <f>COUNTIFS(Base!$D$2:$D$70,2,Base!$L$2:$L$70,"Fermé")+COUNTIFS(Base!$D$2:$D$70,2,Base!$L$2:$L$70,"Fermé soir")</f>
        <v/>
      </c>
      <c r="J6" s="10">
        <f>COUNTIFS(Base!$D$2:$D$70,2,Base!$M$2:$M$70,"Fermé")+COUNTIFS(Base!$D$2:$D$70,2,Base!$M$2:$M$70,"Fermé soir")</f>
        <v/>
      </c>
      <c r="K6" s="10">
        <f>COUNTIFS(Restaurants!$C$3:$C$500,2,Restaurants!$O$3:$O$500,"&gt;0")</f>
        <v/>
      </c>
    </row>
    <row r="7">
      <c r="A7" s="10" t="inlineStr">
        <is>
          <t>3e</t>
        </is>
      </c>
      <c r="B7" s="10">
        <f>COUNTIF(Base!$D$2:$D$70,3)</f>
        <v/>
      </c>
      <c r="C7" s="10">
        <f>COUNTIFS(Base!$D$2:$D$70,3,Base!$A$2:$A$70,"Très haut de gamme (base)")</f>
        <v/>
      </c>
      <c r="D7" s="10">
        <f>COUNTIFS(Base!$D$2:$D$70,3,Base!$G$2:$G$70,"Fermé")+COUNTIFS(Base!$D$2:$D$70,3,Base!$G$2:$G$70,"Fermé soir")</f>
        <v/>
      </c>
      <c r="E7" s="10">
        <f>COUNTIFS(Base!$D$2:$D$70,3,Base!$H$2:$H$70,"Fermé")+COUNTIFS(Base!$D$2:$D$70,3,Base!$H$2:$H$70,"Fermé soir")</f>
        <v/>
      </c>
      <c r="F7" s="10">
        <f>COUNTIFS(Base!$D$2:$D$70,3,Base!$I$2:$I$70,"Fermé")+COUNTIFS(Base!$D$2:$D$70,3,Base!$I$2:$I$70,"Fermé soir")</f>
        <v/>
      </c>
      <c r="G7" s="10">
        <f>COUNTIFS(Base!$D$2:$D$70,3,Base!$J$2:$J$70,"Fermé")+COUNTIFS(Base!$D$2:$D$70,3,Base!$J$2:$J$70,"Fermé soir")</f>
        <v/>
      </c>
      <c r="H7" s="10">
        <f>COUNTIFS(Base!$D$2:$D$70,3,Base!$K$2:$K$70,"Fermé")+COUNTIFS(Base!$D$2:$D$70,3,Base!$K$2:$K$70,"Fermé soir")</f>
        <v/>
      </c>
      <c r="I7" s="10">
        <f>COUNTIFS(Base!$D$2:$D$70,3,Base!$L$2:$L$70,"Fermé")+COUNTIFS(Base!$D$2:$D$70,3,Base!$L$2:$L$70,"Fermé soir")</f>
        <v/>
      </c>
      <c r="J7" s="10">
        <f>COUNTIFS(Base!$D$2:$D$70,3,Base!$M$2:$M$70,"Fermé")+COUNTIFS(Base!$D$2:$D$70,3,Base!$M$2:$M$70,"Fermé soir")</f>
        <v/>
      </c>
      <c r="K7" s="10">
        <f>COUNTIFS(Restaurants!$C$3:$C$500,3,Restaurants!$O$3:$O$500,"&gt;0")</f>
        <v/>
      </c>
    </row>
    <row r="8">
      <c r="A8" s="10" t="inlineStr">
        <is>
          <t>4e</t>
        </is>
      </c>
      <c r="B8" s="10">
        <f>COUNTIF(Base!$D$2:$D$70,4)</f>
        <v/>
      </c>
      <c r="C8" s="10">
        <f>COUNTIFS(Base!$D$2:$D$70,4,Base!$A$2:$A$70,"Très haut de gamme (base)")</f>
        <v/>
      </c>
      <c r="D8" s="10">
        <f>COUNTIFS(Base!$D$2:$D$70,4,Base!$G$2:$G$70,"Fermé")+COUNTIFS(Base!$D$2:$D$70,4,Base!$G$2:$G$70,"Fermé soir")</f>
        <v/>
      </c>
      <c r="E8" s="10">
        <f>COUNTIFS(Base!$D$2:$D$70,4,Base!$H$2:$H$70,"Fermé")+COUNTIFS(Base!$D$2:$D$70,4,Base!$H$2:$H$70,"Fermé soir")</f>
        <v/>
      </c>
      <c r="F8" s="10">
        <f>COUNTIFS(Base!$D$2:$D$70,4,Base!$I$2:$I$70,"Fermé")+COUNTIFS(Base!$D$2:$D$70,4,Base!$I$2:$I$70,"Fermé soir")</f>
        <v/>
      </c>
      <c r="G8" s="10">
        <f>COUNTIFS(Base!$D$2:$D$70,4,Base!$J$2:$J$70,"Fermé")+COUNTIFS(Base!$D$2:$D$70,4,Base!$J$2:$J$70,"Fermé soir")</f>
        <v/>
      </c>
      <c r="H8" s="10">
        <f>COUNTIFS(Base!$D$2:$D$70,4,Base!$K$2:$K$70,"Fermé")+COUNTIFS(Base!$D$2:$D$70,4,Base!$K$2:$K$70,"Fermé soir")</f>
        <v/>
      </c>
      <c r="I8" s="10">
        <f>COUNTIFS(Base!$D$2:$D$70,4,Base!$L$2:$L$70,"Fermé")+COUNTIFS(Base!$D$2:$D$70,4,Base!$L$2:$L$70,"Fermé soir")</f>
        <v/>
      </c>
      <c r="J8" s="10">
        <f>COUNTIFS(Base!$D$2:$D$70,4,Base!$M$2:$M$70,"Fermé")+COUNTIFS(Base!$D$2:$D$70,4,Base!$M$2:$M$70,"Fermé soir")</f>
        <v/>
      </c>
      <c r="K8" s="10">
        <f>COUNTIFS(Restaurants!$C$3:$C$500,4,Restaurants!$O$3:$O$500,"&gt;0")</f>
        <v/>
      </c>
    </row>
    <row r="9">
      <c r="A9" s="10" t="inlineStr">
        <is>
          <t>5e</t>
        </is>
      </c>
      <c r="B9" s="10">
        <f>COUNTIF(Base!$D$2:$D$70,5)</f>
        <v/>
      </c>
      <c r="C9" s="10">
        <f>COUNTIFS(Base!$D$2:$D$70,5,Base!$A$2:$A$70,"Très haut de gamme (base)")</f>
        <v/>
      </c>
      <c r="D9" s="10">
        <f>COUNTIFS(Base!$D$2:$D$70,5,Base!$G$2:$G$70,"Fermé")+COUNTIFS(Base!$D$2:$D$70,5,Base!$G$2:$G$70,"Fermé soir")</f>
        <v/>
      </c>
      <c r="E9" s="10">
        <f>COUNTIFS(Base!$D$2:$D$70,5,Base!$H$2:$H$70,"Fermé")+COUNTIFS(Base!$D$2:$D$70,5,Base!$H$2:$H$70,"Fermé soir")</f>
        <v/>
      </c>
      <c r="F9" s="10">
        <f>COUNTIFS(Base!$D$2:$D$70,5,Base!$I$2:$I$70,"Fermé")+COUNTIFS(Base!$D$2:$D$70,5,Base!$I$2:$I$70,"Fermé soir")</f>
        <v/>
      </c>
      <c r="G9" s="10">
        <f>COUNTIFS(Base!$D$2:$D$70,5,Base!$J$2:$J$70,"Fermé")+COUNTIFS(Base!$D$2:$D$70,5,Base!$J$2:$J$70,"Fermé soir")</f>
        <v/>
      </c>
      <c r="H9" s="10">
        <f>COUNTIFS(Base!$D$2:$D$70,5,Base!$K$2:$K$70,"Fermé")+COUNTIFS(Base!$D$2:$D$70,5,Base!$K$2:$K$70,"Fermé soir")</f>
        <v/>
      </c>
      <c r="I9" s="10">
        <f>COUNTIFS(Base!$D$2:$D$70,5,Base!$L$2:$L$70,"Fermé")+COUNTIFS(Base!$D$2:$D$70,5,Base!$L$2:$L$70,"Fermé soir")</f>
        <v/>
      </c>
      <c r="J9" s="10">
        <f>COUNTIFS(Base!$D$2:$D$70,5,Base!$M$2:$M$70,"Fermé")+COUNTIFS(Base!$D$2:$D$70,5,Base!$M$2:$M$70,"Fermé soir")</f>
        <v/>
      </c>
      <c r="K9" s="10">
        <f>COUNTIFS(Restaurants!$C$3:$C$500,5,Restaurants!$O$3:$O$500,"&gt;0")</f>
        <v/>
      </c>
    </row>
    <row r="10">
      <c r="A10" s="10" t="inlineStr">
        <is>
          <t>6e</t>
        </is>
      </c>
      <c r="B10" s="10">
        <f>COUNTIF(Base!$D$2:$D$70,6)</f>
        <v/>
      </c>
      <c r="C10" s="10">
        <f>COUNTIFS(Base!$D$2:$D$70,6,Base!$A$2:$A$70,"Très haut de gamme (base)")</f>
        <v/>
      </c>
      <c r="D10" s="10">
        <f>COUNTIFS(Base!$D$2:$D$70,6,Base!$G$2:$G$70,"Fermé")+COUNTIFS(Base!$D$2:$D$70,6,Base!$G$2:$G$70,"Fermé soir")</f>
        <v/>
      </c>
      <c r="E10" s="10">
        <f>COUNTIFS(Base!$D$2:$D$70,6,Base!$H$2:$H$70,"Fermé")+COUNTIFS(Base!$D$2:$D$70,6,Base!$H$2:$H$70,"Fermé soir")</f>
        <v/>
      </c>
      <c r="F10" s="10">
        <f>COUNTIFS(Base!$D$2:$D$70,6,Base!$I$2:$I$70,"Fermé")+COUNTIFS(Base!$D$2:$D$70,6,Base!$I$2:$I$70,"Fermé soir")</f>
        <v/>
      </c>
      <c r="G10" s="10">
        <f>COUNTIFS(Base!$D$2:$D$70,6,Base!$J$2:$J$70,"Fermé")+COUNTIFS(Base!$D$2:$D$70,6,Base!$J$2:$J$70,"Fermé soir")</f>
        <v/>
      </c>
      <c r="H10" s="10">
        <f>COUNTIFS(Base!$D$2:$D$70,6,Base!$K$2:$K$70,"Fermé")+COUNTIFS(Base!$D$2:$D$70,6,Base!$K$2:$K$70,"Fermé soir")</f>
        <v/>
      </c>
      <c r="I10" s="10">
        <f>COUNTIFS(Base!$D$2:$D$70,6,Base!$L$2:$L$70,"Fermé")+COUNTIFS(Base!$D$2:$D$70,6,Base!$L$2:$L$70,"Fermé soir")</f>
        <v/>
      </c>
      <c r="J10" s="10">
        <f>COUNTIFS(Base!$D$2:$D$70,6,Base!$M$2:$M$70,"Fermé")+COUNTIFS(Base!$D$2:$D$70,6,Base!$M$2:$M$70,"Fermé soir")</f>
        <v/>
      </c>
      <c r="K10" s="10">
        <f>COUNTIFS(Restaurants!$C$3:$C$500,6,Restaurants!$O$3:$O$500,"&gt;0")</f>
        <v/>
      </c>
    </row>
    <row r="11">
      <c r="A11" s="10" t="inlineStr">
        <is>
          <t>7e</t>
        </is>
      </c>
      <c r="B11" s="10">
        <f>COUNTIF(Base!$D$2:$D$70,7)</f>
        <v/>
      </c>
      <c r="C11" s="10">
        <f>COUNTIFS(Base!$D$2:$D$70,7,Base!$A$2:$A$70,"Très haut de gamme (base)")</f>
        <v/>
      </c>
      <c r="D11" s="10">
        <f>COUNTIFS(Base!$D$2:$D$70,7,Base!$G$2:$G$70,"Fermé")+COUNTIFS(Base!$D$2:$D$70,7,Base!$G$2:$G$70,"Fermé soir")</f>
        <v/>
      </c>
      <c r="E11" s="10">
        <f>COUNTIFS(Base!$D$2:$D$70,7,Base!$H$2:$H$70,"Fermé")+COUNTIFS(Base!$D$2:$D$70,7,Base!$H$2:$H$70,"Fermé soir")</f>
        <v/>
      </c>
      <c r="F11" s="10">
        <f>COUNTIFS(Base!$D$2:$D$70,7,Base!$I$2:$I$70,"Fermé")+COUNTIFS(Base!$D$2:$D$70,7,Base!$I$2:$I$70,"Fermé soir")</f>
        <v/>
      </c>
      <c r="G11" s="10">
        <f>COUNTIFS(Base!$D$2:$D$70,7,Base!$J$2:$J$70,"Fermé")+COUNTIFS(Base!$D$2:$D$70,7,Base!$J$2:$J$70,"Fermé soir")</f>
        <v/>
      </c>
      <c r="H11" s="10">
        <f>COUNTIFS(Base!$D$2:$D$70,7,Base!$K$2:$K$70,"Fermé")+COUNTIFS(Base!$D$2:$D$70,7,Base!$K$2:$K$70,"Fermé soir")</f>
        <v/>
      </c>
      <c r="I11" s="10">
        <f>COUNTIFS(Base!$D$2:$D$70,7,Base!$L$2:$L$70,"Fermé")+COUNTIFS(Base!$D$2:$D$70,7,Base!$L$2:$L$70,"Fermé soir")</f>
        <v/>
      </c>
      <c r="J11" s="10">
        <f>COUNTIFS(Base!$D$2:$D$70,7,Base!$M$2:$M$70,"Fermé")+COUNTIFS(Base!$D$2:$D$70,7,Base!$M$2:$M$70,"Fermé soir")</f>
        <v/>
      </c>
      <c r="K11" s="10">
        <f>COUNTIFS(Restaurants!$C$3:$C$500,7,Restaurants!$O$3:$O$500,"&gt;0")</f>
        <v/>
      </c>
    </row>
    <row r="12">
      <c r="A12" s="10" t="inlineStr">
        <is>
          <t>8e</t>
        </is>
      </c>
      <c r="B12" s="10">
        <f>COUNTIF(Base!$D$2:$D$70,8)</f>
        <v/>
      </c>
      <c r="C12" s="10">
        <f>COUNTIFS(Base!$D$2:$D$70,8,Base!$A$2:$A$70,"Très haut de gamme (base)")</f>
        <v/>
      </c>
      <c r="D12" s="10">
        <f>COUNTIFS(Base!$D$2:$D$70,8,Base!$G$2:$G$70,"Fermé")+COUNTIFS(Base!$D$2:$D$70,8,Base!$G$2:$G$70,"Fermé soir")</f>
        <v/>
      </c>
      <c r="E12" s="10">
        <f>COUNTIFS(Base!$D$2:$D$70,8,Base!$H$2:$H$70,"Fermé")+COUNTIFS(Base!$D$2:$D$70,8,Base!$H$2:$H$70,"Fermé soir")</f>
        <v/>
      </c>
      <c r="F12" s="10">
        <f>COUNTIFS(Base!$D$2:$D$70,8,Base!$I$2:$I$70,"Fermé")+COUNTIFS(Base!$D$2:$D$70,8,Base!$I$2:$I$70,"Fermé soir")</f>
        <v/>
      </c>
      <c r="G12" s="10">
        <f>COUNTIFS(Base!$D$2:$D$70,8,Base!$J$2:$J$70,"Fermé")+COUNTIFS(Base!$D$2:$D$70,8,Base!$J$2:$J$70,"Fermé soir")</f>
        <v/>
      </c>
      <c r="H12" s="10">
        <f>COUNTIFS(Base!$D$2:$D$70,8,Base!$K$2:$K$70,"Fermé")+COUNTIFS(Base!$D$2:$D$70,8,Base!$K$2:$K$70,"Fermé soir")</f>
        <v/>
      </c>
      <c r="I12" s="10">
        <f>COUNTIFS(Base!$D$2:$D$70,8,Base!$L$2:$L$70,"Fermé")+COUNTIFS(Base!$D$2:$D$70,8,Base!$L$2:$L$70,"Fermé soir")</f>
        <v/>
      </c>
      <c r="J12" s="10">
        <f>COUNTIFS(Base!$D$2:$D$70,8,Base!$M$2:$M$70,"Fermé")+COUNTIFS(Base!$D$2:$D$70,8,Base!$M$2:$M$70,"Fermé soir")</f>
        <v/>
      </c>
      <c r="K12" s="10">
        <f>COUNTIFS(Restaurants!$C$3:$C$500,8,Restaurants!$O$3:$O$500,"&gt;0")</f>
        <v/>
      </c>
    </row>
    <row r="13">
      <c r="A13" s="10" t="inlineStr">
        <is>
          <t>9e</t>
        </is>
      </c>
      <c r="B13" s="10">
        <f>COUNTIF(Base!$D$2:$D$70,9)</f>
        <v/>
      </c>
      <c r="C13" s="10">
        <f>COUNTIFS(Base!$D$2:$D$70,9,Base!$A$2:$A$70,"Très haut de gamme (base)")</f>
        <v/>
      </c>
      <c r="D13" s="10">
        <f>COUNTIFS(Base!$D$2:$D$70,9,Base!$G$2:$G$70,"Fermé")+COUNTIFS(Base!$D$2:$D$70,9,Base!$G$2:$G$70,"Fermé soir")</f>
        <v/>
      </c>
      <c r="E13" s="10">
        <f>COUNTIFS(Base!$D$2:$D$70,9,Base!$H$2:$H$70,"Fermé")+COUNTIFS(Base!$D$2:$D$70,9,Base!$H$2:$H$70,"Fermé soir")</f>
        <v/>
      </c>
      <c r="F13" s="10">
        <f>COUNTIFS(Base!$D$2:$D$70,9,Base!$I$2:$I$70,"Fermé")+COUNTIFS(Base!$D$2:$D$70,9,Base!$I$2:$I$70,"Fermé soir")</f>
        <v/>
      </c>
      <c r="G13" s="10">
        <f>COUNTIFS(Base!$D$2:$D$70,9,Base!$J$2:$J$70,"Fermé")+COUNTIFS(Base!$D$2:$D$70,9,Base!$J$2:$J$70,"Fermé soir")</f>
        <v/>
      </c>
      <c r="H13" s="10">
        <f>COUNTIFS(Base!$D$2:$D$70,9,Base!$K$2:$K$70,"Fermé")+COUNTIFS(Base!$D$2:$D$70,9,Base!$K$2:$K$70,"Fermé soir")</f>
        <v/>
      </c>
      <c r="I13" s="10">
        <f>COUNTIFS(Base!$D$2:$D$70,9,Base!$L$2:$L$70,"Fermé")+COUNTIFS(Base!$D$2:$D$70,9,Base!$L$2:$L$70,"Fermé soir")</f>
        <v/>
      </c>
      <c r="J13" s="10">
        <f>COUNTIFS(Base!$D$2:$D$70,9,Base!$M$2:$M$70,"Fermé")+COUNTIFS(Base!$D$2:$D$70,9,Base!$M$2:$M$70,"Fermé soir")</f>
        <v/>
      </c>
      <c r="K13" s="10">
        <f>COUNTIFS(Restaurants!$C$3:$C$500,9,Restaurants!$O$3:$O$500,"&gt;0")</f>
        <v/>
      </c>
    </row>
    <row r="14">
      <c r="A14" s="10" t="inlineStr">
        <is>
          <t>10e</t>
        </is>
      </c>
      <c r="B14" s="10">
        <f>COUNTIF(Base!$D$2:$D$70,10)</f>
        <v/>
      </c>
      <c r="C14" s="10">
        <f>COUNTIFS(Base!$D$2:$D$70,10,Base!$A$2:$A$70,"Très haut de gamme (base)")</f>
        <v/>
      </c>
      <c r="D14" s="10">
        <f>COUNTIFS(Base!$D$2:$D$70,10,Base!$G$2:$G$70,"Fermé")+COUNTIFS(Base!$D$2:$D$70,10,Base!$G$2:$G$70,"Fermé soir")</f>
        <v/>
      </c>
      <c r="E14" s="10">
        <f>COUNTIFS(Base!$D$2:$D$70,10,Base!$H$2:$H$70,"Fermé")+COUNTIFS(Base!$D$2:$D$70,10,Base!$H$2:$H$70,"Fermé soir")</f>
        <v/>
      </c>
      <c r="F14" s="10">
        <f>COUNTIFS(Base!$D$2:$D$70,10,Base!$I$2:$I$70,"Fermé")+COUNTIFS(Base!$D$2:$D$70,10,Base!$I$2:$I$70,"Fermé soir")</f>
        <v/>
      </c>
      <c r="G14" s="10">
        <f>COUNTIFS(Base!$D$2:$D$70,10,Base!$J$2:$J$70,"Fermé")+COUNTIFS(Base!$D$2:$D$70,10,Base!$J$2:$J$70,"Fermé soir")</f>
        <v/>
      </c>
      <c r="H14" s="10">
        <f>COUNTIFS(Base!$D$2:$D$70,10,Base!$K$2:$K$70,"Fermé")+COUNTIFS(Base!$D$2:$D$70,10,Base!$K$2:$K$70,"Fermé soir")</f>
        <v/>
      </c>
      <c r="I14" s="10">
        <f>COUNTIFS(Base!$D$2:$D$70,10,Base!$L$2:$L$70,"Fermé")+COUNTIFS(Base!$D$2:$D$70,10,Base!$L$2:$L$70,"Fermé soir")</f>
        <v/>
      </c>
      <c r="J14" s="10">
        <f>COUNTIFS(Base!$D$2:$D$70,10,Base!$M$2:$M$70,"Fermé")+COUNTIFS(Base!$D$2:$D$70,10,Base!$M$2:$M$70,"Fermé soir")</f>
        <v/>
      </c>
      <c r="K14" s="10">
        <f>COUNTIFS(Restaurants!$C$3:$C$500,10,Restaurants!$O$3:$O$500,"&gt;0")</f>
        <v/>
      </c>
    </row>
    <row r="15">
      <c r="A15" s="10" t="inlineStr">
        <is>
          <t>11e</t>
        </is>
      </c>
      <c r="B15" s="10">
        <f>COUNTIF(Base!$D$2:$D$70,11)</f>
        <v/>
      </c>
      <c r="C15" s="10">
        <f>COUNTIFS(Base!$D$2:$D$70,11,Base!$A$2:$A$70,"Très haut de gamme (base)")</f>
        <v/>
      </c>
      <c r="D15" s="10">
        <f>COUNTIFS(Base!$D$2:$D$70,11,Base!$G$2:$G$70,"Fermé")+COUNTIFS(Base!$D$2:$D$70,11,Base!$G$2:$G$70,"Fermé soir")</f>
        <v/>
      </c>
      <c r="E15" s="10">
        <f>COUNTIFS(Base!$D$2:$D$70,11,Base!$H$2:$H$70,"Fermé")+COUNTIFS(Base!$D$2:$D$70,11,Base!$H$2:$H$70,"Fermé soir")</f>
        <v/>
      </c>
      <c r="F15" s="10">
        <f>COUNTIFS(Base!$D$2:$D$70,11,Base!$I$2:$I$70,"Fermé")+COUNTIFS(Base!$D$2:$D$70,11,Base!$I$2:$I$70,"Fermé soir")</f>
        <v/>
      </c>
      <c r="G15" s="10">
        <f>COUNTIFS(Base!$D$2:$D$70,11,Base!$J$2:$J$70,"Fermé")+COUNTIFS(Base!$D$2:$D$70,11,Base!$J$2:$J$70,"Fermé soir")</f>
        <v/>
      </c>
      <c r="H15" s="10">
        <f>COUNTIFS(Base!$D$2:$D$70,11,Base!$K$2:$K$70,"Fermé")+COUNTIFS(Base!$D$2:$D$70,11,Base!$K$2:$K$70,"Fermé soir")</f>
        <v/>
      </c>
      <c r="I15" s="10">
        <f>COUNTIFS(Base!$D$2:$D$70,11,Base!$L$2:$L$70,"Fermé")+COUNTIFS(Base!$D$2:$D$70,11,Base!$L$2:$L$70,"Fermé soir")</f>
        <v/>
      </c>
      <c r="J15" s="10">
        <f>COUNTIFS(Base!$D$2:$D$70,11,Base!$M$2:$M$70,"Fermé")+COUNTIFS(Base!$D$2:$D$70,11,Base!$M$2:$M$70,"Fermé soir")</f>
        <v/>
      </c>
      <c r="K15" s="10">
        <f>COUNTIFS(Restaurants!$C$3:$C$500,11,Restaurants!$O$3:$O$500,"&gt;0")</f>
        <v/>
      </c>
    </row>
    <row r="16">
      <c r="A16" s="10" t="inlineStr">
        <is>
          <t>12e</t>
        </is>
      </c>
      <c r="B16" s="10">
        <f>COUNTIF(Base!$D$2:$D$70,12)</f>
        <v/>
      </c>
      <c r="C16" s="10">
        <f>COUNTIFS(Base!$D$2:$D$70,12,Base!$A$2:$A$70,"Très haut de gamme (base)")</f>
        <v/>
      </c>
      <c r="D16" s="10">
        <f>COUNTIFS(Base!$D$2:$D$70,12,Base!$G$2:$G$70,"Fermé")+COUNTIFS(Base!$D$2:$D$70,12,Base!$G$2:$G$70,"Fermé soir")</f>
        <v/>
      </c>
      <c r="E16" s="10">
        <f>COUNTIFS(Base!$D$2:$D$70,12,Base!$H$2:$H$70,"Fermé")+COUNTIFS(Base!$D$2:$D$70,12,Base!$H$2:$H$70,"Fermé soir")</f>
        <v/>
      </c>
      <c r="F16" s="10">
        <f>COUNTIFS(Base!$D$2:$D$70,12,Base!$I$2:$I$70,"Fermé")+COUNTIFS(Base!$D$2:$D$70,12,Base!$I$2:$I$70,"Fermé soir")</f>
        <v/>
      </c>
      <c r="G16" s="10">
        <f>COUNTIFS(Base!$D$2:$D$70,12,Base!$J$2:$J$70,"Fermé")+COUNTIFS(Base!$D$2:$D$70,12,Base!$J$2:$J$70,"Fermé soir")</f>
        <v/>
      </c>
      <c r="H16" s="10">
        <f>COUNTIFS(Base!$D$2:$D$70,12,Base!$K$2:$K$70,"Fermé")+COUNTIFS(Base!$D$2:$D$70,12,Base!$K$2:$K$70,"Fermé soir")</f>
        <v/>
      </c>
      <c r="I16" s="10">
        <f>COUNTIFS(Base!$D$2:$D$70,12,Base!$L$2:$L$70,"Fermé")+COUNTIFS(Base!$D$2:$D$70,12,Base!$L$2:$L$70,"Fermé soir")</f>
        <v/>
      </c>
      <c r="J16" s="10">
        <f>COUNTIFS(Base!$D$2:$D$70,12,Base!$M$2:$M$70,"Fermé")+COUNTIFS(Base!$D$2:$D$70,12,Base!$M$2:$M$70,"Fermé soir")</f>
        <v/>
      </c>
      <c r="K16" s="10">
        <f>COUNTIFS(Restaurants!$C$3:$C$500,12,Restaurants!$O$3:$O$500,"&gt;0")</f>
        <v/>
      </c>
    </row>
    <row r="17">
      <c r="A17" s="10" t="inlineStr">
        <is>
          <t>13e</t>
        </is>
      </c>
      <c r="B17" s="10">
        <f>COUNTIF(Base!$D$2:$D$70,13)</f>
        <v/>
      </c>
      <c r="C17" s="10">
        <f>COUNTIFS(Base!$D$2:$D$70,13,Base!$A$2:$A$70,"Très haut de gamme (base)")</f>
        <v/>
      </c>
      <c r="D17" s="10">
        <f>COUNTIFS(Base!$D$2:$D$70,13,Base!$G$2:$G$70,"Fermé")+COUNTIFS(Base!$D$2:$D$70,13,Base!$G$2:$G$70,"Fermé soir")</f>
        <v/>
      </c>
      <c r="E17" s="10">
        <f>COUNTIFS(Base!$D$2:$D$70,13,Base!$H$2:$H$70,"Fermé")+COUNTIFS(Base!$D$2:$D$70,13,Base!$H$2:$H$70,"Fermé soir")</f>
        <v/>
      </c>
      <c r="F17" s="10">
        <f>COUNTIFS(Base!$D$2:$D$70,13,Base!$I$2:$I$70,"Fermé")+COUNTIFS(Base!$D$2:$D$70,13,Base!$I$2:$I$70,"Fermé soir")</f>
        <v/>
      </c>
      <c r="G17" s="10">
        <f>COUNTIFS(Base!$D$2:$D$70,13,Base!$J$2:$J$70,"Fermé")+COUNTIFS(Base!$D$2:$D$70,13,Base!$J$2:$J$70,"Fermé soir")</f>
        <v/>
      </c>
      <c r="H17" s="10">
        <f>COUNTIFS(Base!$D$2:$D$70,13,Base!$K$2:$K$70,"Fermé")+COUNTIFS(Base!$D$2:$D$70,13,Base!$K$2:$K$70,"Fermé soir")</f>
        <v/>
      </c>
      <c r="I17" s="10">
        <f>COUNTIFS(Base!$D$2:$D$70,13,Base!$L$2:$L$70,"Fermé")+COUNTIFS(Base!$D$2:$D$70,13,Base!$L$2:$L$70,"Fermé soir")</f>
        <v/>
      </c>
      <c r="J17" s="10">
        <f>COUNTIFS(Base!$D$2:$D$70,13,Base!$M$2:$M$70,"Fermé")+COUNTIFS(Base!$D$2:$D$70,13,Base!$M$2:$M$70,"Fermé soir")</f>
        <v/>
      </c>
      <c r="K17" s="10">
        <f>COUNTIFS(Restaurants!$C$3:$C$500,13,Restaurants!$O$3:$O$500,"&gt;0")</f>
        <v/>
      </c>
    </row>
    <row r="18">
      <c r="A18" s="10" t="inlineStr">
        <is>
          <t>14e</t>
        </is>
      </c>
      <c r="B18" s="10">
        <f>COUNTIF(Base!$D$2:$D$70,14)</f>
        <v/>
      </c>
      <c r="C18" s="10">
        <f>COUNTIFS(Base!$D$2:$D$70,14,Base!$A$2:$A$70,"Très haut de gamme (base)")</f>
        <v/>
      </c>
      <c r="D18" s="10">
        <f>COUNTIFS(Base!$D$2:$D$70,14,Base!$G$2:$G$70,"Fermé")+COUNTIFS(Base!$D$2:$D$70,14,Base!$G$2:$G$70,"Fermé soir")</f>
        <v/>
      </c>
      <c r="E18" s="10">
        <f>COUNTIFS(Base!$D$2:$D$70,14,Base!$H$2:$H$70,"Fermé")+COUNTIFS(Base!$D$2:$D$70,14,Base!$H$2:$H$70,"Fermé soir")</f>
        <v/>
      </c>
      <c r="F18" s="10">
        <f>COUNTIFS(Base!$D$2:$D$70,14,Base!$I$2:$I$70,"Fermé")+COUNTIFS(Base!$D$2:$D$70,14,Base!$I$2:$I$70,"Fermé soir")</f>
        <v/>
      </c>
      <c r="G18" s="10">
        <f>COUNTIFS(Base!$D$2:$D$70,14,Base!$J$2:$J$70,"Fermé")+COUNTIFS(Base!$D$2:$D$70,14,Base!$J$2:$J$70,"Fermé soir")</f>
        <v/>
      </c>
      <c r="H18" s="10">
        <f>COUNTIFS(Base!$D$2:$D$70,14,Base!$K$2:$K$70,"Fermé")+COUNTIFS(Base!$D$2:$D$70,14,Base!$K$2:$K$70,"Fermé soir")</f>
        <v/>
      </c>
      <c r="I18" s="10">
        <f>COUNTIFS(Base!$D$2:$D$70,14,Base!$L$2:$L$70,"Fermé")+COUNTIFS(Base!$D$2:$D$70,14,Base!$L$2:$L$70,"Fermé soir")</f>
        <v/>
      </c>
      <c r="J18" s="10">
        <f>COUNTIFS(Base!$D$2:$D$70,14,Base!$M$2:$M$70,"Fermé")+COUNTIFS(Base!$D$2:$D$70,14,Base!$M$2:$M$70,"Fermé soir")</f>
        <v/>
      </c>
      <c r="K18" s="10">
        <f>COUNTIFS(Restaurants!$C$3:$C$500,14,Restaurants!$O$3:$O$500,"&gt;0")</f>
        <v/>
      </c>
    </row>
    <row r="19">
      <c r="A19" s="10" t="inlineStr">
        <is>
          <t>15e</t>
        </is>
      </c>
      <c r="B19" s="10">
        <f>COUNTIF(Base!$D$2:$D$70,15)</f>
        <v/>
      </c>
      <c r="C19" s="10">
        <f>COUNTIFS(Base!$D$2:$D$70,15,Base!$A$2:$A$70,"Très haut de gamme (base)")</f>
        <v/>
      </c>
      <c r="D19" s="10">
        <f>COUNTIFS(Base!$D$2:$D$70,15,Base!$G$2:$G$70,"Fermé")+COUNTIFS(Base!$D$2:$D$70,15,Base!$G$2:$G$70,"Fermé soir")</f>
        <v/>
      </c>
      <c r="E19" s="10">
        <f>COUNTIFS(Base!$D$2:$D$70,15,Base!$H$2:$H$70,"Fermé")+COUNTIFS(Base!$D$2:$D$70,15,Base!$H$2:$H$70,"Fermé soir")</f>
        <v/>
      </c>
      <c r="F19" s="10">
        <f>COUNTIFS(Base!$D$2:$D$70,15,Base!$I$2:$I$70,"Fermé")+COUNTIFS(Base!$D$2:$D$70,15,Base!$I$2:$I$70,"Fermé soir")</f>
        <v/>
      </c>
      <c r="G19" s="10">
        <f>COUNTIFS(Base!$D$2:$D$70,15,Base!$J$2:$J$70,"Fermé")+COUNTIFS(Base!$D$2:$D$70,15,Base!$J$2:$J$70,"Fermé soir")</f>
        <v/>
      </c>
      <c r="H19" s="10">
        <f>COUNTIFS(Base!$D$2:$D$70,15,Base!$K$2:$K$70,"Fermé")+COUNTIFS(Base!$D$2:$D$70,15,Base!$K$2:$K$70,"Fermé soir")</f>
        <v/>
      </c>
      <c r="I19" s="10">
        <f>COUNTIFS(Base!$D$2:$D$70,15,Base!$L$2:$L$70,"Fermé")+COUNTIFS(Base!$D$2:$D$70,15,Base!$L$2:$L$70,"Fermé soir")</f>
        <v/>
      </c>
      <c r="J19" s="10">
        <f>COUNTIFS(Base!$D$2:$D$70,15,Base!$M$2:$M$70,"Fermé")+COUNTIFS(Base!$D$2:$D$70,15,Base!$M$2:$M$70,"Fermé soir")</f>
        <v/>
      </c>
      <c r="K19" s="10">
        <f>COUNTIFS(Restaurants!$C$3:$C$500,15,Restaurants!$O$3:$O$500,"&gt;0")</f>
        <v/>
      </c>
    </row>
    <row r="20">
      <c r="A20" s="10" t="inlineStr">
        <is>
          <t>16e</t>
        </is>
      </c>
      <c r="B20" s="10">
        <f>COUNTIF(Base!$D$2:$D$70,16)</f>
        <v/>
      </c>
      <c r="C20" s="10">
        <f>COUNTIFS(Base!$D$2:$D$70,16,Base!$A$2:$A$70,"Très haut de gamme (base)")</f>
        <v/>
      </c>
      <c r="D20" s="10">
        <f>COUNTIFS(Base!$D$2:$D$70,16,Base!$G$2:$G$70,"Fermé")+COUNTIFS(Base!$D$2:$D$70,16,Base!$G$2:$G$70,"Fermé soir")</f>
        <v/>
      </c>
      <c r="E20" s="10">
        <f>COUNTIFS(Base!$D$2:$D$70,16,Base!$H$2:$H$70,"Fermé")+COUNTIFS(Base!$D$2:$D$70,16,Base!$H$2:$H$70,"Fermé soir")</f>
        <v/>
      </c>
      <c r="F20" s="10">
        <f>COUNTIFS(Base!$D$2:$D$70,16,Base!$I$2:$I$70,"Fermé")+COUNTIFS(Base!$D$2:$D$70,16,Base!$I$2:$I$70,"Fermé soir")</f>
        <v/>
      </c>
      <c r="G20" s="10">
        <f>COUNTIFS(Base!$D$2:$D$70,16,Base!$J$2:$J$70,"Fermé")+COUNTIFS(Base!$D$2:$D$70,16,Base!$J$2:$J$70,"Fermé soir")</f>
        <v/>
      </c>
      <c r="H20" s="10">
        <f>COUNTIFS(Base!$D$2:$D$70,16,Base!$K$2:$K$70,"Fermé")+COUNTIFS(Base!$D$2:$D$70,16,Base!$K$2:$K$70,"Fermé soir")</f>
        <v/>
      </c>
      <c r="I20" s="10">
        <f>COUNTIFS(Base!$D$2:$D$70,16,Base!$L$2:$L$70,"Fermé")+COUNTIFS(Base!$D$2:$D$70,16,Base!$L$2:$L$70,"Fermé soir")</f>
        <v/>
      </c>
      <c r="J20" s="10">
        <f>COUNTIFS(Base!$D$2:$D$70,16,Base!$M$2:$M$70,"Fermé")+COUNTIFS(Base!$D$2:$D$70,16,Base!$M$2:$M$70,"Fermé soir")</f>
        <v/>
      </c>
      <c r="K20" s="10">
        <f>COUNTIFS(Restaurants!$C$3:$C$500,16,Restaurants!$O$3:$O$500,"&gt;0")</f>
        <v/>
      </c>
    </row>
    <row r="21">
      <c r="A21" s="10" t="inlineStr">
        <is>
          <t>17e</t>
        </is>
      </c>
      <c r="B21" s="10">
        <f>COUNTIF(Base!$D$2:$D$70,17)</f>
        <v/>
      </c>
      <c r="C21" s="10">
        <f>COUNTIFS(Base!$D$2:$D$70,17,Base!$A$2:$A$70,"Très haut de gamme (base)")</f>
        <v/>
      </c>
      <c r="D21" s="10">
        <f>COUNTIFS(Base!$D$2:$D$70,17,Base!$G$2:$G$70,"Fermé")+COUNTIFS(Base!$D$2:$D$70,17,Base!$G$2:$G$70,"Fermé soir")</f>
        <v/>
      </c>
      <c r="E21" s="10">
        <f>COUNTIFS(Base!$D$2:$D$70,17,Base!$H$2:$H$70,"Fermé")+COUNTIFS(Base!$D$2:$D$70,17,Base!$H$2:$H$70,"Fermé soir")</f>
        <v/>
      </c>
      <c r="F21" s="10">
        <f>COUNTIFS(Base!$D$2:$D$70,17,Base!$I$2:$I$70,"Fermé")+COUNTIFS(Base!$D$2:$D$70,17,Base!$I$2:$I$70,"Fermé soir")</f>
        <v/>
      </c>
      <c r="G21" s="10">
        <f>COUNTIFS(Base!$D$2:$D$70,17,Base!$J$2:$J$70,"Fermé")+COUNTIFS(Base!$D$2:$D$70,17,Base!$J$2:$J$70,"Fermé soir")</f>
        <v/>
      </c>
      <c r="H21" s="10">
        <f>COUNTIFS(Base!$D$2:$D$70,17,Base!$K$2:$K$70,"Fermé")+COUNTIFS(Base!$D$2:$D$70,17,Base!$K$2:$K$70,"Fermé soir")</f>
        <v/>
      </c>
      <c r="I21" s="10">
        <f>COUNTIFS(Base!$D$2:$D$70,17,Base!$L$2:$L$70,"Fermé")+COUNTIFS(Base!$D$2:$D$70,17,Base!$L$2:$L$70,"Fermé soir")</f>
        <v/>
      </c>
      <c r="J21" s="10">
        <f>COUNTIFS(Base!$D$2:$D$70,17,Base!$M$2:$M$70,"Fermé")+COUNTIFS(Base!$D$2:$D$70,17,Base!$M$2:$M$70,"Fermé soir")</f>
        <v/>
      </c>
      <c r="K21" s="10">
        <f>COUNTIFS(Restaurants!$C$3:$C$500,17,Restaurants!$O$3:$O$500,"&gt;0")</f>
        <v/>
      </c>
    </row>
    <row r="22">
      <c r="A22" s="10" t="inlineStr">
        <is>
          <t>18e</t>
        </is>
      </c>
      <c r="B22" s="10">
        <f>COUNTIF(Base!$D$2:$D$70,18)</f>
        <v/>
      </c>
      <c r="C22" s="10">
        <f>COUNTIFS(Base!$D$2:$D$70,18,Base!$A$2:$A$70,"Très haut de gamme (base)")</f>
        <v/>
      </c>
      <c r="D22" s="10">
        <f>COUNTIFS(Base!$D$2:$D$70,18,Base!$G$2:$G$70,"Fermé")+COUNTIFS(Base!$D$2:$D$70,18,Base!$G$2:$G$70,"Fermé soir")</f>
        <v/>
      </c>
      <c r="E22" s="10">
        <f>COUNTIFS(Base!$D$2:$D$70,18,Base!$H$2:$H$70,"Fermé")+COUNTIFS(Base!$D$2:$D$70,18,Base!$H$2:$H$70,"Fermé soir")</f>
        <v/>
      </c>
      <c r="F22" s="10">
        <f>COUNTIFS(Base!$D$2:$D$70,18,Base!$I$2:$I$70,"Fermé")+COUNTIFS(Base!$D$2:$D$70,18,Base!$I$2:$I$70,"Fermé soir")</f>
        <v/>
      </c>
      <c r="G22" s="10">
        <f>COUNTIFS(Base!$D$2:$D$70,18,Base!$J$2:$J$70,"Fermé")+COUNTIFS(Base!$D$2:$D$70,18,Base!$J$2:$J$70,"Fermé soir")</f>
        <v/>
      </c>
      <c r="H22" s="10">
        <f>COUNTIFS(Base!$D$2:$D$70,18,Base!$K$2:$K$70,"Fermé")+COUNTIFS(Base!$D$2:$D$70,18,Base!$K$2:$K$70,"Fermé soir")</f>
        <v/>
      </c>
      <c r="I22" s="10">
        <f>COUNTIFS(Base!$D$2:$D$70,18,Base!$L$2:$L$70,"Fermé")+COUNTIFS(Base!$D$2:$D$70,18,Base!$L$2:$L$70,"Fermé soir")</f>
        <v/>
      </c>
      <c r="J22" s="10">
        <f>COUNTIFS(Base!$D$2:$D$70,18,Base!$M$2:$M$70,"Fermé")+COUNTIFS(Base!$D$2:$D$70,18,Base!$M$2:$M$70,"Fermé soir")</f>
        <v/>
      </c>
      <c r="K22" s="10">
        <f>COUNTIFS(Restaurants!$C$3:$C$500,18,Restaurants!$O$3:$O$500,"&gt;0")</f>
        <v/>
      </c>
    </row>
    <row r="23">
      <c r="A23" s="10" t="inlineStr">
        <is>
          <t>19e</t>
        </is>
      </c>
      <c r="B23" s="10">
        <f>COUNTIF(Base!$D$2:$D$70,19)</f>
        <v/>
      </c>
      <c r="C23" s="10">
        <f>COUNTIFS(Base!$D$2:$D$70,19,Base!$A$2:$A$70,"Très haut de gamme (base)")</f>
        <v/>
      </c>
      <c r="D23" s="10">
        <f>COUNTIFS(Base!$D$2:$D$70,19,Base!$G$2:$G$70,"Fermé")+COUNTIFS(Base!$D$2:$D$70,19,Base!$G$2:$G$70,"Fermé soir")</f>
        <v/>
      </c>
      <c r="E23" s="10">
        <f>COUNTIFS(Base!$D$2:$D$70,19,Base!$H$2:$H$70,"Fermé")+COUNTIFS(Base!$D$2:$D$70,19,Base!$H$2:$H$70,"Fermé soir")</f>
        <v/>
      </c>
      <c r="F23" s="10">
        <f>COUNTIFS(Base!$D$2:$D$70,19,Base!$I$2:$I$70,"Fermé")+COUNTIFS(Base!$D$2:$D$70,19,Base!$I$2:$I$70,"Fermé soir")</f>
        <v/>
      </c>
      <c r="G23" s="10">
        <f>COUNTIFS(Base!$D$2:$D$70,19,Base!$J$2:$J$70,"Fermé")+COUNTIFS(Base!$D$2:$D$70,19,Base!$J$2:$J$70,"Fermé soir")</f>
        <v/>
      </c>
      <c r="H23" s="10">
        <f>COUNTIFS(Base!$D$2:$D$70,19,Base!$K$2:$K$70,"Fermé")+COUNTIFS(Base!$D$2:$D$70,19,Base!$K$2:$K$70,"Fermé soir")</f>
        <v/>
      </c>
      <c r="I23" s="10">
        <f>COUNTIFS(Base!$D$2:$D$70,19,Base!$L$2:$L$70,"Fermé")+COUNTIFS(Base!$D$2:$D$70,19,Base!$L$2:$L$70,"Fermé soir")</f>
        <v/>
      </c>
      <c r="J23" s="10">
        <f>COUNTIFS(Base!$D$2:$D$70,19,Base!$M$2:$M$70,"Fermé")+COUNTIFS(Base!$D$2:$D$70,19,Base!$M$2:$M$70,"Fermé soir")</f>
        <v/>
      </c>
      <c r="K23" s="10">
        <f>COUNTIFS(Restaurants!$C$3:$C$500,19,Restaurants!$O$3:$O$500,"&gt;0")</f>
        <v/>
      </c>
    </row>
    <row r="24">
      <c r="A24" s="10" t="inlineStr">
        <is>
          <t>20e</t>
        </is>
      </c>
      <c r="B24" s="10">
        <f>COUNTIF(Base!$D$2:$D$70,20)</f>
        <v/>
      </c>
      <c r="C24" s="10">
        <f>COUNTIFS(Base!$D$2:$D$70,20,Base!$A$2:$A$70,"Très haut de gamme (base)")</f>
        <v/>
      </c>
      <c r="D24" s="10">
        <f>COUNTIFS(Base!$D$2:$D$70,20,Base!$G$2:$G$70,"Fermé")+COUNTIFS(Base!$D$2:$D$70,20,Base!$G$2:$G$70,"Fermé soir")</f>
        <v/>
      </c>
      <c r="E24" s="10">
        <f>COUNTIFS(Base!$D$2:$D$70,20,Base!$H$2:$H$70,"Fermé")+COUNTIFS(Base!$D$2:$D$70,20,Base!$H$2:$H$70,"Fermé soir")</f>
        <v/>
      </c>
      <c r="F24" s="10">
        <f>COUNTIFS(Base!$D$2:$D$70,20,Base!$I$2:$I$70,"Fermé")+COUNTIFS(Base!$D$2:$D$70,20,Base!$I$2:$I$70,"Fermé soir")</f>
        <v/>
      </c>
      <c r="G24" s="10">
        <f>COUNTIFS(Base!$D$2:$D$70,20,Base!$J$2:$J$70,"Fermé")+COUNTIFS(Base!$D$2:$D$70,20,Base!$J$2:$J$70,"Fermé soir")</f>
        <v/>
      </c>
      <c r="H24" s="10">
        <f>COUNTIFS(Base!$D$2:$D$70,20,Base!$K$2:$K$70,"Fermé")+COUNTIFS(Base!$D$2:$D$70,20,Base!$K$2:$K$70,"Fermé soir")</f>
        <v/>
      </c>
      <c r="I24" s="10">
        <f>COUNTIFS(Base!$D$2:$D$70,20,Base!$L$2:$L$70,"Fermé")+COUNTIFS(Base!$D$2:$D$70,20,Base!$L$2:$L$70,"Fermé soir")</f>
        <v/>
      </c>
      <c r="J24" s="10">
        <f>COUNTIFS(Base!$D$2:$D$70,20,Base!$M$2:$M$70,"Fermé")+COUNTIFS(Base!$D$2:$D$70,20,Base!$M$2:$M$70,"Fermé soir")</f>
        <v/>
      </c>
      <c r="K24" s="10">
        <f>COUNTIFS(Restaurants!$C$3:$C$500,20,Restaurants!$O$3:$O$500,"&gt;0")</f>
        <v/>
      </c>
    </row>
    <row r="25">
      <c r="A25" s="21" t="inlineStr">
        <is>
          <t>Paris</t>
        </is>
      </c>
      <c r="B25" s="21">
        <f>SUM(B5:B24)</f>
        <v/>
      </c>
      <c r="C25" s="21">
        <f>SUM(C5:C24)</f>
        <v/>
      </c>
      <c r="D25" s="21">
        <f>SUM(D5:D24)</f>
        <v/>
      </c>
      <c r="E25" s="21">
        <f>SUM(E5:E24)</f>
        <v/>
      </c>
      <c r="F25" s="21">
        <f>SUM(F5:F24)</f>
        <v/>
      </c>
      <c r="G25" s="21">
        <f>SUM(G5:G24)</f>
        <v/>
      </c>
      <c r="H25" s="21">
        <f>SUM(H5:H24)</f>
        <v/>
      </c>
      <c r="I25" s="21">
        <f>SUM(I5:I24)</f>
        <v/>
      </c>
      <c r="J25" s="21">
        <f>SUM(J5:J24)</f>
        <v/>
      </c>
      <c r="K25" s="21">
        <f>SUM(K5:K24)</f>
        <v/>
      </c>
    </row>
  </sheetData>
  <conditionalFormatting sqref="D5:J24">
    <cfRule type="cellIs" priority="1" operator="greaterThanOrEqual" dxfId="3">
      <formula>3</formula>
    </cfRule>
    <cfRule type="cellIs" priority="2" operator="between" dxfId="4">
      <formula>1</formula>
      <formula>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6" customWidth="1" min="4" max="4"/>
    <col width="26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8" customWidth="1" min="14" max="14"/>
    <col width="30" customWidth="1" min="15" max="15"/>
  </cols>
  <sheetData>
    <row r="1" ht="34" customHeight="1">
      <c r="A1" s="8" t="inlineStr">
        <is>
          <t>Niveau</t>
        </is>
      </c>
      <c r="B1" s="8" t="inlineStr">
        <is>
          <t>Nom</t>
        </is>
      </c>
      <c r="C1" s="8" t="inlineStr">
        <is>
          <t>Adresse</t>
        </is>
      </c>
      <c r="D1" s="8" t="inlineStr">
        <is>
          <t>Arr.</t>
        </is>
      </c>
      <c r="E1" s="8" t="inlineStr">
        <is>
          <t>Type de cuisine</t>
        </is>
      </c>
      <c r="F1" s="8" t="inlineStr">
        <is>
          <t>Ticket estimé €/pers.</t>
        </is>
      </c>
      <c r="G1" s="8" t="inlineStr">
        <is>
          <t>Lundi</t>
        </is>
      </c>
      <c r="H1" s="8" t="inlineStr">
        <is>
          <t>Mardi</t>
        </is>
      </c>
      <c r="I1" s="8" t="inlineStr">
        <is>
          <t>Mercredi</t>
        </is>
      </c>
      <c r="J1" s="8" t="inlineStr">
        <is>
          <t>Jeudi</t>
        </is>
      </c>
      <c r="K1" s="8" t="inlineStr">
        <is>
          <t>Vendredi</t>
        </is>
      </c>
      <c r="L1" s="8" t="inlineStr">
        <is>
          <t>Samedi</t>
        </is>
      </c>
      <c r="M1" s="8" t="inlineStr">
        <is>
          <t>Dimanche</t>
        </is>
      </c>
      <c r="N1" s="8" t="inlineStr">
        <is>
          <t>Fermeture (texte fiche)</t>
        </is>
      </c>
      <c r="O1" s="8" t="inlineStr">
        <is>
          <t>Source</t>
        </is>
      </c>
    </row>
    <row r="2">
      <c r="A2" s="27" t="inlineStr">
        <is>
          <t>Très haut de gamme (base)</t>
        </is>
      </c>
      <c r="B2" s="27" t="inlineStr">
        <is>
          <t>Granite</t>
        </is>
      </c>
      <c r="C2" s="27" t="inlineStr">
        <is>
          <t>6 Rue Bailleul, 75001 Paris</t>
        </is>
      </c>
      <c r="D2" s="27" t="n">
        <v>1</v>
      </c>
      <c r="E2" s="27" t="inlineStr">
        <is>
          <t>espagnols, gastronomiques</t>
        </is>
      </c>
      <c r="F2" s="27" t="n">
        <v>143</v>
      </c>
      <c r="G2" s="27" t="inlineStr">
        <is>
          <t>Ouvert</t>
        </is>
      </c>
      <c r="H2" s="27" t="inlineStr">
        <is>
          <t>Ouvert</t>
        </is>
      </c>
      <c r="I2" s="27" t="inlineStr">
        <is>
          <t>Ouvert</t>
        </is>
      </c>
      <c r="J2" s="27" t="inlineStr">
        <is>
          <t>Ouvert</t>
        </is>
      </c>
      <c r="K2" s="27" t="inlineStr">
        <is>
          <t>Ouvert</t>
        </is>
      </c>
      <c r="L2" s="27" t="inlineStr">
        <is>
          <t>Fermé</t>
        </is>
      </c>
      <c r="M2" s="27" t="inlineStr">
        <is>
          <t>Fermé</t>
        </is>
      </c>
      <c r="N2" s="27" t="inlineStr">
        <is>
          <t>Samedi, dimanche</t>
        </is>
      </c>
      <c r="O2" s="27" t="inlineStr">
        <is>
          <t>https://www.gillespudlowski.com/recherche/Restaurants/0/France/Paris/Paris/75001/</t>
        </is>
      </c>
    </row>
    <row r="3">
      <c r="A3" s="27" t="inlineStr">
        <is>
          <t>Très haut de gamme (base)</t>
        </is>
      </c>
      <c r="B3" s="27" t="inlineStr">
        <is>
          <t>L'Assaggio à l'hôtel Castille</t>
        </is>
      </c>
      <c r="C3" s="27" t="inlineStr">
        <is>
          <t>37 rue Cambon, 75001 Paris</t>
        </is>
      </c>
      <c r="D3" s="27" t="n">
        <v>1</v>
      </c>
      <c r="E3" s="27" t="inlineStr">
        <is>
          <t>gastronomiques, italiens</t>
        </is>
      </c>
      <c r="F3" s="27" t="n">
        <v>120</v>
      </c>
      <c r="G3" s="27" t="inlineStr">
        <is>
          <t>Ouvert</t>
        </is>
      </c>
      <c r="H3" s="27" t="inlineStr">
        <is>
          <t>Ouvert</t>
        </is>
      </c>
      <c r="I3" s="27" t="inlineStr">
        <is>
          <t>Ouvert</t>
        </is>
      </c>
      <c r="J3" s="27" t="inlineStr">
        <is>
          <t>Ouvert</t>
        </is>
      </c>
      <c r="K3" s="27" t="inlineStr">
        <is>
          <t>Ouvert</t>
        </is>
      </c>
      <c r="L3" s="27" t="inlineStr">
        <is>
          <t>Ouvert</t>
        </is>
      </c>
      <c r="M3" s="27" t="inlineStr">
        <is>
          <t>Ouvert</t>
        </is>
      </c>
      <c r="N3" s="27" t="inlineStr">
        <is>
          <t>ouvert 7j/7</t>
        </is>
      </c>
      <c r="O3" s="27" t="inlineStr">
        <is>
          <t>https://www.gillespudlowski.com/recherche/Restaurants/0/France/Paris/Paris/75001/</t>
        </is>
      </c>
    </row>
    <row r="4">
      <c r="A4" s="27" t="inlineStr">
        <is>
          <t>Très haut de gamme (base)</t>
        </is>
      </c>
      <c r="B4" s="27" t="inlineStr">
        <is>
          <t>La Poule au Pot</t>
        </is>
      </c>
      <c r="C4" s="27" t="inlineStr">
        <is>
          <t>9 rue Vauvilliers, 75001 Paris</t>
        </is>
      </c>
      <c r="D4" s="27" t="n">
        <v>1</v>
      </c>
      <c r="E4" s="27" t="inlineStr">
        <is>
          <t>Bistrots, français</t>
        </is>
      </c>
      <c r="F4" s="27" t="n">
        <v>122</v>
      </c>
      <c r="G4" s="27" t="inlineStr">
        <is>
          <t>Fermé</t>
        </is>
      </c>
      <c r="H4" s="27" t="inlineStr">
        <is>
          <t>Ouvert</t>
        </is>
      </c>
      <c r="I4" s="27" t="inlineStr">
        <is>
          <t>Ouvert</t>
        </is>
      </c>
      <c r="J4" s="27" t="inlineStr">
        <is>
          <t>Ouvert</t>
        </is>
      </c>
      <c r="K4" s="27" t="inlineStr">
        <is>
          <t>Ouvert</t>
        </is>
      </c>
      <c r="L4" s="27" t="inlineStr">
        <is>
          <t>Ouvert</t>
        </is>
      </c>
      <c r="M4" s="27" t="inlineStr">
        <is>
          <t>Fermé</t>
        </is>
      </c>
      <c r="N4" s="27" t="inlineStr">
        <is>
          <t>lundi, dimanche</t>
        </is>
      </c>
      <c r="O4" s="27" t="inlineStr">
        <is>
          <t>https://www.gillespudlowski.com/recherche/Restaurants/0/France/Paris/Paris/75001/</t>
        </is>
      </c>
    </row>
    <row r="5">
      <c r="A5" s="27" t="inlineStr">
        <is>
          <t>Très haut de gamme (base)</t>
        </is>
      </c>
      <c r="B5" s="27" t="inlineStr">
        <is>
          <t>Langosteria</t>
        </is>
      </c>
      <c r="C5" s="27" t="inlineStr">
        <is>
          <t>Cheval Blanc Paris (7e étage), 8 quai du Louvre, 75001 Paris</t>
        </is>
      </c>
      <c r="D5" s="27" t="n">
        <v>1</v>
      </c>
      <c r="E5" s="27" t="inlineStr">
        <is>
          <t>français, gastronomiques</t>
        </is>
      </c>
      <c r="F5" s="27" t="n">
        <v>200</v>
      </c>
      <c r="G5" s="27" t="inlineStr">
        <is>
          <t>Fermé midi</t>
        </is>
      </c>
      <c r="H5" s="27" t="inlineStr">
        <is>
          <t>Fermé midi</t>
        </is>
      </c>
      <c r="I5" s="27" t="inlineStr">
        <is>
          <t>Ouvert</t>
        </is>
      </c>
      <c r="J5" s="27" t="inlineStr">
        <is>
          <t>Ouvert</t>
        </is>
      </c>
      <c r="K5" s="27" t="inlineStr">
        <is>
          <t>Ouvert</t>
        </is>
      </c>
      <c r="L5" s="27" t="inlineStr">
        <is>
          <t>Ouvert</t>
        </is>
      </c>
      <c r="M5" s="27" t="inlineStr">
        <is>
          <t>Ouvert</t>
        </is>
      </c>
      <c r="N5" s="27" t="inlineStr">
        <is>
          <t>Lundi midi, mardi midi</t>
        </is>
      </c>
      <c r="O5" s="27" t="inlineStr">
        <is>
          <t>https://www.gillespudlowski.com/recherche/Restaurants/0/France/Paris/Paris/75001/</t>
        </is>
      </c>
    </row>
    <row r="6">
      <c r="A6" s="27" t="inlineStr">
        <is>
          <t>Très haut de gamme (base)</t>
        </is>
      </c>
      <c r="B6" s="27" t="inlineStr">
        <is>
          <t>Le Grand Véfour</t>
        </is>
      </c>
      <c r="C6" s="27" t="inlineStr">
        <is>
          <t>17 rue de Beaujolais, 75001 Paris</t>
        </is>
      </c>
      <c r="D6" s="27" t="n">
        <v>1</v>
      </c>
      <c r="E6" s="27" t="inlineStr">
        <is>
          <t>français, gastronomiques</t>
        </is>
      </c>
      <c r="F6" s="27" t="n">
        <v>170</v>
      </c>
      <c r="G6" s="27" t="inlineStr">
        <is>
          <t>Ouvert</t>
        </is>
      </c>
      <c r="H6" s="27" t="inlineStr">
        <is>
          <t>Ouvert</t>
        </is>
      </c>
      <c r="I6" s="27" t="inlineStr">
        <is>
          <t>Ouvert</t>
        </is>
      </c>
      <c r="J6" s="27" t="inlineStr">
        <is>
          <t>Ouvert</t>
        </is>
      </c>
      <c r="K6" s="27" t="inlineStr">
        <is>
          <t>Ouvert</t>
        </is>
      </c>
      <c r="L6" s="27" t="inlineStr">
        <is>
          <t>Ouvert</t>
        </is>
      </c>
      <c r="M6" s="27" t="inlineStr">
        <is>
          <t>Ouvert</t>
        </is>
      </c>
      <c r="N6" s="27" t="inlineStr">
        <is>
          <t>ouvert 7j/7</t>
        </is>
      </c>
      <c r="O6" s="27" t="inlineStr">
        <is>
          <t>https://www.gillespudlowski.com/recherche/Restaurants/0/France/Paris/Paris/75001/</t>
        </is>
      </c>
    </row>
    <row r="7">
      <c r="A7" s="27" t="inlineStr">
        <is>
          <t>Très haut de gamme (base)</t>
        </is>
      </c>
      <c r="B7" s="27" t="inlineStr">
        <is>
          <t>Le Tout-Paris au Cheval Blanc Paris</t>
        </is>
      </c>
      <c r="C7" s="27" t="inlineStr">
        <is>
          <t>8 Quai du Louvre, 75001 Paris</t>
        </is>
      </c>
      <c r="D7" s="27" t="n">
        <v>1</v>
      </c>
      <c r="E7" s="27" t="inlineStr">
        <is>
          <t>français</t>
        </is>
      </c>
      <c r="F7" s="27" t="n">
        <v>150</v>
      </c>
      <c r="G7" s="27" t="inlineStr">
        <is>
          <t>Ouvert</t>
        </is>
      </c>
      <c r="H7" s="27" t="inlineStr">
        <is>
          <t>Ouvert</t>
        </is>
      </c>
      <c r="I7" s="27" t="inlineStr">
        <is>
          <t>Ouvert</t>
        </is>
      </c>
      <c r="J7" s="27" t="inlineStr">
        <is>
          <t>Ouvert</t>
        </is>
      </c>
      <c r="K7" s="27" t="inlineStr">
        <is>
          <t>Ouvert</t>
        </is>
      </c>
      <c r="L7" s="27" t="inlineStr">
        <is>
          <t>Ouvert</t>
        </is>
      </c>
      <c r="M7" s="27" t="inlineStr">
        <is>
          <t>Ouvert</t>
        </is>
      </c>
      <c r="N7" s="27" t="inlineStr">
        <is>
          <t>ouvert 7j/7</t>
        </is>
      </c>
      <c r="O7" s="27" t="inlineStr">
        <is>
          <t>https://www.gillespudlowski.com/recherche/Restaurants/0/France/Paris/Paris/75001/</t>
        </is>
      </c>
    </row>
    <row r="8">
      <c r="A8" s="27" t="inlineStr">
        <is>
          <t>Très haut de gamme (base)</t>
        </is>
      </c>
      <c r="B8" s="27" t="inlineStr">
        <is>
          <t>Drouant</t>
        </is>
      </c>
      <c r="C8" s="27" t="inlineStr">
        <is>
          <t>16/18 rue Gaillon - 75002 Paris</t>
        </is>
      </c>
      <c r="D8" s="27" t="n">
        <v>2</v>
      </c>
      <c r="E8" s="27" t="inlineStr">
        <is>
          <t>Brasseries, français</t>
        </is>
      </c>
      <c r="F8" s="27" t="n">
        <v>130</v>
      </c>
      <c r="G8" s="27" t="inlineStr">
        <is>
          <t>Ouvert</t>
        </is>
      </c>
      <c r="H8" s="27" t="inlineStr">
        <is>
          <t>Ouvert</t>
        </is>
      </c>
      <c r="I8" s="27" t="inlineStr">
        <is>
          <t>Ouvert</t>
        </is>
      </c>
      <c r="J8" s="27" t="inlineStr">
        <is>
          <t>Ouvert</t>
        </is>
      </c>
      <c r="K8" s="27" t="inlineStr">
        <is>
          <t>Ouvert</t>
        </is>
      </c>
      <c r="L8" s="27" t="inlineStr">
        <is>
          <t>Ouvert</t>
        </is>
      </c>
      <c r="M8" s="27" t="inlineStr">
        <is>
          <t>Ouvert</t>
        </is>
      </c>
      <c r="N8" s="27" t="inlineStr">
        <is>
          <t>ouvert 7j/7</t>
        </is>
      </c>
      <c r="O8" s="27" t="inlineStr">
        <is>
          <t>https://www.gillespudlowski.com/recherche/Restaurants/0/France/Paris/Paris/75002/</t>
        </is>
      </c>
    </row>
    <row r="9">
      <c r="A9" s="27" t="inlineStr">
        <is>
          <t>Très haut de gamme (base)</t>
        </is>
      </c>
      <c r="B9" s="27" t="inlineStr">
        <is>
          <t>Anne au Pavillon de la Reine</t>
        </is>
      </c>
      <c r="C9" s="27" t="inlineStr">
        <is>
          <t>28 Pl. des Vosges - 75003 Paris</t>
        </is>
      </c>
      <c r="D9" s="27" t="n">
        <v>3</v>
      </c>
      <c r="E9" s="27" t="inlineStr">
        <is>
          <t>gastronomiques</t>
        </is>
      </c>
      <c r="F9" s="27" t="n">
        <v>178</v>
      </c>
      <c r="G9" s="27" t="inlineStr">
        <is>
          <t>Fermé</t>
        </is>
      </c>
      <c r="H9" s="27" t="inlineStr">
        <is>
          <t>Ouvert</t>
        </is>
      </c>
      <c r="I9" s="27" t="inlineStr">
        <is>
          <t>Ouvert</t>
        </is>
      </c>
      <c r="J9" s="27" t="inlineStr">
        <is>
          <t>Ouvert</t>
        </is>
      </c>
      <c r="K9" s="27" t="inlineStr">
        <is>
          <t>Ouvert</t>
        </is>
      </c>
      <c r="L9" s="27" t="inlineStr">
        <is>
          <t>Ouvert</t>
        </is>
      </c>
      <c r="M9" s="27" t="inlineStr">
        <is>
          <t>Fermé</t>
        </is>
      </c>
      <c r="N9" s="27" t="inlineStr">
        <is>
          <t>Lundi, dimanche</t>
        </is>
      </c>
      <c r="O9" s="27" t="inlineStr">
        <is>
          <t>https://www.gillespudlowski.com/recherche/Restaurants/0/France/Paris/Paris/75003/</t>
        </is>
      </c>
    </row>
    <row r="10">
      <c r="A10" s="27" t="inlineStr">
        <is>
          <t>Très haut de gamme (base)</t>
        </is>
      </c>
      <c r="B10" s="27" t="inlineStr">
        <is>
          <t>Guefen</t>
        </is>
      </c>
      <c r="C10" s="27" t="inlineStr">
        <is>
          <t>9 rue du Vertbois - 75003 Paris</t>
        </is>
      </c>
      <c r="D10" s="27" t="n">
        <v>3</v>
      </c>
      <c r="E10" s="27" t="inlineStr">
        <is>
          <t>Cuisine internationale, gastronomiques</t>
        </is>
      </c>
      <c r="F10" s="27" t="n">
        <v>97</v>
      </c>
      <c r="G10" s="27" t="inlineStr">
        <is>
          <t>Ouvert</t>
        </is>
      </c>
      <c r="H10" s="27" t="inlineStr">
        <is>
          <t>Ouvert</t>
        </is>
      </c>
      <c r="I10" s="27" t="inlineStr">
        <is>
          <t>Ouvert</t>
        </is>
      </c>
      <c r="J10" s="27" t="inlineStr">
        <is>
          <t>Ouvert</t>
        </is>
      </c>
      <c r="K10" s="27" t="inlineStr">
        <is>
          <t>Fermé</t>
        </is>
      </c>
      <c r="L10" s="27" t="inlineStr">
        <is>
          <t>Fermé</t>
        </is>
      </c>
      <c r="M10" s="27" t="inlineStr">
        <is>
          <t>Ouvert</t>
        </is>
      </c>
      <c r="N10" s="27" t="inlineStr">
        <is>
          <t>Vendredi, samedi</t>
        </is>
      </c>
      <c r="O10" s="27" t="inlineStr">
        <is>
          <t>https://www.gillespudlowski.com/recherche/Restaurants/0/France/Paris/Paris/75003/</t>
        </is>
      </c>
    </row>
    <row r="11">
      <c r="A11" s="27" t="inlineStr">
        <is>
          <t>Très haut de gamme (base)</t>
        </is>
      </c>
      <c r="B11" s="27" t="inlineStr">
        <is>
          <t>L'Auberge Nicolas Flamel</t>
        </is>
      </c>
      <c r="C11" s="27" t="inlineStr">
        <is>
          <t>51 rue de Montmorency - 75003 Paris</t>
        </is>
      </c>
      <c r="D11" s="27" t="n">
        <v>3</v>
      </c>
      <c r="E11" s="27" t="inlineStr">
        <is>
          <t>français, gastronomiques</t>
        </is>
      </c>
      <c r="F11" s="27" t="n">
        <v>98</v>
      </c>
      <c r="G11" s="27" t="inlineStr">
        <is>
          <t>Fermé</t>
        </is>
      </c>
      <c r="H11" s="27" t="inlineStr">
        <is>
          <t>Ouvert</t>
        </is>
      </c>
      <c r="I11" s="27" t="inlineStr">
        <is>
          <t>Ouvert</t>
        </is>
      </c>
      <c r="J11" s="27" t="inlineStr">
        <is>
          <t>Ouvert</t>
        </is>
      </c>
      <c r="K11" s="27" t="inlineStr">
        <is>
          <t>Ouvert</t>
        </is>
      </c>
      <c r="L11" s="27" t="inlineStr">
        <is>
          <t>Ouvert</t>
        </is>
      </c>
      <c r="M11" s="27" t="inlineStr">
        <is>
          <t>Fermé</t>
        </is>
      </c>
      <c r="N11" s="27" t="inlineStr">
        <is>
          <t>Lundi, dimanche</t>
        </is>
      </c>
      <c r="O11" s="27" t="inlineStr">
        <is>
          <t>https://www.gillespudlowski.com/recherche/Restaurants/0/France/Paris/Paris/75003/</t>
        </is>
      </c>
    </row>
    <row r="12">
      <c r="A12" s="27" t="inlineStr">
        <is>
          <t>Très haut de gamme (base)</t>
        </is>
      </c>
      <c r="B12" s="27" t="inlineStr">
        <is>
          <t>Ogata Paris</t>
        </is>
      </c>
      <c r="C12" s="27" t="inlineStr">
        <is>
          <t>16 Rue Debelleyme - 75003 Paris</t>
        </is>
      </c>
      <c r="D12" s="27" t="n">
        <v>3</v>
      </c>
      <c r="E12" s="27" t="inlineStr">
        <is>
          <t>gastronomiques, japonais</t>
        </is>
      </c>
      <c r="F12" s="27" t="n">
        <v>195</v>
      </c>
      <c r="G12" s="27" t="inlineStr">
        <is>
          <t>Fermé</t>
        </is>
      </c>
      <c r="H12" s="27" t="inlineStr">
        <is>
          <t>Fermé</t>
        </is>
      </c>
      <c r="I12" s="27" t="inlineStr">
        <is>
          <t>Ouvert</t>
        </is>
      </c>
      <c r="J12" s="27" t="inlineStr">
        <is>
          <t>Ouvert</t>
        </is>
      </c>
      <c r="K12" s="27" t="inlineStr">
        <is>
          <t>Ouvert</t>
        </is>
      </c>
      <c r="L12" s="27" t="inlineStr">
        <is>
          <t>Ouvert</t>
        </is>
      </c>
      <c r="M12" s="27" t="inlineStr">
        <is>
          <t>Ouvert</t>
        </is>
      </c>
      <c r="N12" s="27" t="inlineStr">
        <is>
          <t>Lundi, mardi</t>
        </is>
      </c>
      <c r="O12" s="27" t="inlineStr">
        <is>
          <t>https://www.gillespudlowski.com/recherche/Restaurants/0/France/Paris/Paris/75003/</t>
        </is>
      </c>
    </row>
    <row r="13">
      <c r="A13" s="27" t="inlineStr">
        <is>
          <t>Très haut de gamme (base)</t>
        </is>
      </c>
      <c r="B13" s="27" t="inlineStr">
        <is>
          <t>Aldehyde</t>
        </is>
      </c>
      <c r="C13" s="27" t="inlineStr">
        <is>
          <t>5 Rue du Pont Louis-Philippe - 75004 Paris</t>
        </is>
      </c>
      <c r="D13" s="27" t="n">
        <v>4</v>
      </c>
      <c r="E13" s="27" t="inlineStr">
        <is>
          <t>français</t>
        </is>
      </c>
      <c r="F13" s="27" t="n">
        <v>108</v>
      </c>
      <c r="G13" s="27" t="inlineStr">
        <is>
          <t>Fermé</t>
        </is>
      </c>
      <c r="H13" s="27" t="inlineStr">
        <is>
          <t>Ouvert</t>
        </is>
      </c>
      <c r="I13" s="27" t="inlineStr">
        <is>
          <t>Ouvert</t>
        </is>
      </c>
      <c r="J13" s="27" t="inlineStr">
        <is>
          <t>Ouvert</t>
        </is>
      </c>
      <c r="K13" s="27" t="inlineStr">
        <is>
          <t>Ouvert</t>
        </is>
      </c>
      <c r="L13" s="27" t="inlineStr">
        <is>
          <t>Ouvert</t>
        </is>
      </c>
      <c r="M13" s="27" t="inlineStr">
        <is>
          <t>Fermé</t>
        </is>
      </c>
      <c r="N13" s="27" t="inlineStr">
        <is>
          <t>Lundi, dimanche</t>
        </is>
      </c>
      <c r="O13" s="27" t="inlineStr">
        <is>
          <t>https://www.gillespudlowski.com/recherche/Restaurants/0/France/Paris/Paris/75004/</t>
        </is>
      </c>
    </row>
    <row r="14">
      <c r="A14" s="27" t="inlineStr">
        <is>
          <t>Très haut de gamme (base)</t>
        </is>
      </c>
      <c r="B14" s="27" t="inlineStr">
        <is>
          <t>Benoît</t>
        </is>
      </c>
      <c r="C14" s="27" t="inlineStr">
        <is>
          <t>20, rue Saint Martin - 75004 Paris</t>
        </is>
      </c>
      <c r="D14" s="27" t="n">
        <v>4</v>
      </c>
      <c r="E14" s="27" t="inlineStr">
        <is>
          <t>Bistrots, français</t>
        </is>
      </c>
      <c r="F14" s="27" t="n">
        <v>112</v>
      </c>
      <c r="G14" s="27" t="inlineStr">
        <is>
          <t>Ouvert</t>
        </is>
      </c>
      <c r="H14" s="27" t="inlineStr">
        <is>
          <t>Ouvert</t>
        </is>
      </c>
      <c r="I14" s="27" t="inlineStr">
        <is>
          <t>Ouvert</t>
        </is>
      </c>
      <c r="J14" s="27" t="inlineStr">
        <is>
          <t>Ouvert</t>
        </is>
      </c>
      <c r="K14" s="27" t="inlineStr">
        <is>
          <t>Ouvert</t>
        </is>
      </c>
      <c r="L14" s="27" t="inlineStr">
        <is>
          <t>Ouvert</t>
        </is>
      </c>
      <c r="M14" s="27" t="inlineStr">
        <is>
          <t>Ouvert</t>
        </is>
      </c>
      <c r="N14" s="27" t="inlineStr">
        <is>
          <t>ouvert 7j/7</t>
        </is>
      </c>
      <c r="O14" s="27" t="inlineStr">
        <is>
          <t>https://www.gillespudlowski.com/recherche/Restaurants/0/France/Paris/Paris/75004/</t>
        </is>
      </c>
    </row>
    <row r="15">
      <c r="A15" s="27" t="inlineStr">
        <is>
          <t>Très haut de gamme (base)</t>
        </is>
      </c>
      <c r="B15" s="27" t="inlineStr">
        <is>
          <t>Bonnie</t>
        </is>
      </c>
      <c r="C15" s="27" t="inlineStr">
        <is>
          <t>10 Rue Agrippa d'Aubigné - 75004 Paris</t>
        </is>
      </c>
      <c r="D15" s="27" t="n">
        <v>4</v>
      </c>
      <c r="E15" s="27" t="inlineStr">
        <is>
          <t>français, gastronomiques</t>
        </is>
      </c>
      <c r="F15" s="27" t="n">
        <v>88</v>
      </c>
      <c r="G15" s="27" t="inlineStr">
        <is>
          <t>Ouvert</t>
        </is>
      </c>
      <c r="H15" s="27" t="inlineStr">
        <is>
          <t>Ouvert</t>
        </is>
      </c>
      <c r="I15" s="27" t="inlineStr">
        <is>
          <t>Ouvert</t>
        </is>
      </c>
      <c r="J15" s="27" t="inlineStr">
        <is>
          <t>Ouvert</t>
        </is>
      </c>
      <c r="K15" s="27" t="inlineStr">
        <is>
          <t>Ouvert</t>
        </is>
      </c>
      <c r="L15" s="27" t="inlineStr">
        <is>
          <t>Ouvert</t>
        </is>
      </c>
      <c r="M15" s="27" t="inlineStr">
        <is>
          <t>Ouvert</t>
        </is>
      </c>
      <c r="N15" s="27" t="inlineStr">
        <is>
          <t>ouvert 7j/7</t>
        </is>
      </c>
      <c r="O15" s="27" t="inlineStr">
        <is>
          <t>https://www.gillespudlowski.com/recherche/Restaurants/0/France/Paris/Paris/75004/</t>
        </is>
      </c>
    </row>
    <row r="16">
      <c r="A16" s="27" t="inlineStr">
        <is>
          <t>Très haut de gamme (base)</t>
        </is>
      </c>
      <c r="B16" s="27" t="inlineStr">
        <is>
          <t>Le Sergent Recruteur</t>
        </is>
      </c>
      <c r="C16" s="27" t="inlineStr">
        <is>
          <t>41 rue Saint-Louis en l'Île - 75004 Paris</t>
        </is>
      </c>
      <c r="D16" s="27" t="n">
        <v>4</v>
      </c>
      <c r="E16" s="27" t="inlineStr">
        <is>
          <t>français, gastronomiques</t>
        </is>
      </c>
      <c r="F16" s="27" t="n">
        <v>118</v>
      </c>
      <c r="G16" s="27" t="inlineStr">
        <is>
          <t>Fermé</t>
        </is>
      </c>
      <c r="H16" s="27" t="inlineStr">
        <is>
          <t>Ouvert</t>
        </is>
      </c>
      <c r="I16" s="27" t="inlineStr">
        <is>
          <t>Ouvert</t>
        </is>
      </c>
      <c r="J16" s="27" t="inlineStr">
        <is>
          <t>Ouvert</t>
        </is>
      </c>
      <c r="K16" s="27" t="inlineStr">
        <is>
          <t>Ouvert</t>
        </is>
      </c>
      <c r="L16" s="27" t="inlineStr">
        <is>
          <t>Ouvert</t>
        </is>
      </c>
      <c r="M16" s="27" t="inlineStr">
        <is>
          <t>Fermé</t>
        </is>
      </c>
      <c r="N16" s="27" t="inlineStr">
        <is>
          <t>Lundi, dimanche</t>
        </is>
      </c>
      <c r="O16" s="27" t="inlineStr">
        <is>
          <t>https://www.gillespudlowski.com/recherche/Restaurants/0/France/Paris/Paris/75004/</t>
        </is>
      </c>
    </row>
    <row r="17">
      <c r="A17" s="27" t="inlineStr">
        <is>
          <t>Très haut de gamme (base)</t>
        </is>
      </c>
      <c r="B17" s="27" t="inlineStr">
        <is>
          <t>La Table de Colette</t>
        </is>
      </c>
      <c r="C17" s="27" t="inlineStr">
        <is>
          <t>17 rue Laplace, 75005 Paris</t>
        </is>
      </c>
      <c r="D17" s="27" t="n">
        <v>5</v>
      </c>
      <c r="E17" s="27" t="inlineStr">
        <is>
          <t>français, gastronomiques, végétariens</t>
        </is>
      </c>
      <c r="F17" s="27" t="n">
        <v>85</v>
      </c>
      <c r="G17" s="27" t="inlineStr">
        <is>
          <t>Ouvert</t>
        </is>
      </c>
      <c r="H17" s="27" t="inlineStr">
        <is>
          <t>Ouvert</t>
        </is>
      </c>
      <c r="I17" s="27" t="inlineStr">
        <is>
          <t>Ouvert</t>
        </is>
      </c>
      <c r="J17" s="27" t="inlineStr">
        <is>
          <t>Ouvert</t>
        </is>
      </c>
      <c r="K17" s="27" t="inlineStr">
        <is>
          <t>Ouvert</t>
        </is>
      </c>
      <c r="L17" s="27" t="inlineStr">
        <is>
          <t>Fermé</t>
        </is>
      </c>
      <c r="M17" s="27" t="inlineStr">
        <is>
          <t>Fermé</t>
        </is>
      </c>
      <c r="N17" s="27" t="inlineStr">
        <is>
          <t>Samedi, dimanche</t>
        </is>
      </c>
      <c r="O17" s="27" t="inlineStr">
        <is>
          <t>https://www.gillespudlowski.com/recherche/Restaurants/0/France/Paris/Paris/75005/</t>
        </is>
      </c>
    </row>
    <row r="18">
      <c r="A18" s="27" t="inlineStr">
        <is>
          <t>Très haut de gamme (base)</t>
        </is>
      </c>
      <c r="B18" s="27" t="inlineStr">
        <is>
          <t>Mavrommatis - le restaurant</t>
        </is>
      </c>
      <c r="C18" s="27" t="inlineStr">
        <is>
          <t>42 rue Daubenton, 75005 Paris</t>
        </is>
      </c>
      <c r="D18" s="27" t="n">
        <v>5</v>
      </c>
      <c r="E18" s="27" t="inlineStr">
        <is>
          <t>gastronomiques, grecs</t>
        </is>
      </c>
      <c r="F18" s="27" t="n">
        <v>130</v>
      </c>
      <c r="G18" s="27" t="inlineStr">
        <is>
          <t>Fermé</t>
        </is>
      </c>
      <c r="H18" s="27" t="inlineStr">
        <is>
          <t>Ouvert</t>
        </is>
      </c>
      <c r="I18" s="27" t="inlineStr">
        <is>
          <t>Ouvert</t>
        </is>
      </c>
      <c r="J18" s="27" t="inlineStr">
        <is>
          <t>Ouvert</t>
        </is>
      </c>
      <c r="K18" s="27" t="inlineStr">
        <is>
          <t>Ouvert</t>
        </is>
      </c>
      <c r="L18" s="27" t="inlineStr">
        <is>
          <t>Ouvert</t>
        </is>
      </c>
      <c r="M18" s="27" t="inlineStr">
        <is>
          <t>Fermé</t>
        </is>
      </c>
      <c r="N18" s="27" t="inlineStr">
        <is>
          <t>Lundi, dimanche</t>
        </is>
      </c>
      <c r="O18" s="27" t="inlineStr">
        <is>
          <t>https://www.gillespudlowski.com/recherche/Restaurants/0/France/Paris/Paris/75005/</t>
        </is>
      </c>
    </row>
    <row r="19">
      <c r="A19" s="27" t="inlineStr">
        <is>
          <t>Très haut de gamme (base)</t>
        </is>
      </c>
      <c r="B19" s="27" t="inlineStr">
        <is>
          <t>Allard</t>
        </is>
      </c>
      <c r="C19" s="27" t="inlineStr">
        <is>
          <t>1 rue de l'Eperon, 75006 Paris</t>
        </is>
      </c>
      <c r="D19" s="27" t="n">
        <v>6</v>
      </c>
      <c r="E19" s="27" t="inlineStr">
        <is>
          <t>français</t>
        </is>
      </c>
      <c r="F19" s="27" t="n">
        <v>108</v>
      </c>
      <c r="G19" s="27" t="inlineStr">
        <is>
          <t>Ouvert</t>
        </is>
      </c>
      <c r="H19" s="27" t="inlineStr">
        <is>
          <t>Ouvert</t>
        </is>
      </c>
      <c r="I19" s="27" t="inlineStr">
        <is>
          <t>Ouvert</t>
        </is>
      </c>
      <c r="J19" s="27" t="inlineStr">
        <is>
          <t>Ouvert</t>
        </is>
      </c>
      <c r="K19" s="27" t="inlineStr">
        <is>
          <t>Ouvert</t>
        </is>
      </c>
      <c r="L19" s="27" t="inlineStr">
        <is>
          <t>Ouvert</t>
        </is>
      </c>
      <c r="M19" s="27" t="inlineStr">
        <is>
          <t>Ouvert</t>
        </is>
      </c>
      <c r="N19" s="27" t="inlineStr">
        <is>
          <t>ouvert 7j/7</t>
        </is>
      </c>
      <c r="O19" s="27" t="inlineStr">
        <is>
          <t>https://www.gillespudlowski.com/recherche/Restaurants/0/France/Paris/Paris/75006/</t>
        </is>
      </c>
    </row>
    <row r="20">
      <c r="A20" s="27" t="inlineStr">
        <is>
          <t>Très haut de gamme (base)</t>
        </is>
      </c>
      <c r="B20" s="27" t="inlineStr">
        <is>
          <t>Joséphine "Chez Dumonet"</t>
        </is>
      </c>
      <c r="C20" s="27" t="inlineStr">
        <is>
          <t>117, rue du Cherche Midi, 75006 Paris</t>
        </is>
      </c>
      <c r="D20" s="27" t="n">
        <v>6</v>
      </c>
      <c r="E20" s="27" t="inlineStr">
        <is>
          <t>Brasseries, français</t>
        </is>
      </c>
      <c r="F20" s="27" t="n">
        <v>112</v>
      </c>
      <c r="G20" s="27" t="inlineStr">
        <is>
          <t>Ouvert</t>
        </is>
      </c>
      <c r="H20" s="27" t="inlineStr">
        <is>
          <t>Ouvert</t>
        </is>
      </c>
      <c r="I20" s="27" t="inlineStr">
        <is>
          <t>Ouvert</t>
        </is>
      </c>
      <c r="J20" s="27" t="inlineStr">
        <is>
          <t>Ouvert</t>
        </is>
      </c>
      <c r="K20" s="27" t="inlineStr">
        <is>
          <t>Ouvert</t>
        </is>
      </c>
      <c r="L20" s="27" t="inlineStr">
        <is>
          <t>Ouvert</t>
        </is>
      </c>
      <c r="M20" s="27" t="inlineStr">
        <is>
          <t>Ouvert</t>
        </is>
      </c>
      <c r="N20" s="27" t="inlineStr">
        <is>
          <t>ouvert 7j/7</t>
        </is>
      </c>
      <c r="O20" s="27" t="inlineStr">
        <is>
          <t>https://www.gillespudlowski.com/recherche/Restaurants/0/France/Paris/Paris/75006/</t>
        </is>
      </c>
    </row>
    <row r="21">
      <c r="A21" s="27" t="inlineStr">
        <is>
          <t>Très haut de gamme (base)</t>
        </is>
      </c>
      <c r="B21" s="27" t="inlineStr">
        <is>
          <t>Le 21</t>
        </is>
      </c>
      <c r="C21" s="27" t="inlineStr">
        <is>
          <t>21 Rue Mazarine, 75006 Paris</t>
        </is>
      </c>
      <c r="D21" s="27" t="n">
        <v>6</v>
      </c>
      <c r="E21" s="27" t="inlineStr">
        <is>
          <t>français, gastronomiques</t>
        </is>
      </c>
      <c r="F21" s="27" t="n">
        <v>90</v>
      </c>
      <c r="G21" s="27" t="inlineStr">
        <is>
          <t>Fermé</t>
        </is>
      </c>
      <c r="H21" s="27" t="inlineStr">
        <is>
          <t>Fermé</t>
        </is>
      </c>
      <c r="I21" s="27" t="inlineStr">
        <is>
          <t>Ouvert</t>
        </is>
      </c>
      <c r="J21" s="27" t="inlineStr">
        <is>
          <t>Ouvert</t>
        </is>
      </c>
      <c r="K21" s="27" t="inlineStr">
        <is>
          <t>Ouvert</t>
        </is>
      </c>
      <c r="L21" s="27" t="inlineStr">
        <is>
          <t>Ouvert</t>
        </is>
      </c>
      <c r="M21" s="27" t="inlineStr">
        <is>
          <t>Fermé</t>
        </is>
      </c>
      <c r="N21" s="27" t="inlineStr">
        <is>
          <t>Lundi, mardi, dimanche</t>
        </is>
      </c>
      <c r="O21" s="27" t="inlineStr">
        <is>
          <t>https://www.gillespudlowski.com/recherche/Restaurants/0/France/Paris/Paris/75006/</t>
        </is>
      </c>
    </row>
    <row r="22">
      <c r="A22" s="27" t="inlineStr">
        <is>
          <t>Très haut de gamme (base)</t>
        </is>
      </c>
      <c r="B22" s="27" t="inlineStr">
        <is>
          <t>Auguste</t>
        </is>
      </c>
      <c r="C22" s="27" t="inlineStr">
        <is>
          <t>54, rue de Bourgogne - 75007 Paris</t>
        </is>
      </c>
      <c r="D22" s="27" t="n">
        <v>7</v>
      </c>
      <c r="E22" s="27" t="inlineStr">
        <is>
          <t>français, gastronomiques</t>
        </is>
      </c>
      <c r="F22" s="27" t="n">
        <v>110</v>
      </c>
      <c r="G22" s="27" t="inlineStr">
        <is>
          <t>Ouvert</t>
        </is>
      </c>
      <c r="H22" s="27" t="inlineStr">
        <is>
          <t>Ouvert</t>
        </is>
      </c>
      <c r="I22" s="27" t="inlineStr">
        <is>
          <t>Ouvert</t>
        </is>
      </c>
      <c r="J22" s="27" t="inlineStr">
        <is>
          <t>Ouvert</t>
        </is>
      </c>
      <c r="K22" s="27" t="inlineStr">
        <is>
          <t>Ouvert</t>
        </is>
      </c>
      <c r="L22" s="27" t="inlineStr">
        <is>
          <t>Fermé</t>
        </is>
      </c>
      <c r="M22" s="27" t="inlineStr">
        <is>
          <t>Fermé</t>
        </is>
      </c>
      <c r="N22" s="27" t="inlineStr">
        <is>
          <t>Samedi, dimanche</t>
        </is>
      </c>
      <c r="O22" s="27" t="inlineStr">
        <is>
          <t>https://www.gillespudlowski.com/recherche/Restaurants/0/France/Paris/Paris/75007/</t>
        </is>
      </c>
    </row>
    <row r="23">
      <c r="A23" s="27" t="inlineStr">
        <is>
          <t>Très haut de gamme (base)</t>
        </is>
      </c>
      <c r="B23" s="27" t="inlineStr">
        <is>
          <t>D'Chez Eux</t>
        </is>
      </c>
      <c r="C23" s="27" t="inlineStr">
        <is>
          <t>2, avenue Lowendal - 75007 Paris</t>
        </is>
      </c>
      <c r="D23" s="27" t="n">
        <v>7</v>
      </c>
      <c r="E23" s="27" t="inlineStr">
        <is>
          <t>Bistrots, français</t>
        </is>
      </c>
      <c r="F23" s="27" t="n">
        <v>110</v>
      </c>
      <c r="G23" s="27" t="inlineStr">
        <is>
          <t>Fermé</t>
        </is>
      </c>
      <c r="H23" s="27" t="inlineStr">
        <is>
          <t>Fermé</t>
        </is>
      </c>
      <c r="I23" s="27" t="inlineStr">
        <is>
          <t>Ouvert</t>
        </is>
      </c>
      <c r="J23" s="27" t="inlineStr">
        <is>
          <t>Ouvert</t>
        </is>
      </c>
      <c r="K23" s="27" t="inlineStr">
        <is>
          <t>Ouvert</t>
        </is>
      </c>
      <c r="L23" s="27" t="inlineStr">
        <is>
          <t>Ouvert</t>
        </is>
      </c>
      <c r="M23" s="27" t="inlineStr">
        <is>
          <t>Ouvert</t>
        </is>
      </c>
      <c r="N23" s="27" t="inlineStr">
        <is>
          <t>Lundi, mardi</t>
        </is>
      </c>
      <c r="O23" s="27" t="inlineStr">
        <is>
          <t>https://www.gillespudlowski.com/recherche/Restaurants/0/France/Paris/Paris/75007/</t>
        </is>
      </c>
    </row>
    <row r="24">
      <c r="A24" s="27" t="inlineStr">
        <is>
          <t>Très haut de gamme (base)</t>
        </is>
      </c>
      <c r="B24" s="27" t="inlineStr">
        <is>
          <t>David Toutain</t>
        </is>
      </c>
      <c r="C24" s="27" t="inlineStr">
        <is>
          <t>29 rue Surcouf - 75007 Paris</t>
        </is>
      </c>
      <c r="D24" s="27" t="n">
        <v>7</v>
      </c>
      <c r="E24" s="27" t="inlineStr">
        <is>
          <t>français, gastronomiques</t>
        </is>
      </c>
      <c r="F24" s="27" t="n">
        <v>248</v>
      </c>
      <c r="G24" s="27" t="inlineStr">
        <is>
          <t>Ouvert</t>
        </is>
      </c>
      <c r="H24" s="27" t="inlineStr">
        <is>
          <t>Ouvert</t>
        </is>
      </c>
      <c r="I24" s="27" t="inlineStr">
        <is>
          <t>Ouvert</t>
        </is>
      </c>
      <c r="J24" s="27" t="inlineStr">
        <is>
          <t>Ouvert</t>
        </is>
      </c>
      <c r="K24" s="27" t="inlineStr">
        <is>
          <t>Ouvert</t>
        </is>
      </c>
      <c r="L24" s="27" t="inlineStr">
        <is>
          <t>Fermé</t>
        </is>
      </c>
      <c r="M24" s="27" t="inlineStr">
        <is>
          <t>Fermé</t>
        </is>
      </c>
      <c r="N24" s="27" t="inlineStr">
        <is>
          <t>Samedi, dimanche</t>
        </is>
      </c>
      <c r="O24" s="27" t="inlineStr">
        <is>
          <t>https://www.gillespudlowski.com/recherche/Restaurants/0/France/Paris/Paris/75007/</t>
        </is>
      </c>
    </row>
    <row r="25">
      <c r="A25" s="27" t="inlineStr">
        <is>
          <t>Très haut de gamme (base)</t>
        </is>
      </c>
      <c r="B25" s="27" t="inlineStr">
        <is>
          <t>Lily Wang</t>
        </is>
      </c>
      <c r="C25" s="27" t="inlineStr">
        <is>
          <t>40 Avenue Duquesne - 75007 Paris</t>
        </is>
      </c>
      <c r="D25" s="27" t="n">
        <v>7</v>
      </c>
      <c r="E25" s="27" t="inlineStr">
        <is>
          <t>asiatiques</t>
        </is>
      </c>
      <c r="F25" s="27" t="n">
        <v>100</v>
      </c>
      <c r="G25" s="27" t="inlineStr">
        <is>
          <t>Ouvert</t>
        </is>
      </c>
      <c r="H25" s="27" t="inlineStr">
        <is>
          <t>Ouvert</t>
        </is>
      </c>
      <c r="I25" s="27" t="inlineStr">
        <is>
          <t>Ouvert</t>
        </is>
      </c>
      <c r="J25" s="27" t="inlineStr">
        <is>
          <t>Ouvert</t>
        </is>
      </c>
      <c r="K25" s="27" t="inlineStr">
        <is>
          <t>Ouvert</t>
        </is>
      </c>
      <c r="L25" s="27" t="inlineStr">
        <is>
          <t>Ouvert</t>
        </is>
      </c>
      <c r="M25" s="27" t="inlineStr">
        <is>
          <t>Ouvert</t>
        </is>
      </c>
      <c r="N25" s="27" t="inlineStr">
        <is>
          <t>ouvert 7j/7</t>
        </is>
      </c>
      <c r="O25" s="27" t="inlineStr">
        <is>
          <t>https://www.gillespudlowski.com/recherche/Restaurants/0/France/Paris/Paris/75007/</t>
        </is>
      </c>
    </row>
    <row r="26">
      <c r="A26" s="27" t="inlineStr">
        <is>
          <t>Très haut de gamme (base)</t>
        </is>
      </c>
      <c r="B26" s="27" t="inlineStr">
        <is>
          <t>Akrame</t>
        </is>
      </c>
      <c r="C26" s="27" t="inlineStr">
        <is>
          <t>7, rue Tronchet - 75008 Paris</t>
        </is>
      </c>
      <c r="D26" s="27" t="n">
        <v>8</v>
      </c>
      <c r="E26" s="27" t="inlineStr">
        <is>
          <t>français, gastronomiques</t>
        </is>
      </c>
      <c r="F26" s="27" t="n">
        <v>185</v>
      </c>
      <c r="G26" s="27" t="inlineStr">
        <is>
          <t>Ouvert</t>
        </is>
      </c>
      <c r="H26" s="27" t="inlineStr">
        <is>
          <t>Ouvert</t>
        </is>
      </c>
      <c r="I26" s="27" t="inlineStr">
        <is>
          <t>Ouvert</t>
        </is>
      </c>
      <c r="J26" s="27" t="inlineStr">
        <is>
          <t>Ouvert</t>
        </is>
      </c>
      <c r="K26" s="27" t="inlineStr">
        <is>
          <t>Ouvert</t>
        </is>
      </c>
      <c r="L26" s="27" t="inlineStr">
        <is>
          <t>Fermé</t>
        </is>
      </c>
      <c r="M26" s="27" t="inlineStr">
        <is>
          <t>Fermé</t>
        </is>
      </c>
      <c r="N26" s="27" t="inlineStr">
        <is>
          <t>Samedi, dimanche</t>
        </is>
      </c>
      <c r="O26" s="27" t="inlineStr">
        <is>
          <t>https://www.gillespudlowski.com/recherche/Restaurants/0/France/Paris/Paris/75008/</t>
        </is>
      </c>
    </row>
    <row r="27">
      <c r="A27" s="27" t="inlineStr">
        <is>
          <t>Très haut de gamme (base)</t>
        </is>
      </c>
      <c r="B27" s="27" t="inlineStr">
        <is>
          <t>Aqua Kyoto</t>
        </is>
      </c>
      <c r="C27" s="27" t="inlineStr">
        <is>
          <t>26 avenue des Champs-Élysées - 75008 Paris</t>
        </is>
      </c>
      <c r="D27" s="27" t="n">
        <v>8</v>
      </c>
      <c r="E27" s="27" t="inlineStr">
        <is>
          <t>gastronomiques, japonais</t>
        </is>
      </c>
      <c r="F27" s="27" t="n">
        <v>110</v>
      </c>
      <c r="G27" s="27" t="inlineStr">
        <is>
          <t>Ouvert</t>
        </is>
      </c>
      <c r="H27" s="27" t="inlineStr">
        <is>
          <t>Ouvert</t>
        </is>
      </c>
      <c r="I27" s="27" t="inlineStr">
        <is>
          <t>Ouvert</t>
        </is>
      </c>
      <c r="J27" s="27" t="inlineStr">
        <is>
          <t>Ouvert</t>
        </is>
      </c>
      <c r="K27" s="27" t="inlineStr">
        <is>
          <t>Ouvert</t>
        </is>
      </c>
      <c r="L27" s="27" t="inlineStr">
        <is>
          <t>Ouvert</t>
        </is>
      </c>
      <c r="M27" s="27" t="inlineStr">
        <is>
          <t>Ouvert</t>
        </is>
      </c>
      <c r="N27" s="27" t="inlineStr">
        <is>
          <t>ouvert 7j/7</t>
        </is>
      </c>
      <c r="O27" s="27" t="inlineStr">
        <is>
          <t>https://www.gillespudlowski.com/recherche/Restaurants/0/France/Paris/Paris/75008/</t>
        </is>
      </c>
    </row>
    <row r="28">
      <c r="A28" s="27" t="inlineStr">
        <is>
          <t>Très haut de gamme (base)</t>
        </is>
      </c>
      <c r="B28" s="27" t="inlineStr">
        <is>
          <t>Eskal</t>
        </is>
      </c>
      <c r="C28" s="27" t="inlineStr">
        <is>
          <t>47, rue des Mathurins - 75008 Paris</t>
        </is>
      </c>
      <c r="D28" s="27" t="n">
        <v>8</v>
      </c>
      <c r="E28" s="27" t="inlineStr">
        <is>
          <t>français, gastronomiques</t>
        </is>
      </c>
      <c r="F28" s="27" t="n">
        <v>120</v>
      </c>
      <c r="G28" s="27" t="inlineStr">
        <is>
          <t>Fermé</t>
        </is>
      </c>
      <c r="H28" s="27" t="inlineStr">
        <is>
          <t>Ouvert</t>
        </is>
      </c>
      <c r="I28" s="27" t="inlineStr">
        <is>
          <t>Ouvert</t>
        </is>
      </c>
      <c r="J28" s="27" t="inlineStr">
        <is>
          <t>Ouvert</t>
        </is>
      </c>
      <c r="K28" s="27" t="inlineStr">
        <is>
          <t>Ouvert</t>
        </is>
      </c>
      <c r="L28" s="27" t="inlineStr">
        <is>
          <t>Ouvert</t>
        </is>
      </c>
      <c r="M28" s="27" t="inlineStr">
        <is>
          <t>Fermé</t>
        </is>
      </c>
      <c r="N28" s="27" t="inlineStr">
        <is>
          <t>Lundi, dimanche</t>
        </is>
      </c>
      <c r="O28" s="27" t="inlineStr">
        <is>
          <t>https://www.gillespudlowski.com/recherche/Restaurants/0/France/Paris/Paris/75008/</t>
        </is>
      </c>
    </row>
    <row r="29">
      <c r="A29" s="27" t="inlineStr">
        <is>
          <t>Très haut de gamme (base)</t>
        </is>
      </c>
      <c r="B29" s="27" t="inlineStr">
        <is>
          <t>Imperial Treasure</t>
        </is>
      </c>
      <c r="C29" s="27" t="inlineStr">
        <is>
          <t>44, rue de Bassano - 75008 Paris</t>
        </is>
      </c>
      <c r="D29" s="27" t="n">
        <v>8</v>
      </c>
      <c r="E29" s="27" t="inlineStr">
        <is>
          <t>asiatiques, chinois</t>
        </is>
      </c>
      <c r="F29" s="27" t="n">
        <v>120</v>
      </c>
      <c r="G29" s="27" t="inlineStr">
        <is>
          <t>Fermé</t>
        </is>
      </c>
      <c r="H29" s="27" t="inlineStr">
        <is>
          <t>Ouvert</t>
        </is>
      </c>
      <c r="I29" s="27" t="inlineStr">
        <is>
          <t>Ouvert</t>
        </is>
      </c>
      <c r="J29" s="27" t="inlineStr">
        <is>
          <t>Ouvert</t>
        </is>
      </c>
      <c r="K29" s="27" t="inlineStr">
        <is>
          <t>Ouvert</t>
        </is>
      </c>
      <c r="L29" s="27" t="inlineStr">
        <is>
          <t>Ouvert</t>
        </is>
      </c>
      <c r="M29" s="27" t="inlineStr">
        <is>
          <t>Ouvert</t>
        </is>
      </c>
      <c r="N29" s="27" t="inlineStr">
        <is>
          <t>Lundi</t>
        </is>
      </c>
      <c r="O29" s="27" t="inlineStr">
        <is>
          <t>https://www.gillespudlowski.com/recherche/Restaurants/0/France/Paris/Paris/75008/</t>
        </is>
      </c>
    </row>
    <row r="30">
      <c r="A30" s="27" t="inlineStr">
        <is>
          <t>Très haut de gamme (base)</t>
        </is>
      </c>
      <c r="B30" s="27" t="inlineStr">
        <is>
          <t>Le Clarence</t>
        </is>
      </c>
      <c r="C30" s="27" t="inlineStr">
        <is>
          <t>31 avenue Franklin Roosevelt - 75008 Paris</t>
        </is>
      </c>
      <c r="D30" s="27" t="n">
        <v>8</v>
      </c>
      <c r="E30" s="27" t="inlineStr">
        <is>
          <t>français, gastronomiques</t>
        </is>
      </c>
      <c r="F30" s="27" t="n">
        <v>450</v>
      </c>
      <c r="G30" s="27" t="inlineStr">
        <is>
          <t>Fermé</t>
        </is>
      </c>
      <c r="H30" s="27" t="inlineStr">
        <is>
          <t>Fermé</t>
        </is>
      </c>
      <c r="I30" s="27" t="inlineStr">
        <is>
          <t>Ouvert</t>
        </is>
      </c>
      <c r="J30" s="27" t="inlineStr">
        <is>
          <t>Ouvert</t>
        </is>
      </c>
      <c r="K30" s="27" t="inlineStr">
        <is>
          <t>Ouvert</t>
        </is>
      </c>
      <c r="L30" s="27" t="inlineStr">
        <is>
          <t>Ouvert</t>
        </is>
      </c>
      <c r="M30" s="27" t="inlineStr">
        <is>
          <t>Fermé</t>
        </is>
      </c>
      <c r="N30" s="27" t="inlineStr">
        <is>
          <t>Lundi, mardi, dimanche</t>
        </is>
      </c>
      <c r="O30" s="27" t="inlineStr">
        <is>
          <t>https://www.gillespudlowski.com/recherche/Restaurants/0/France/Paris/Paris/75008/</t>
        </is>
      </c>
    </row>
    <row r="31">
      <c r="A31" s="27" t="inlineStr">
        <is>
          <t>Très haut de gamme (base)</t>
        </is>
      </c>
      <c r="B31" s="27" t="inlineStr">
        <is>
          <t>Le Fouquet's</t>
        </is>
      </c>
      <c r="C31" s="27" t="inlineStr">
        <is>
          <t>99 avenue des Champs-Elysées - 75008 Paris</t>
        </is>
      </c>
      <c r="D31" s="27" t="n">
        <v>8</v>
      </c>
      <c r="E31" s="27" t="inlineStr">
        <is>
          <t>Brasseries, français</t>
        </is>
      </c>
      <c r="F31" s="27" t="n">
        <v>138</v>
      </c>
      <c r="G31" s="27" t="inlineStr">
        <is>
          <t>Ouvert</t>
        </is>
      </c>
      <c r="H31" s="27" t="inlineStr">
        <is>
          <t>Ouvert</t>
        </is>
      </c>
      <c r="I31" s="27" t="inlineStr">
        <is>
          <t>Ouvert</t>
        </is>
      </c>
      <c r="J31" s="27" t="inlineStr">
        <is>
          <t>Ouvert</t>
        </is>
      </c>
      <c r="K31" s="27" t="inlineStr">
        <is>
          <t>Ouvert</t>
        </is>
      </c>
      <c r="L31" s="27" t="inlineStr">
        <is>
          <t>Ouvert</t>
        </is>
      </c>
      <c r="M31" s="27" t="inlineStr">
        <is>
          <t>Ouvert</t>
        </is>
      </c>
      <c r="N31" s="27" t="inlineStr">
        <is>
          <t>ouvert 7j/7</t>
        </is>
      </c>
      <c r="O31" s="27" t="inlineStr">
        <is>
          <t>https://www.gillespudlowski.com/recherche/Restaurants/0/France/Paris/Paris/75008/</t>
        </is>
      </c>
    </row>
    <row r="32">
      <c r="A32" s="27" t="inlineStr">
        <is>
          <t>Très haut de gamme (base)</t>
        </is>
      </c>
      <c r="B32" s="27" t="inlineStr">
        <is>
          <t>Pavyllon au Pavillon Ledoyen</t>
        </is>
      </c>
      <c r="C32" s="27" t="inlineStr">
        <is>
          <t>carré des Champs-Elysées, 8 avenue Dutuit - 75008 Paris</t>
        </is>
      </c>
      <c r="D32" s="27" t="n">
        <v>8</v>
      </c>
      <c r="E32" s="27" t="inlineStr">
        <is>
          <t>français, gastronomiques</t>
        </is>
      </c>
      <c r="F32" s="27" t="n">
        <v>200</v>
      </c>
      <c r="G32" s="27" t="inlineStr">
        <is>
          <t>Ouvert</t>
        </is>
      </c>
      <c r="H32" s="27" t="inlineStr">
        <is>
          <t>Ouvert</t>
        </is>
      </c>
      <c r="I32" s="27" t="inlineStr">
        <is>
          <t>Ouvert</t>
        </is>
      </c>
      <c r="J32" s="27" t="inlineStr">
        <is>
          <t>Ouvert</t>
        </is>
      </c>
      <c r="K32" s="27" t="inlineStr">
        <is>
          <t>Ouvert</t>
        </is>
      </c>
      <c r="L32" s="27" t="inlineStr">
        <is>
          <t>Ouvert</t>
        </is>
      </c>
      <c r="M32" s="27" t="inlineStr">
        <is>
          <t>Ouvert</t>
        </is>
      </c>
      <c r="N32" s="27" t="inlineStr">
        <is>
          <t>ouvert 7j/7</t>
        </is>
      </c>
      <c r="O32" s="27" t="inlineStr">
        <is>
          <t>https://www.gillespudlowski.com/recherche/Restaurants/0/France/Paris/Paris/75008/</t>
        </is>
      </c>
    </row>
    <row r="33">
      <c r="A33" s="27" t="inlineStr">
        <is>
          <t>Très haut de gamme (base)</t>
        </is>
      </c>
      <c r="B33" s="27" t="inlineStr">
        <is>
          <t>Sphère</t>
        </is>
      </c>
      <c r="C33" s="27" t="inlineStr">
        <is>
          <t>18, rue la Boétie - 75008 Paris</t>
        </is>
      </c>
      <c r="D33" s="27" t="n">
        <v>8</v>
      </c>
      <c r="E33" s="27" t="inlineStr">
        <is>
          <t>français, gastronomiques</t>
        </is>
      </c>
      <c r="F33" s="27" t="n">
        <v>110</v>
      </c>
      <c r="G33" s="27" t="inlineStr">
        <is>
          <t>Fermé</t>
        </is>
      </c>
      <c r="H33" s="27" t="inlineStr">
        <is>
          <t>Ouvert</t>
        </is>
      </c>
      <c r="I33" s="27" t="inlineStr">
        <is>
          <t>Ouvert</t>
        </is>
      </c>
      <c r="J33" s="27" t="inlineStr">
        <is>
          <t>Ouvert</t>
        </is>
      </c>
      <c r="K33" s="27" t="inlineStr">
        <is>
          <t>Ouvert</t>
        </is>
      </c>
      <c r="L33" s="27" t="inlineStr">
        <is>
          <t>Ouvert</t>
        </is>
      </c>
      <c r="M33" s="27" t="inlineStr">
        <is>
          <t>Ouvert</t>
        </is>
      </c>
      <c r="N33" s="27" t="inlineStr">
        <is>
          <t>Lundi</t>
        </is>
      </c>
      <c r="O33" s="27" t="inlineStr">
        <is>
          <t>https://www.gillespudlowski.com/recherche/Restaurants/0/France/Paris/Paris/75008/</t>
        </is>
      </c>
    </row>
    <row r="34">
      <c r="A34" s="27" t="inlineStr">
        <is>
          <t>Très haut de gamme (base)</t>
        </is>
      </c>
      <c r="B34" s="27" t="inlineStr">
        <is>
          <t>Mantra</t>
        </is>
      </c>
      <c r="C34" s="27" t="inlineStr">
        <is>
          <t>17 Rue Rodier - 75009 Paris</t>
        </is>
      </c>
      <c r="D34" s="27" t="n">
        <v>9</v>
      </c>
      <c r="E34" s="27" t="inlineStr">
        <is>
          <t>français</t>
        </is>
      </c>
      <c r="F34" s="27" t="n">
        <v>117</v>
      </c>
      <c r="G34" s="27" t="inlineStr">
        <is>
          <t>Fermé midi</t>
        </is>
      </c>
      <c r="H34" s="27" t="inlineStr">
        <is>
          <t>Fermé midi</t>
        </is>
      </c>
      <c r="I34" s="27" t="inlineStr">
        <is>
          <t>Fermé midi</t>
        </is>
      </c>
      <c r="J34" s="27" t="inlineStr">
        <is>
          <t>Ouvert</t>
        </is>
      </c>
      <c r="K34" s="27" t="inlineStr">
        <is>
          <t>Ouvert</t>
        </is>
      </c>
      <c r="L34" s="27" t="inlineStr">
        <is>
          <t>Fermé</t>
        </is>
      </c>
      <c r="M34" s="27" t="inlineStr">
        <is>
          <t>Fermé</t>
        </is>
      </c>
      <c r="N34" s="27" t="inlineStr">
        <is>
          <t>Lundi midi, mardi midi, mercredi midi, samedi, dimanche.</t>
        </is>
      </c>
      <c r="O34" s="27" t="inlineStr">
        <is>
          <t>https://www.gillespudlowski.com/recherche/Restaurants/0/France/Paris/Paris/75009/</t>
        </is>
      </c>
    </row>
    <row r="35">
      <c r="A35" s="27" t="inlineStr">
        <is>
          <t>Très haut de gamme (base)</t>
        </is>
      </c>
      <c r="B35" s="27" t="inlineStr">
        <is>
          <t>Onyx</t>
        </is>
      </c>
      <c r="C35" s="27" t="inlineStr">
        <is>
          <t>71, rue de Provence - 75009 Paris</t>
        </is>
      </c>
      <c r="D35" s="27" t="n">
        <v>9</v>
      </c>
      <c r="E35" s="27" t="inlineStr">
        <is>
          <t>français, gastronomiques</t>
        </is>
      </c>
      <c r="F35" s="27" t="n">
        <v>95</v>
      </c>
      <c r="G35" s="27" t="inlineStr">
        <is>
          <t>Ouvert</t>
        </is>
      </c>
      <c r="H35" s="27" t="inlineStr">
        <is>
          <t>Ouvert</t>
        </is>
      </c>
      <c r="I35" s="27" t="inlineStr">
        <is>
          <t>Ouvert</t>
        </is>
      </c>
      <c r="J35" s="27" t="inlineStr">
        <is>
          <t>Ouvert</t>
        </is>
      </c>
      <c r="K35" s="27" t="inlineStr">
        <is>
          <t>Ouvert</t>
        </is>
      </c>
      <c r="L35" s="27" t="inlineStr">
        <is>
          <t>Ouvert</t>
        </is>
      </c>
      <c r="M35" s="27" t="inlineStr">
        <is>
          <t>Ouvert</t>
        </is>
      </c>
      <c r="N35" s="27" t="inlineStr">
        <is>
          <t>ouvert 7j/7</t>
        </is>
      </c>
      <c r="O35" s="27" t="inlineStr">
        <is>
          <t>https://www.gillespudlowski.com/recherche/Restaurants/0/France/Paris/Paris/75009/</t>
        </is>
      </c>
    </row>
    <row r="36">
      <c r="A36" s="27" t="inlineStr">
        <is>
          <t>Très haut de gamme (base)</t>
        </is>
      </c>
      <c r="B36" s="27" t="inlineStr">
        <is>
          <t>Vaisseau</t>
        </is>
      </c>
      <c r="C36" s="27" t="inlineStr">
        <is>
          <t>35 Rue Faidherbe, 75011 Paris</t>
        </is>
      </c>
      <c r="D36" s="27" t="n">
        <v>11</v>
      </c>
      <c r="E36" s="27" t="inlineStr">
        <is>
          <t>français</t>
        </is>
      </c>
      <c r="F36" s="27" t="n">
        <v>150</v>
      </c>
      <c r="G36" s="27" t="inlineStr">
        <is>
          <t>Fermé midi</t>
        </is>
      </c>
      <c r="H36" s="27" t="inlineStr">
        <is>
          <t>Fermé midi</t>
        </is>
      </c>
      <c r="I36" s="27" t="inlineStr">
        <is>
          <t>Fermé midi</t>
        </is>
      </c>
      <c r="J36" s="27" t="inlineStr">
        <is>
          <t>Ouvert</t>
        </is>
      </c>
      <c r="K36" s="27" t="inlineStr">
        <is>
          <t>Ouvert</t>
        </is>
      </c>
      <c r="L36" s="27" t="inlineStr">
        <is>
          <t>Fermé</t>
        </is>
      </c>
      <c r="M36" s="27" t="inlineStr">
        <is>
          <t>Fermé</t>
        </is>
      </c>
      <c r="N36" s="27" t="inlineStr">
        <is>
          <t>Lundi midi, mardi midi, mercredi midi, samedi, dimanche</t>
        </is>
      </c>
      <c r="O36" s="27" t="inlineStr">
        <is>
          <t>https://www.gillespudlowski.com/recherche/Restaurants/0/France/Paris/Paris/75011/</t>
        </is>
      </c>
    </row>
    <row r="37">
      <c r="A37" s="27" t="inlineStr">
        <is>
          <t>Très haut de gamme (base)</t>
        </is>
      </c>
      <c r="B37" s="27" t="inlineStr">
        <is>
          <t>Le Train Bleu</t>
        </is>
      </c>
      <c r="C37" s="27" t="inlineStr">
        <is>
          <t>Gare de Lyon, place Louis Armand - 75012 Paris</t>
        </is>
      </c>
      <c r="D37" s="27" t="n">
        <v>12</v>
      </c>
      <c r="E37" s="27" t="inlineStr">
        <is>
          <t>français</t>
        </is>
      </c>
      <c r="F37" s="27" t="n">
        <v>120</v>
      </c>
      <c r="G37" s="27" t="inlineStr">
        <is>
          <t>Ouvert</t>
        </is>
      </c>
      <c r="H37" s="27" t="inlineStr">
        <is>
          <t>Ouvert</t>
        </is>
      </c>
      <c r="I37" s="27" t="inlineStr">
        <is>
          <t>Ouvert</t>
        </is>
      </c>
      <c r="J37" s="27" t="inlineStr">
        <is>
          <t>Ouvert</t>
        </is>
      </c>
      <c r="K37" s="27" t="inlineStr">
        <is>
          <t>Ouvert</t>
        </is>
      </c>
      <c r="L37" s="27" t="inlineStr">
        <is>
          <t>Ouvert</t>
        </is>
      </c>
      <c r="M37" s="27" t="inlineStr">
        <is>
          <t>Ouvert</t>
        </is>
      </c>
      <c r="N37" s="27" t="inlineStr">
        <is>
          <t>ouvert 7j/7</t>
        </is>
      </c>
      <c r="O37" s="27" t="inlineStr">
        <is>
          <t>https://www.gillespudlowski.com/recherche/Restaurants/0/France/Paris/Paris/75012/</t>
        </is>
      </c>
    </row>
    <row r="38">
      <c r="A38" s="27" t="inlineStr">
        <is>
          <t>Très haut de gamme (base)</t>
        </is>
      </c>
      <c r="B38" s="27" t="inlineStr">
        <is>
          <t>Table - Bruno Verjus</t>
        </is>
      </c>
      <c r="C38" s="27" t="inlineStr">
        <is>
          <t>3 R. de Prague - 75012 Paris</t>
        </is>
      </c>
      <c r="D38" s="27" t="n">
        <v>12</v>
      </c>
      <c r="E38" s="27" t="inlineStr">
        <is>
          <t>français</t>
        </is>
      </c>
      <c r="F38" s="27" t="n">
        <v>480</v>
      </c>
      <c r="G38" s="27" t="inlineStr">
        <is>
          <t>Ouvert</t>
        </is>
      </c>
      <c r="H38" s="27" t="inlineStr">
        <is>
          <t>Ouvert</t>
        </is>
      </c>
      <c r="I38" s="27" t="inlineStr">
        <is>
          <t>Ouvert</t>
        </is>
      </c>
      <c r="J38" s="27" t="inlineStr">
        <is>
          <t>Ouvert</t>
        </is>
      </c>
      <c r="K38" s="27" t="inlineStr">
        <is>
          <t>Ouvert</t>
        </is>
      </c>
      <c r="L38" s="27" t="inlineStr">
        <is>
          <t>Fermé</t>
        </is>
      </c>
      <c r="M38" s="27" t="inlineStr">
        <is>
          <t>Fermé</t>
        </is>
      </c>
      <c r="N38" s="27" t="inlineStr">
        <is>
          <t>Samedi, dimanche</t>
        </is>
      </c>
      <c r="O38" s="27" t="inlineStr">
        <is>
          <t>https://www.gillespudlowski.com/recherche/Restaurants/0/France/Paris/Paris/75012/</t>
        </is>
      </c>
    </row>
    <row r="39">
      <c r="A39" s="27" t="inlineStr">
        <is>
          <t>Très haut de gamme (base)</t>
        </is>
      </c>
      <c r="B39" s="27" t="inlineStr">
        <is>
          <t>L'Auberge du roi Gradlon</t>
        </is>
      </c>
      <c r="C39" s="27" t="inlineStr">
        <is>
          <t>36 boulevard Arago - 75013 Paris</t>
        </is>
      </c>
      <c r="D39" s="27" t="n">
        <v>13</v>
      </c>
      <c r="E39" s="27" t="inlineStr">
        <is>
          <t>français, gastronomiques</t>
        </is>
      </c>
      <c r="F39" s="27" t="n">
        <v>85</v>
      </c>
      <c r="G39" s="27" t="inlineStr">
        <is>
          <t>Ouvert</t>
        </is>
      </c>
      <c r="H39" s="27" t="inlineStr">
        <is>
          <t>Ouvert</t>
        </is>
      </c>
      <c r="I39" s="27" t="inlineStr">
        <is>
          <t>Fermé</t>
        </is>
      </c>
      <c r="J39" s="27" t="inlineStr">
        <is>
          <t>Fermé</t>
        </is>
      </c>
      <c r="K39" s="27" t="inlineStr">
        <is>
          <t>Ouvert</t>
        </is>
      </c>
      <c r="L39" s="27" t="inlineStr">
        <is>
          <t>Ouvert</t>
        </is>
      </c>
      <c r="M39" s="27" t="inlineStr">
        <is>
          <t>Ouvert</t>
        </is>
      </c>
      <c r="N39" s="27" t="inlineStr">
        <is>
          <t>Mercredi, jeudi</t>
        </is>
      </c>
      <c r="O39" s="27" t="inlineStr">
        <is>
          <t>https://www.gillespudlowski.com/recherche/Restaurants/0/France/Paris/Paris/75013/</t>
        </is>
      </c>
    </row>
    <row r="40">
      <c r="A40" s="27" t="inlineStr">
        <is>
          <t>Très haut de gamme (base)</t>
        </is>
      </c>
      <c r="B40" s="27" t="inlineStr">
        <is>
          <t>Le Duc</t>
        </is>
      </c>
      <c r="C40" s="27" t="inlineStr">
        <is>
          <t>243, boulevard Raspail - 75014 Paris</t>
        </is>
      </c>
      <c r="D40" s="27" t="n">
        <v>14</v>
      </c>
      <c r="E40" s="27" t="inlineStr">
        <is>
          <t>français</t>
        </is>
      </c>
      <c r="F40" s="27" t="n">
        <v>250</v>
      </c>
      <c r="G40" s="27" t="inlineStr">
        <is>
          <t>Ouvert</t>
        </is>
      </c>
      <c r="H40" s="27" t="inlineStr">
        <is>
          <t>Ouvert</t>
        </is>
      </c>
      <c r="I40" s="27" t="inlineStr">
        <is>
          <t>Ouvert</t>
        </is>
      </c>
      <c r="J40" s="27" t="inlineStr">
        <is>
          <t>Ouvert</t>
        </is>
      </c>
      <c r="K40" s="27" t="inlineStr">
        <is>
          <t>Ouvert</t>
        </is>
      </c>
      <c r="L40" s="27" t="inlineStr">
        <is>
          <t>Ouvert</t>
        </is>
      </c>
      <c r="M40" s="27" t="inlineStr">
        <is>
          <t>Fermé</t>
        </is>
      </c>
      <c r="N40" s="27" t="inlineStr">
        <is>
          <t>Dimanche</t>
        </is>
      </c>
      <c r="O40" s="27" t="inlineStr">
        <is>
          <t>https://www.gillespudlowski.com/recherche/Restaurants/0/France/Paris/Paris/75014/</t>
        </is>
      </c>
    </row>
    <row r="41">
      <c r="A41" s="27" t="inlineStr">
        <is>
          <t>Très haut de gamme (base)</t>
        </is>
      </c>
      <c r="B41" s="27" t="inlineStr">
        <is>
          <t>Le Dôme</t>
        </is>
      </c>
      <c r="C41" s="27" t="inlineStr">
        <is>
          <t>108 boulevard du Montparnasse - 75014 Paris</t>
        </is>
      </c>
      <c r="D41" s="27" t="n">
        <v>14</v>
      </c>
      <c r="E41" s="27" t="inlineStr">
        <is>
          <t>Brasseries, français</t>
        </is>
      </c>
      <c r="F41" s="27" t="n">
        <v>115</v>
      </c>
      <c r="G41" s="27" t="inlineStr">
        <is>
          <t>Ouvert</t>
        </is>
      </c>
      <c r="H41" s="27" t="inlineStr">
        <is>
          <t>Ouvert</t>
        </is>
      </c>
      <c r="I41" s="27" t="inlineStr">
        <is>
          <t>Ouvert</t>
        </is>
      </c>
      <c r="J41" s="27" t="inlineStr">
        <is>
          <t>Ouvert</t>
        </is>
      </c>
      <c r="K41" s="27" t="inlineStr">
        <is>
          <t>Ouvert</t>
        </is>
      </c>
      <c r="L41" s="27" t="inlineStr">
        <is>
          <t>Ouvert</t>
        </is>
      </c>
      <c r="M41" s="27" t="inlineStr">
        <is>
          <t>Ouvert</t>
        </is>
      </c>
      <c r="N41" s="27" t="inlineStr">
        <is>
          <t>ouvert 7j/7</t>
        </is>
      </c>
      <c r="O41" s="27" t="inlineStr">
        <is>
          <t>https://www.gillespudlowski.com/recherche/Restaurants/0/France/Paris/Paris/75014/</t>
        </is>
      </c>
    </row>
    <row r="42">
      <c r="A42" s="27" t="inlineStr">
        <is>
          <t>Très haut de gamme (base)</t>
        </is>
      </c>
      <c r="B42" s="27" t="inlineStr">
        <is>
          <t>Alan Geaam</t>
        </is>
      </c>
      <c r="C42" s="27" t="inlineStr">
        <is>
          <t>19, rue Lauriston - 75016 Paris</t>
        </is>
      </c>
      <c r="D42" s="27" t="n">
        <v>16</v>
      </c>
      <c r="E42" s="27" t="inlineStr">
        <is>
          <t>gastronomiques, libanais</t>
        </is>
      </c>
      <c r="F42" s="27" t="n">
        <v>148</v>
      </c>
      <c r="G42" s="27" t="inlineStr">
        <is>
          <t>Ouvert</t>
        </is>
      </c>
      <c r="H42" s="27" t="inlineStr">
        <is>
          <t>Ouvert</t>
        </is>
      </c>
      <c r="I42" s="27" t="inlineStr">
        <is>
          <t>Ouvert</t>
        </is>
      </c>
      <c r="J42" s="27" t="inlineStr">
        <is>
          <t>Ouvert</t>
        </is>
      </c>
      <c r="K42" s="27" t="inlineStr">
        <is>
          <t>Ouvert</t>
        </is>
      </c>
      <c r="L42" s="27" t="inlineStr">
        <is>
          <t>Fermé</t>
        </is>
      </c>
      <c r="M42" s="27" t="inlineStr">
        <is>
          <t>Fermé</t>
        </is>
      </c>
      <c r="N42" s="27" t="inlineStr">
        <is>
          <t>Samedi, dimanche</t>
        </is>
      </c>
      <c r="O42" s="27" t="inlineStr">
        <is>
          <t>https://www.gillespudlowski.com/recherche/Restaurants/0/France/Paris/Paris/75016/</t>
        </is>
      </c>
    </row>
    <row r="43">
      <c r="A43" s="27" t="inlineStr">
        <is>
          <t>Très haut de gamme (base)</t>
        </is>
      </c>
      <c r="B43" s="27" t="inlineStr">
        <is>
          <t>La Grande Cascade</t>
        </is>
      </c>
      <c r="C43" s="27" t="inlineStr">
        <is>
          <t>allée de Longchamp, bois de Boulogne - 75016 Paris</t>
        </is>
      </c>
      <c r="D43" s="27" t="n">
        <v>16</v>
      </c>
      <c r="E43" s="27" t="inlineStr">
        <is>
          <t>français, gastronomiques</t>
        </is>
      </c>
      <c r="F43" s="27" t="n">
        <v>300</v>
      </c>
      <c r="G43" s="27" t="inlineStr">
        <is>
          <t>Ouvert</t>
        </is>
      </c>
      <c r="H43" s="27" t="inlineStr">
        <is>
          <t>Ouvert</t>
        </is>
      </c>
      <c r="I43" s="27" t="inlineStr">
        <is>
          <t>Ouvert</t>
        </is>
      </c>
      <c r="J43" s="27" t="inlineStr">
        <is>
          <t>Ouvert</t>
        </is>
      </c>
      <c r="K43" s="27" t="inlineStr">
        <is>
          <t>Ouvert</t>
        </is>
      </c>
      <c r="L43" s="27" t="inlineStr">
        <is>
          <t>Ouvert</t>
        </is>
      </c>
      <c r="M43" s="27" t="inlineStr">
        <is>
          <t>Ouvert</t>
        </is>
      </c>
      <c r="N43" s="27" t="inlineStr">
        <is>
          <t>ouvert 7j/7</t>
        </is>
      </c>
      <c r="O43" s="27" t="inlineStr">
        <is>
          <t>https://www.gillespudlowski.com/recherche/Restaurants/0/France/Paris/Paris/75016/</t>
        </is>
      </c>
    </row>
    <row r="44">
      <c r="A44" s="27" t="inlineStr">
        <is>
          <t>Très haut de gamme (base)</t>
        </is>
      </c>
      <c r="B44" s="27" t="inlineStr">
        <is>
          <t>Marius</t>
        </is>
      </c>
      <c r="C44" s="27" t="inlineStr">
        <is>
          <t>82 Bd Murat - 75016 Paris</t>
        </is>
      </c>
      <c r="D44" s="27" t="n">
        <v>16</v>
      </c>
      <c r="E44" s="27" t="inlineStr">
        <is>
          <t>français</t>
        </is>
      </c>
      <c r="F44" s="27" t="n">
        <v>120</v>
      </c>
      <c r="G44" s="27" t="inlineStr">
        <is>
          <t>Ouvert</t>
        </is>
      </c>
      <c r="H44" s="27" t="inlineStr">
        <is>
          <t>Ouvert</t>
        </is>
      </c>
      <c r="I44" s="27" t="inlineStr">
        <is>
          <t>Ouvert</t>
        </is>
      </c>
      <c r="J44" s="27" t="inlineStr">
        <is>
          <t>Ouvert</t>
        </is>
      </c>
      <c r="K44" s="27" t="inlineStr">
        <is>
          <t>Ouvert</t>
        </is>
      </c>
      <c r="L44" s="27" t="inlineStr">
        <is>
          <t>Fermé midi</t>
        </is>
      </c>
      <c r="M44" s="27" t="inlineStr">
        <is>
          <t>Fermé</t>
        </is>
      </c>
      <c r="N44" s="27" t="inlineStr">
        <is>
          <t>Samedi midi, dimanche</t>
        </is>
      </c>
      <c r="O44" s="27" t="inlineStr">
        <is>
          <t>https://www.gillespudlowski.com/recherche/Restaurants/0/France/Paris/Paris/75016/</t>
        </is>
      </c>
    </row>
    <row r="45">
      <c r="A45" s="27" t="inlineStr">
        <is>
          <t>Très haut de gamme (base)</t>
        </is>
      </c>
      <c r="B45" s="27" t="inlineStr">
        <is>
          <t>Substance</t>
        </is>
      </c>
      <c r="C45" s="27" t="inlineStr">
        <is>
          <t>18 rue de Chaillot - 75016 Paris</t>
        </is>
      </c>
      <c r="D45" s="27" t="n">
        <v>16</v>
      </c>
      <c r="E45" s="27" t="inlineStr">
        <is>
          <t>français, gastronomiques</t>
        </is>
      </c>
      <c r="F45" s="27" t="n">
        <v>148</v>
      </c>
      <c r="G45" s="27" t="inlineStr">
        <is>
          <t>Ouvert</t>
        </is>
      </c>
      <c r="H45" s="27" t="inlineStr">
        <is>
          <t>Ouvert</t>
        </is>
      </c>
      <c r="I45" s="27" t="inlineStr">
        <is>
          <t>Ouvert</t>
        </is>
      </c>
      <c r="J45" s="27" t="inlineStr">
        <is>
          <t>Ouvert</t>
        </is>
      </c>
      <c r="K45" s="27" t="inlineStr">
        <is>
          <t>Ouvert</t>
        </is>
      </c>
      <c r="L45" s="27" t="inlineStr">
        <is>
          <t>Fermé</t>
        </is>
      </c>
      <c r="M45" s="27" t="inlineStr">
        <is>
          <t>Fermé</t>
        </is>
      </c>
      <c r="N45" s="27" t="inlineStr">
        <is>
          <t>Samedi, dimanche</t>
        </is>
      </c>
      <c r="O45" s="27" t="inlineStr">
        <is>
          <t>https://www.gillespudlowski.com/recherche/Restaurants/0/France/Paris/Paris/75016/</t>
        </is>
      </c>
    </row>
    <row r="46">
      <c r="A46" s="27" t="inlineStr">
        <is>
          <t>Très haut de gamme (base)</t>
        </is>
      </c>
      <c r="B46" s="27" t="inlineStr">
        <is>
          <t>Caïus</t>
        </is>
      </c>
      <c r="C46" s="27" t="inlineStr">
        <is>
          <t>6 Rue d'Armaillé - 75017 Paris</t>
        </is>
      </c>
      <c r="D46" s="27" t="n">
        <v>17</v>
      </c>
      <c r="E46" s="27" t="inlineStr">
        <is>
          <t>Cuisine internationale</t>
        </is>
      </c>
      <c r="F46" s="27" t="n">
        <v>120</v>
      </c>
      <c r="G46" s="27" t="inlineStr">
        <is>
          <t>Ouvert</t>
        </is>
      </c>
      <c r="H46" s="27" t="inlineStr">
        <is>
          <t>Ouvert</t>
        </is>
      </c>
      <c r="I46" s="27" t="inlineStr">
        <is>
          <t>Ouvert</t>
        </is>
      </c>
      <c r="J46" s="27" t="inlineStr">
        <is>
          <t>Ouvert</t>
        </is>
      </c>
      <c r="K46" s="27" t="inlineStr">
        <is>
          <t>Ouvert</t>
        </is>
      </c>
      <c r="L46" s="27" t="inlineStr">
        <is>
          <t>Fermé</t>
        </is>
      </c>
      <c r="M46" s="27" t="inlineStr">
        <is>
          <t>Fermé</t>
        </is>
      </c>
      <c r="N46" s="27" t="inlineStr">
        <is>
          <t>Samedi, dimanche</t>
        </is>
      </c>
      <c r="O46" s="27" t="inlineStr">
        <is>
          <t>https://www.gillespudlowski.com/recherche/Restaurants/0/France/Paris/Paris/75017/</t>
        </is>
      </c>
    </row>
    <row r="47">
      <c r="A47" s="27" t="inlineStr">
        <is>
          <t>Très haut de gamme (base)</t>
        </is>
      </c>
      <c r="B47" s="27" t="inlineStr">
        <is>
          <t>Maison Rostang</t>
        </is>
      </c>
      <c r="C47" s="27" t="inlineStr">
        <is>
          <t>20 rue Rennequin - 75017 Paris</t>
        </is>
      </c>
      <c r="D47" s="27" t="n">
        <v>17</v>
      </c>
      <c r="E47" s="27" t="inlineStr">
        <is>
          <t>français, gastronomiques</t>
        </is>
      </c>
      <c r="F47" s="27" t="n">
        <v>300</v>
      </c>
      <c r="G47" s="27" t="inlineStr">
        <is>
          <t>Fermé</t>
        </is>
      </c>
      <c r="H47" s="27" t="inlineStr">
        <is>
          <t>Ouvert</t>
        </is>
      </c>
      <c r="I47" s="27" t="inlineStr">
        <is>
          <t>Ouvert</t>
        </is>
      </c>
      <c r="J47" s="27" t="inlineStr">
        <is>
          <t>Ouvert</t>
        </is>
      </c>
      <c r="K47" s="27" t="inlineStr">
        <is>
          <t>Ouvert</t>
        </is>
      </c>
      <c r="L47" s="27" t="inlineStr">
        <is>
          <t>Ouvert</t>
        </is>
      </c>
      <c r="M47" s="27" t="inlineStr">
        <is>
          <t>Fermé</t>
        </is>
      </c>
      <c r="N47" s="27" t="inlineStr">
        <is>
          <t>Lundi, dimanche</t>
        </is>
      </c>
      <c r="O47" s="27" t="inlineStr">
        <is>
          <t>https://www.gillespudlowski.com/recherche/Restaurants/0/France/Paris/Paris/75017/</t>
        </is>
      </c>
    </row>
    <row r="48">
      <c r="A48" s="27" t="inlineStr">
        <is>
          <t>Très haut de gamme (base)</t>
        </is>
      </c>
      <c r="B48" s="27" t="inlineStr">
        <is>
          <t>Vive, maison mer</t>
        </is>
      </c>
      <c r="C48" s="27" t="inlineStr">
        <is>
          <t>62 avenue des Ternes - 75017 Paris</t>
        </is>
      </c>
      <c r="D48" s="27" t="n">
        <v>17</v>
      </c>
      <c r="E48" s="27" t="inlineStr">
        <is>
          <t>français</t>
        </is>
      </c>
      <c r="F48" s="27" t="n">
        <v>100</v>
      </c>
      <c r="G48" s="27" t="inlineStr">
        <is>
          <t>Fermé</t>
        </is>
      </c>
      <c r="H48" s="27" t="inlineStr">
        <is>
          <t>Ouvert</t>
        </is>
      </c>
      <c r="I48" s="27" t="inlineStr">
        <is>
          <t>Ouvert</t>
        </is>
      </c>
      <c r="J48" s="27" t="inlineStr">
        <is>
          <t>Ouvert</t>
        </is>
      </c>
      <c r="K48" s="27" t="inlineStr">
        <is>
          <t>Ouvert</t>
        </is>
      </c>
      <c r="L48" s="27" t="inlineStr">
        <is>
          <t>Ouvert</t>
        </is>
      </c>
      <c r="M48" s="27" t="inlineStr">
        <is>
          <t>Fermé</t>
        </is>
      </c>
      <c r="N48" s="27" t="inlineStr">
        <is>
          <t>Lundi, dimanche</t>
        </is>
      </c>
      <c r="O48" s="27" t="inlineStr">
        <is>
          <t>https://www.gillespudlowski.com/recherche/Restaurants/0/France/Paris/Paris/75017/</t>
        </is>
      </c>
    </row>
    <row r="49">
      <c r="A49" s="28" t="inlineStr">
        <is>
          <t>Proposition : haut de gamme élargi</t>
        </is>
      </c>
      <c r="B49" s="26" t="inlineStr">
        <is>
          <t>Chez Suzy à l'hôtel Regina Louvre</t>
        </is>
      </c>
      <c r="C49" s="26" t="inlineStr">
        <is>
          <t>2 Pl. des Pyramides, 75001 Paris</t>
        </is>
      </c>
      <c r="D49" s="26" t="n">
        <v>1</v>
      </c>
      <c r="E49" s="26" t="inlineStr">
        <is>
          <t>Brasseries, français</t>
        </is>
      </c>
      <c r="F49" s="26" t="n">
        <v>85</v>
      </c>
      <c r="G49" s="26" t="inlineStr">
        <is>
          <t>Ouvert</t>
        </is>
      </c>
      <c r="H49" s="26" t="inlineStr">
        <is>
          <t>Ouvert</t>
        </is>
      </c>
      <c r="I49" s="26" t="inlineStr">
        <is>
          <t>Ouvert</t>
        </is>
      </c>
      <c r="J49" s="26" t="inlineStr">
        <is>
          <t>Ouvert</t>
        </is>
      </c>
      <c r="K49" s="26" t="inlineStr">
        <is>
          <t>Ouvert</t>
        </is>
      </c>
      <c r="L49" s="26" t="inlineStr">
        <is>
          <t>Ouvert</t>
        </is>
      </c>
      <c r="M49" s="26" t="inlineStr">
        <is>
          <t>Ouvert</t>
        </is>
      </c>
      <c r="N49" s="26" t="inlineStr">
        <is>
          <t>ouvert 7j/7</t>
        </is>
      </c>
      <c r="O49" s="26" t="inlineStr">
        <is>
          <t>https://www.gillespudlowski.com/recherche/Restaurants/0/France/Paris/Paris/75001/</t>
        </is>
      </c>
    </row>
    <row r="50">
      <c r="A50" s="28" t="inlineStr">
        <is>
          <t>Proposition : haut de gamme élargi</t>
        </is>
      </c>
      <c r="B50" s="26" t="inlineStr">
        <is>
          <t>Saku Vendôme</t>
        </is>
      </c>
      <c r="C50" s="26" t="inlineStr">
        <is>
          <t>9 Rue du Mont Thabor, 75001 Paris</t>
        </is>
      </c>
      <c r="D50" s="26" t="n">
        <v>1</v>
      </c>
      <c r="E50" s="26" t="inlineStr">
        <is>
          <t>japonais</t>
        </is>
      </c>
      <c r="F50" s="26" t="n">
        <v>80</v>
      </c>
      <c r="G50" s="26" t="inlineStr">
        <is>
          <t>Ouvert</t>
        </is>
      </c>
      <c r="H50" s="26" t="inlineStr">
        <is>
          <t>Ouvert</t>
        </is>
      </c>
      <c r="I50" s="26" t="inlineStr">
        <is>
          <t>Ouvert</t>
        </is>
      </c>
      <c r="J50" s="26" t="inlineStr">
        <is>
          <t>Ouvert</t>
        </is>
      </c>
      <c r="K50" s="26" t="inlineStr">
        <is>
          <t>Ouvert</t>
        </is>
      </c>
      <c r="L50" s="26" t="inlineStr">
        <is>
          <t>Ouvert</t>
        </is>
      </c>
      <c r="M50" s="26" t="inlineStr">
        <is>
          <t>Ouvert</t>
        </is>
      </c>
      <c r="N50" s="26" t="inlineStr">
        <is>
          <t>ouvert 7j/7</t>
        </is>
      </c>
      <c r="O50" s="26" t="inlineStr">
        <is>
          <t>https://www.gillespudlowski.com/recherche/Restaurants/0/France/Paris/Paris/75001/</t>
        </is>
      </c>
    </row>
    <row r="51">
      <c r="A51" s="28" t="inlineStr">
        <is>
          <t>Proposition : haut de gamme élargi</t>
        </is>
      </c>
      <c r="B51" s="26" t="inlineStr">
        <is>
          <t>Vong</t>
        </is>
      </c>
      <c r="C51" s="26" t="inlineStr">
        <is>
          <t>10, rue de la Grande Truanderie, 75001 Paris</t>
        </is>
      </c>
      <c r="D51" s="26" t="n">
        <v>1</v>
      </c>
      <c r="E51" s="26" t="inlineStr">
        <is>
          <t>chinois</t>
        </is>
      </c>
      <c r="F51" s="26" t="n">
        <v>90</v>
      </c>
      <c r="G51" s="26" t="inlineStr">
        <is>
          <t>Fermé</t>
        </is>
      </c>
      <c r="H51" s="26" t="inlineStr">
        <is>
          <t>Ouvert</t>
        </is>
      </c>
      <c r="I51" s="26" t="inlineStr">
        <is>
          <t>Ouvert</t>
        </is>
      </c>
      <c r="J51" s="26" t="inlineStr">
        <is>
          <t>Ouvert</t>
        </is>
      </c>
      <c r="K51" s="26" t="inlineStr">
        <is>
          <t>Ouvert</t>
        </is>
      </c>
      <c r="L51" s="26" t="inlineStr">
        <is>
          <t>Ouvert</t>
        </is>
      </c>
      <c r="M51" s="26" t="inlineStr">
        <is>
          <t>Fermé</t>
        </is>
      </c>
      <c r="N51" s="26" t="inlineStr">
        <is>
          <t>Dimanche et lundi</t>
        </is>
      </c>
      <c r="O51" s="26" t="inlineStr">
        <is>
          <t>https://www.gillespudlowski.com/recherche/Restaurants/0/France/Paris/Paris/75001/</t>
        </is>
      </c>
    </row>
    <row r="52">
      <c r="A52" s="28" t="inlineStr">
        <is>
          <t>Proposition : haut de gamme élargi</t>
        </is>
      </c>
      <c r="B52" s="26" t="inlineStr">
        <is>
          <t>La Fontaine Gaillon</t>
        </is>
      </c>
      <c r="C52" s="26" t="inlineStr">
        <is>
          <t>place Gaillon - 75002 Paris</t>
        </is>
      </c>
      <c r="D52" s="26" t="n">
        <v>2</v>
      </c>
      <c r="E52" s="26" t="inlineStr">
        <is>
          <t>français</t>
        </is>
      </c>
      <c r="F52" s="26" t="n">
        <v>95</v>
      </c>
      <c r="G52" s="26" t="inlineStr">
        <is>
          <t>Ouvert</t>
        </is>
      </c>
      <c r="H52" s="26" t="inlineStr">
        <is>
          <t>Ouvert</t>
        </is>
      </c>
      <c r="I52" s="26" t="inlineStr">
        <is>
          <t>Ouvert</t>
        </is>
      </c>
      <c r="J52" s="26" t="inlineStr">
        <is>
          <t>Ouvert</t>
        </is>
      </c>
      <c r="K52" s="26" t="inlineStr">
        <is>
          <t>Ouvert</t>
        </is>
      </c>
      <c r="L52" s="26" t="inlineStr">
        <is>
          <t>Fermé midi</t>
        </is>
      </c>
      <c r="M52" s="26" t="inlineStr">
        <is>
          <t>Fermé</t>
        </is>
      </c>
      <c r="N52" s="26" t="inlineStr">
        <is>
          <t>Samedi midi, dimanche</t>
        </is>
      </c>
      <c r="O52" s="26" t="inlineStr">
        <is>
          <t>https://www.gillespudlowski.com/recherche/Restaurants/0/France/Paris/Paris/75002/</t>
        </is>
      </c>
    </row>
    <row r="53">
      <c r="A53" s="28" t="inlineStr">
        <is>
          <t>Proposition : haut de gamme élargi</t>
        </is>
      </c>
      <c r="B53" s="26" t="inlineStr">
        <is>
          <t>Au Top</t>
        </is>
      </c>
      <c r="C53" s="26" t="inlineStr">
        <is>
          <t>93, Rue Vieille du Temple - 75003 Paris</t>
        </is>
      </c>
      <c r="D53" s="26" t="n">
        <v>3</v>
      </c>
      <c r="E53" s="26" t="inlineStr">
        <is>
          <t>français</t>
        </is>
      </c>
      <c r="F53" s="26" t="n">
        <v>90</v>
      </c>
      <c r="G53" s="26" t="inlineStr">
        <is>
          <t>Ouvert</t>
        </is>
      </c>
      <c r="H53" s="26" t="inlineStr">
        <is>
          <t>Ouvert</t>
        </is>
      </c>
      <c r="I53" s="26" t="inlineStr">
        <is>
          <t>Ouvert</t>
        </is>
      </c>
      <c r="J53" s="26" t="inlineStr">
        <is>
          <t>Ouvert</t>
        </is>
      </c>
      <c r="K53" s="26" t="inlineStr">
        <is>
          <t>Ouvert</t>
        </is>
      </c>
      <c r="L53" s="26" t="inlineStr">
        <is>
          <t>Ouvert</t>
        </is>
      </c>
      <c r="M53" s="26" t="inlineStr">
        <is>
          <t>Ouvert</t>
        </is>
      </c>
      <c r="N53" s="26" t="inlineStr">
        <is>
          <t>ouvert 7j/7</t>
        </is>
      </c>
      <c r="O53" s="26" t="inlineStr">
        <is>
          <t>https://www.gillespudlowski.com/recherche/Restaurants/0/France/Paris/Paris/75003/</t>
        </is>
      </c>
    </row>
    <row r="54">
      <c r="A54" s="28" t="inlineStr">
        <is>
          <t>Proposition : haut de gamme élargi</t>
        </is>
      </c>
      <c r="B54" s="26" t="inlineStr">
        <is>
          <t>Armani Caffè</t>
        </is>
      </c>
      <c r="C54" s="26" t="inlineStr">
        <is>
          <t>149, boulevard Saint-Germain, 75006 Paris</t>
        </is>
      </c>
      <c r="D54" s="26" t="n">
        <v>6</v>
      </c>
      <c r="E54" s="26" t="inlineStr">
        <is>
          <t>italiens</t>
        </is>
      </c>
      <c r="F54" s="26" t="n">
        <v>80</v>
      </c>
      <c r="G54" s="26" t="inlineStr">
        <is>
          <t>Ouvert</t>
        </is>
      </c>
      <c r="H54" s="26" t="inlineStr">
        <is>
          <t>Ouvert</t>
        </is>
      </c>
      <c r="I54" s="26" t="inlineStr">
        <is>
          <t>Ouvert</t>
        </is>
      </c>
      <c r="J54" s="26" t="inlineStr">
        <is>
          <t>Ouvert</t>
        </is>
      </c>
      <c r="K54" s="26" t="inlineStr">
        <is>
          <t>Ouvert</t>
        </is>
      </c>
      <c r="L54" s="26" t="inlineStr">
        <is>
          <t>Ouvert</t>
        </is>
      </c>
      <c r="M54" s="26" t="inlineStr">
        <is>
          <t>Ouvert</t>
        </is>
      </c>
      <c r="N54" s="26" t="inlineStr">
        <is>
          <t>ouvert 7j/7</t>
        </is>
      </c>
      <c r="O54" s="26" t="inlineStr">
        <is>
          <t>https://www.gillespudlowski.com/recherche/Restaurants/0/France/Paris/Paris/75006/</t>
        </is>
      </c>
    </row>
    <row r="55">
      <c r="A55" s="28" t="inlineStr">
        <is>
          <t>Proposition : haut de gamme élargi</t>
        </is>
      </c>
      <c r="B55" s="26" t="inlineStr">
        <is>
          <t>L'Auberge Bressane</t>
        </is>
      </c>
      <c r="C55" s="26" t="inlineStr">
        <is>
          <t>16, avenue de La Motte-Picquet - 75007 Paris</t>
        </is>
      </c>
      <c r="D55" s="26" t="n">
        <v>7</v>
      </c>
      <c r="E55" s="26" t="inlineStr">
        <is>
          <t>Brasseries, français</t>
        </is>
      </c>
      <c r="F55" s="26" t="n">
        <v>80</v>
      </c>
      <c r="G55" s="26" t="inlineStr">
        <is>
          <t>Ouvert</t>
        </is>
      </c>
      <c r="H55" s="26" t="inlineStr">
        <is>
          <t>Ouvert</t>
        </is>
      </c>
      <c r="I55" s="26" t="inlineStr">
        <is>
          <t>Ouvert</t>
        </is>
      </c>
      <c r="J55" s="26" t="inlineStr">
        <is>
          <t>Ouvert</t>
        </is>
      </c>
      <c r="K55" s="26" t="inlineStr">
        <is>
          <t>Ouvert</t>
        </is>
      </c>
      <c r="L55" s="26" t="inlineStr">
        <is>
          <t>Fermé midi</t>
        </is>
      </c>
      <c r="M55" s="26" t="inlineStr">
        <is>
          <t>Ouvert</t>
        </is>
      </c>
      <c r="N55" s="26" t="inlineStr">
        <is>
          <t>Samedi midi</t>
        </is>
      </c>
      <c r="O55" s="26" t="inlineStr">
        <is>
          <t>https://www.gillespudlowski.com/recherche/Restaurants/0/France/Paris/Paris/75007/</t>
        </is>
      </c>
    </row>
    <row r="56">
      <c r="A56" s="28" t="inlineStr">
        <is>
          <t>Proposition : haut de gamme élargi</t>
        </is>
      </c>
      <c r="B56" s="26" t="inlineStr">
        <is>
          <t>La Petite Chaise</t>
        </is>
      </c>
      <c r="C56" s="26" t="inlineStr">
        <is>
          <t>36 Rue de Grenelle - 75007 Paris</t>
        </is>
      </c>
      <c r="D56" s="26" t="n">
        <v>7</v>
      </c>
      <c r="E56" s="26" t="inlineStr">
        <is>
          <t>français</t>
        </is>
      </c>
      <c r="F56" s="26" t="n">
        <v>85</v>
      </c>
      <c r="G56" s="26" t="inlineStr">
        <is>
          <t>Ouvert</t>
        </is>
      </c>
      <c r="H56" s="26" t="inlineStr">
        <is>
          <t>Ouvert</t>
        </is>
      </c>
      <c r="I56" s="26" t="inlineStr">
        <is>
          <t>Ouvert</t>
        </is>
      </c>
      <c r="J56" s="26" t="inlineStr">
        <is>
          <t>Ouvert</t>
        </is>
      </c>
      <c r="K56" s="26" t="inlineStr">
        <is>
          <t>Ouvert</t>
        </is>
      </c>
      <c r="L56" s="26" t="inlineStr">
        <is>
          <t>Ouvert</t>
        </is>
      </c>
      <c r="M56" s="26" t="inlineStr">
        <is>
          <t>Ouvert</t>
        </is>
      </c>
      <c r="N56" s="26" t="inlineStr">
        <is>
          <t>ouvert 7j/7</t>
        </is>
      </c>
      <c r="O56" s="26" t="inlineStr">
        <is>
          <t>https://www.gillespudlowski.com/recherche/Restaurants/0/France/Paris/Paris/75007/</t>
        </is>
      </c>
    </row>
    <row r="57">
      <c r="A57" s="28" t="inlineStr">
        <is>
          <t>Proposition : haut de gamme élargi</t>
        </is>
      </c>
      <c r="B57" s="26" t="inlineStr">
        <is>
          <t>Le Café de l'Esplanade</t>
        </is>
      </c>
      <c r="C57" s="26" t="inlineStr">
        <is>
          <t>52, rue Fabert - 75007 Paris</t>
        </is>
      </c>
      <c r="D57" s="26" t="n">
        <v>7</v>
      </c>
      <c r="E57" s="26" t="inlineStr">
        <is>
          <t>français</t>
        </is>
      </c>
      <c r="F57" s="26" t="n">
        <v>92</v>
      </c>
      <c r="G57" s="26" t="inlineStr">
        <is>
          <t>Ouvert</t>
        </is>
      </c>
      <c r="H57" s="26" t="inlineStr">
        <is>
          <t>Ouvert</t>
        </is>
      </c>
      <c r="I57" s="26" t="inlineStr">
        <is>
          <t>Ouvert</t>
        </is>
      </c>
      <c r="J57" s="26" t="inlineStr">
        <is>
          <t>Ouvert</t>
        </is>
      </c>
      <c r="K57" s="26" t="inlineStr">
        <is>
          <t>Ouvert</t>
        </is>
      </c>
      <c r="L57" s="26" t="inlineStr">
        <is>
          <t>Ouvert</t>
        </is>
      </c>
      <c r="M57" s="26" t="inlineStr">
        <is>
          <t>Ouvert</t>
        </is>
      </c>
      <c r="N57" s="26" t="inlineStr">
        <is>
          <t>ouvert 7j/7</t>
        </is>
      </c>
      <c r="O57" s="26" t="inlineStr">
        <is>
          <t>https://www.gillespudlowski.com/recherche/Restaurants/0/France/Paris/Paris/75007/</t>
        </is>
      </c>
    </row>
    <row r="58">
      <c r="A58" s="28" t="inlineStr">
        <is>
          <t>Proposition : haut de gamme élargi</t>
        </is>
      </c>
      <c r="B58" s="26" t="inlineStr">
        <is>
          <t>Le Sancerre Rive Gauche</t>
        </is>
      </c>
      <c r="C58" s="26" t="inlineStr">
        <is>
          <t>22 avenue Rapp - 75007 Paris</t>
        </is>
      </c>
      <c r="D58" s="26" t="n">
        <v>7</v>
      </c>
      <c r="E58" s="26" t="inlineStr">
        <is>
          <t>Bistrots, français</t>
        </is>
      </c>
      <c r="F58" s="26" t="n">
        <v>85</v>
      </c>
      <c r="G58" s="26" t="inlineStr">
        <is>
          <t>Ouvert</t>
        </is>
      </c>
      <c r="H58" s="26" t="inlineStr">
        <is>
          <t>Ouvert</t>
        </is>
      </c>
      <c r="I58" s="26" t="inlineStr">
        <is>
          <t>Ouvert</t>
        </is>
      </c>
      <c r="J58" s="26" t="inlineStr">
        <is>
          <t>Ouvert</t>
        </is>
      </c>
      <c r="K58" s="26" t="inlineStr">
        <is>
          <t>Ouvert</t>
        </is>
      </c>
      <c r="L58" s="26" t="inlineStr">
        <is>
          <t>Fermé midi</t>
        </is>
      </c>
      <c r="M58" s="26" t="inlineStr">
        <is>
          <t>Fermé</t>
        </is>
      </c>
      <c r="N58" s="26" t="inlineStr">
        <is>
          <t>Samedi midi, dimanche</t>
        </is>
      </c>
      <c r="O58" s="26" t="inlineStr">
        <is>
          <t>https://www.gillespudlowski.com/recherche/Restaurants/0/France/Paris/Paris/75007/</t>
        </is>
      </c>
    </row>
    <row r="59">
      <c r="A59" s="28" t="inlineStr">
        <is>
          <t>Proposition : haut de gamme élargi</t>
        </is>
      </c>
      <c r="B59" s="26" t="inlineStr">
        <is>
          <t>Vendémiaire</t>
        </is>
      </c>
      <c r="C59" s="26" t="inlineStr">
        <is>
          <t>54 Bd de la Tour-Maubourg - 75007 Paris</t>
        </is>
      </c>
      <c r="D59" s="26" t="n">
        <v>7</v>
      </c>
      <c r="E59" s="26" t="inlineStr">
        <is>
          <t>Brasseries, français</t>
        </is>
      </c>
      <c r="F59" s="26" t="n">
        <v>80</v>
      </c>
      <c r="G59" s="26" t="inlineStr">
        <is>
          <t>Ouvert</t>
        </is>
      </c>
      <c r="H59" s="26" t="inlineStr">
        <is>
          <t>Ouvert</t>
        </is>
      </c>
      <c r="I59" s="26" t="inlineStr">
        <is>
          <t>Ouvert</t>
        </is>
      </c>
      <c r="J59" s="26" t="inlineStr">
        <is>
          <t>Ouvert</t>
        </is>
      </c>
      <c r="K59" s="26" t="inlineStr">
        <is>
          <t>Ouvert</t>
        </is>
      </c>
      <c r="L59" s="26" t="inlineStr">
        <is>
          <t>Ouvert</t>
        </is>
      </c>
      <c r="M59" s="26" t="inlineStr">
        <is>
          <t>Ouvert</t>
        </is>
      </c>
      <c r="N59" s="26" t="inlineStr">
        <is>
          <t>ouvert 7j/7</t>
        </is>
      </c>
      <c r="O59" s="26" t="inlineStr">
        <is>
          <t>https://www.gillespudlowski.com/recherche/Restaurants/0/France/Paris/Paris/75007/</t>
        </is>
      </c>
    </row>
    <row r="60">
      <c r="A60" s="28" t="inlineStr">
        <is>
          <t>Proposition : haut de gamme élargi</t>
        </is>
      </c>
      <c r="B60" s="26" t="inlineStr">
        <is>
          <t>La Traboule</t>
        </is>
      </c>
      <c r="C60" s="26" t="inlineStr">
        <is>
          <t>27, rue de Penthièvre - 75008 Paris</t>
        </is>
      </c>
      <c r="D60" s="26" t="n">
        <v>8</v>
      </c>
      <c r="E60" s="26" t="inlineStr">
        <is>
          <t>Cuisine internationale, italiens</t>
        </is>
      </c>
      <c r="F60" s="26" t="n">
        <v>85</v>
      </c>
      <c r="G60" s="26" t="inlineStr">
        <is>
          <t>Fermé</t>
        </is>
      </c>
      <c r="H60" s="26" t="inlineStr">
        <is>
          <t>Ouvert</t>
        </is>
      </c>
      <c r="I60" s="26" t="inlineStr">
        <is>
          <t>Ouvert</t>
        </is>
      </c>
      <c r="J60" s="26" t="inlineStr">
        <is>
          <t>Ouvert</t>
        </is>
      </c>
      <c r="K60" s="26" t="inlineStr">
        <is>
          <t>Ouvert</t>
        </is>
      </c>
      <c r="L60" s="26" t="inlineStr">
        <is>
          <t>Ouvert</t>
        </is>
      </c>
      <c r="M60" s="26" t="inlineStr">
        <is>
          <t>Fermé</t>
        </is>
      </c>
      <c r="N60" s="26" t="inlineStr">
        <is>
          <t>Lundi, dimanche</t>
        </is>
      </c>
      <c r="O60" s="26" t="inlineStr">
        <is>
          <t>https://www.gillespudlowski.com/recherche/Restaurants/0/France/Paris/Paris/75008/</t>
        </is>
      </c>
    </row>
    <row r="61">
      <c r="A61" s="28" t="inlineStr">
        <is>
          <t>Proposition : haut de gamme élargi</t>
        </is>
      </c>
      <c r="B61" s="26" t="inlineStr">
        <is>
          <t>Le Berkeley</t>
        </is>
      </c>
      <c r="C61" s="26" t="inlineStr">
        <is>
          <t>7 avenue Matignon - 75008 Paris</t>
        </is>
      </c>
      <c r="D61" s="26" t="n">
        <v>8</v>
      </c>
      <c r="E61" s="26" t="inlineStr">
        <is>
          <t>Brasseries, français</t>
        </is>
      </c>
      <c r="F61" s="26" t="n">
        <v>92</v>
      </c>
      <c r="G61" s="26" t="inlineStr">
        <is>
          <t>Ouvert</t>
        </is>
      </c>
      <c r="H61" s="26" t="inlineStr">
        <is>
          <t>Ouvert</t>
        </is>
      </c>
      <c r="I61" s="26" t="inlineStr">
        <is>
          <t>Ouvert</t>
        </is>
      </c>
      <c r="J61" s="26" t="inlineStr">
        <is>
          <t>Ouvert</t>
        </is>
      </c>
      <c r="K61" s="26" t="inlineStr">
        <is>
          <t>Ouvert</t>
        </is>
      </c>
      <c r="L61" s="26" t="inlineStr">
        <is>
          <t>Ouvert</t>
        </is>
      </c>
      <c r="M61" s="26" t="inlineStr">
        <is>
          <t>Ouvert</t>
        </is>
      </c>
      <c r="N61" s="26" t="inlineStr">
        <is>
          <t>ouvert 7j/7</t>
        </is>
      </c>
      <c r="O61" s="26" t="inlineStr">
        <is>
          <t>https://www.gillespudlowski.com/recherche/Restaurants/0/France/Paris/Paris/75008/</t>
        </is>
      </c>
    </row>
    <row r="62">
      <c r="A62" s="28" t="inlineStr">
        <is>
          <t>Proposition : haut de gamme élargi</t>
        </is>
      </c>
      <c r="B62" s="26" t="inlineStr">
        <is>
          <t>Maison François 1er</t>
        </is>
      </c>
      <c r="C62" s="26" t="inlineStr">
        <is>
          <t>64 Rue François 1er - 75008 Paris</t>
        </is>
      </c>
      <c r="D62" s="26" t="n">
        <v>8</v>
      </c>
      <c r="E62" s="26" t="inlineStr">
        <is>
          <t>Brasseries</t>
        </is>
      </c>
      <c r="F62" s="26" t="n">
        <v>85</v>
      </c>
      <c r="G62" s="26" t="inlineStr">
        <is>
          <t>Ouvert</t>
        </is>
      </c>
      <c r="H62" s="26" t="inlineStr">
        <is>
          <t>Ouvert</t>
        </is>
      </c>
      <c r="I62" s="26" t="inlineStr">
        <is>
          <t>Ouvert</t>
        </is>
      </c>
      <c r="J62" s="26" t="inlineStr">
        <is>
          <t>Ouvert</t>
        </is>
      </c>
      <c r="K62" s="26" t="inlineStr">
        <is>
          <t>Ouvert</t>
        </is>
      </c>
      <c r="L62" s="26" t="inlineStr">
        <is>
          <t>Ouvert</t>
        </is>
      </c>
      <c r="M62" s="26" t="inlineStr">
        <is>
          <t>Ouvert</t>
        </is>
      </c>
      <c r="N62" s="26" t="inlineStr">
        <is>
          <t>ouvert 7j/7</t>
        </is>
      </c>
      <c r="O62" s="26" t="inlineStr">
        <is>
          <t>https://www.gillespudlowski.com/recherche/Restaurants/0/France/Paris/Paris/75008/</t>
        </is>
      </c>
    </row>
    <row r="63">
      <c r="A63" s="28" t="inlineStr">
        <is>
          <t>Proposition : haut de gamme élargi</t>
        </is>
      </c>
      <c r="B63" s="26" t="inlineStr">
        <is>
          <t>Grand Café Capucines</t>
        </is>
      </c>
      <c r="C63" s="26" t="inlineStr">
        <is>
          <t>4 boulevard des Capucines - 75009 Paris</t>
        </is>
      </c>
      <c r="D63" s="26" t="n">
        <v>9</v>
      </c>
      <c r="E63" s="26" t="inlineStr">
        <is>
          <t>Brasseries, français</t>
        </is>
      </c>
      <c r="F63" s="26" t="n">
        <v>82</v>
      </c>
      <c r="G63" s="26" t="inlineStr">
        <is>
          <t>Ouvert</t>
        </is>
      </c>
      <c r="H63" s="26" t="inlineStr">
        <is>
          <t>Ouvert</t>
        </is>
      </c>
      <c r="I63" s="26" t="inlineStr">
        <is>
          <t>Ouvert</t>
        </is>
      </c>
      <c r="J63" s="26" t="inlineStr">
        <is>
          <t>Ouvert</t>
        </is>
      </c>
      <c r="K63" s="26" t="inlineStr">
        <is>
          <t>Ouvert</t>
        </is>
      </c>
      <c r="L63" s="26" t="inlineStr">
        <is>
          <t>Ouvert</t>
        </is>
      </c>
      <c r="M63" s="26" t="inlineStr">
        <is>
          <t>Ouvert</t>
        </is>
      </c>
      <c r="N63" s="26" t="inlineStr">
        <is>
          <t>ouvert 7j/7</t>
        </is>
      </c>
      <c r="O63" s="26" t="inlineStr">
        <is>
          <t>https://www.gillespudlowski.com/recherche/Restaurants/0/France/Paris/Paris/75009/</t>
        </is>
      </c>
    </row>
    <row r="64">
      <c r="A64" s="28" t="inlineStr">
        <is>
          <t>Proposition : haut de gamme élargi</t>
        </is>
      </c>
      <c r="B64" s="26" t="inlineStr">
        <is>
          <t>Le Bon Georges</t>
        </is>
      </c>
      <c r="C64" s="26" t="inlineStr">
        <is>
          <t>45, rue Saint Georges - 75009 Paris</t>
        </is>
      </c>
      <c r="D64" s="26" t="n">
        <v>9</v>
      </c>
      <c r="E64" s="26" t="inlineStr">
        <is>
          <t>Bistrots, français</t>
        </is>
      </c>
      <c r="F64" s="26" t="n">
        <v>85</v>
      </c>
      <c r="G64" s="26" t="inlineStr">
        <is>
          <t>Ouvert</t>
        </is>
      </c>
      <c r="H64" s="26" t="inlineStr">
        <is>
          <t>Ouvert</t>
        </is>
      </c>
      <c r="I64" s="26" t="inlineStr">
        <is>
          <t>Ouvert</t>
        </is>
      </c>
      <c r="J64" s="26" t="inlineStr">
        <is>
          <t>Ouvert</t>
        </is>
      </c>
      <c r="K64" s="26" t="inlineStr">
        <is>
          <t>Ouvert</t>
        </is>
      </c>
      <c r="L64" s="26" t="inlineStr">
        <is>
          <t>Ouvert</t>
        </is>
      </c>
      <c r="M64" s="26" t="inlineStr">
        <is>
          <t>Ouvert</t>
        </is>
      </c>
      <c r="N64" s="26" t="inlineStr">
        <is>
          <t>ouvert 7j/7</t>
        </is>
      </c>
      <c r="O64" s="26" t="inlineStr">
        <is>
          <t>https://www.gillespudlowski.com/recherche/Restaurants/0/France/Paris/Paris/75009/</t>
        </is>
      </c>
    </row>
    <row r="65">
      <c r="A65" s="28" t="inlineStr">
        <is>
          <t>Proposition : haut de gamme élargi</t>
        </is>
      </c>
      <c r="B65" s="26" t="inlineStr">
        <is>
          <t>Nosso</t>
        </is>
      </c>
      <c r="C65" s="26" t="inlineStr">
        <is>
          <t>22 Promenade Claude Lévi-Strauss - 75013 Paris</t>
        </is>
      </c>
      <c r="D65" s="26" t="n">
        <v>13</v>
      </c>
      <c r="E65" s="26" t="inlineStr">
        <is>
          <t>français, gastronomiques</t>
        </is>
      </c>
      <c r="F65" s="26" t="n">
        <v>80</v>
      </c>
      <c r="G65" s="26" t="inlineStr">
        <is>
          <t>Ouvert</t>
        </is>
      </c>
      <c r="H65" s="26" t="inlineStr">
        <is>
          <t>Ouvert</t>
        </is>
      </c>
      <c r="I65" s="26" t="inlineStr">
        <is>
          <t>Ouvert</t>
        </is>
      </c>
      <c r="J65" s="26" t="inlineStr">
        <is>
          <t>Ouvert</t>
        </is>
      </c>
      <c r="K65" s="26" t="inlineStr">
        <is>
          <t>Ouvert</t>
        </is>
      </c>
      <c r="L65" s="26" t="inlineStr">
        <is>
          <t>Fermé</t>
        </is>
      </c>
      <c r="M65" s="26" t="inlineStr">
        <is>
          <t>Fermé</t>
        </is>
      </c>
      <c r="N65" s="26" t="inlineStr">
        <is>
          <t>Samedi, dimanche</t>
        </is>
      </c>
      <c r="O65" s="26" t="inlineStr">
        <is>
          <t>https://www.gillespudlowski.com/recherche/Restaurants/0/France/Paris/Paris/75013/</t>
        </is>
      </c>
    </row>
    <row r="66">
      <c r="A66" s="28" t="inlineStr">
        <is>
          <t>Proposition : haut de gamme élargi</t>
        </is>
      </c>
      <c r="B66" s="26" t="inlineStr">
        <is>
          <t>Da Lucrezia Osteria</t>
        </is>
      </c>
      <c r="C66" s="26" t="inlineStr">
        <is>
          <t>171 rue de la Convention - 75015 Paris</t>
        </is>
      </c>
      <c r="D66" s="26" t="n">
        <v>15</v>
      </c>
      <c r="E66" s="26" t="inlineStr">
        <is>
          <t>italiens</t>
        </is>
      </c>
      <c r="F66" s="26" t="n">
        <v>92</v>
      </c>
      <c r="G66" s="26" t="inlineStr">
        <is>
          <t>Fermé</t>
        </is>
      </c>
      <c r="H66" s="26" t="inlineStr">
        <is>
          <t>Ouvert</t>
        </is>
      </c>
      <c r="I66" s="26" t="inlineStr">
        <is>
          <t>Ouvert</t>
        </is>
      </c>
      <c r="J66" s="26" t="inlineStr">
        <is>
          <t>Ouvert</t>
        </is>
      </c>
      <c r="K66" s="26" t="inlineStr">
        <is>
          <t>Ouvert</t>
        </is>
      </c>
      <c r="L66" s="26" t="inlineStr">
        <is>
          <t>Ouvert</t>
        </is>
      </c>
      <c r="M66" s="26" t="inlineStr">
        <is>
          <t>Fermé soir</t>
        </is>
      </c>
      <c r="N66" s="26" t="inlineStr">
        <is>
          <t>Lundi, dimanche soir</t>
        </is>
      </c>
      <c r="O66" s="26" t="inlineStr">
        <is>
          <t>https://www.gillespudlowski.com/recherche/Restaurants/0/France/Paris/Paris/75015/</t>
        </is>
      </c>
    </row>
    <row r="67">
      <c r="A67" s="28" t="inlineStr">
        <is>
          <t>Proposition : haut de gamme élargi</t>
        </is>
      </c>
      <c r="B67" s="26" t="inlineStr">
        <is>
          <t>Ebène</t>
        </is>
      </c>
      <c r="C67" s="26" t="inlineStr">
        <is>
          <t>8, rue Falguière - 75015 Paris</t>
        </is>
      </c>
      <c r="D67" s="26" t="n">
        <v>15</v>
      </c>
      <c r="E67" s="26" t="inlineStr">
        <is>
          <t>français</t>
        </is>
      </c>
      <c r="F67" s="26" t="n">
        <v>95</v>
      </c>
      <c r="G67" s="26" t="inlineStr">
        <is>
          <t>Fermé</t>
        </is>
      </c>
      <c r="H67" s="26" t="inlineStr">
        <is>
          <t>Ouvert</t>
        </is>
      </c>
      <c r="I67" s="26" t="inlineStr">
        <is>
          <t>Ouvert</t>
        </is>
      </c>
      <c r="J67" s="26" t="inlineStr">
        <is>
          <t>Ouvert</t>
        </is>
      </c>
      <c r="K67" s="26" t="inlineStr">
        <is>
          <t>Ouvert</t>
        </is>
      </c>
      <c r="L67" s="26" t="inlineStr">
        <is>
          <t>Ouvert</t>
        </is>
      </c>
      <c r="M67" s="26" t="inlineStr">
        <is>
          <t>Fermé</t>
        </is>
      </c>
      <c r="N67" s="26" t="inlineStr">
        <is>
          <t>Lundi, dimanche</t>
        </is>
      </c>
      <c r="O67" s="26" t="inlineStr">
        <is>
          <t>https://www.gillespudlowski.com/recherche/Restaurants/0/France/Paris/Paris/75015/</t>
        </is>
      </c>
    </row>
    <row r="68">
      <c r="A68" s="28" t="inlineStr">
        <is>
          <t>Proposition : haut de gamme élargi</t>
        </is>
      </c>
      <c r="B68" s="26" t="inlineStr">
        <is>
          <t>Maison Roland – Shangri-La Paris</t>
        </is>
      </c>
      <c r="C68" s="26" t="inlineStr">
        <is>
          <t>10, avenue d'Iéna - 75016 Paris</t>
        </is>
      </c>
      <c r="D68" s="26" t="n">
        <v>16</v>
      </c>
      <c r="E68" s="26" t="inlineStr">
        <is>
          <t>Bistrots, français, gastronomiques</t>
        </is>
      </c>
      <c r="F68" s="26" t="n">
        <v>80</v>
      </c>
      <c r="G68" s="26" t="inlineStr">
        <is>
          <t>Ouvert</t>
        </is>
      </c>
      <c r="H68" s="26" t="inlineStr">
        <is>
          <t>Ouvert</t>
        </is>
      </c>
      <c r="I68" s="26" t="inlineStr">
        <is>
          <t>Ouvert</t>
        </is>
      </c>
      <c r="J68" s="26" t="inlineStr">
        <is>
          <t>Ouvert</t>
        </is>
      </c>
      <c r="K68" s="26" t="inlineStr">
        <is>
          <t>Ouvert</t>
        </is>
      </c>
      <c r="L68" s="26" t="inlineStr">
        <is>
          <t>Ouvert</t>
        </is>
      </c>
      <c r="M68" s="26" t="inlineStr">
        <is>
          <t>Ouvert</t>
        </is>
      </c>
      <c r="N68" s="26" t="inlineStr">
        <is>
          <t>ouvert 7j/7</t>
        </is>
      </c>
      <c r="O68" s="26" t="inlineStr">
        <is>
          <t>https://www.gillespudlowski.com/recherche/Restaurants/0/France/Paris/Paris/75016/</t>
        </is>
      </c>
    </row>
    <row r="69">
      <c r="A69" s="28" t="inlineStr">
        <is>
          <t>Proposition : haut de gamme élargi</t>
        </is>
      </c>
      <c r="B69" s="26" t="inlineStr">
        <is>
          <t>Bistrot Flaubert</t>
        </is>
      </c>
      <c r="C69" s="26" t="inlineStr">
        <is>
          <t>10 rue Gustave-Flaubert - 75017 Paris</t>
        </is>
      </c>
      <c r="D69" s="26" t="n">
        <v>17</v>
      </c>
      <c r="E69" s="26" t="inlineStr">
        <is>
          <t>Bistrots, français</t>
        </is>
      </c>
      <c r="F69" s="26" t="n">
        <v>85</v>
      </c>
      <c r="G69" s="26" t="inlineStr">
        <is>
          <t>Ouvert</t>
        </is>
      </c>
      <c r="H69" s="26" t="inlineStr">
        <is>
          <t>Ouvert</t>
        </is>
      </c>
      <c r="I69" s="26" t="inlineStr">
        <is>
          <t>Ouvert</t>
        </is>
      </c>
      <c r="J69" s="26" t="inlineStr">
        <is>
          <t>Ouvert</t>
        </is>
      </c>
      <c r="K69" s="26" t="inlineStr">
        <is>
          <t>Ouvert</t>
        </is>
      </c>
      <c r="L69" s="26" t="inlineStr">
        <is>
          <t>Fermé</t>
        </is>
      </c>
      <c r="M69" s="26" t="inlineStr">
        <is>
          <t>Fermé</t>
        </is>
      </c>
      <c r="N69" s="26" t="inlineStr">
        <is>
          <t>Samedi, dimanche</t>
        </is>
      </c>
      <c r="O69" s="26" t="inlineStr">
        <is>
          <t>https://www.gillespudlowski.com/recherche/Restaurants/0/France/Paris/Paris/75017/</t>
        </is>
      </c>
    </row>
    <row r="70">
      <c r="A70" s="28" t="inlineStr">
        <is>
          <t>Proposition : haut de gamme élargi</t>
        </is>
      </c>
      <c r="B70" s="26" t="inlineStr">
        <is>
          <t>Le Coq &amp; Fils</t>
        </is>
      </c>
      <c r="C70" s="26" t="inlineStr">
        <is>
          <t>98 rue Lepic - 75018 Paris</t>
        </is>
      </c>
      <c r="D70" s="26" t="n">
        <v>18</v>
      </c>
      <c r="E70" s="26" t="inlineStr">
        <is>
          <t>français</t>
        </is>
      </c>
      <c r="F70" s="26" t="n">
        <v>80</v>
      </c>
      <c r="G70" s="26" t="inlineStr">
        <is>
          <t>Ouvert</t>
        </is>
      </c>
      <c r="H70" s="26" t="inlineStr">
        <is>
          <t>Ouvert</t>
        </is>
      </c>
      <c r="I70" s="26" t="inlineStr">
        <is>
          <t>Ouvert</t>
        </is>
      </c>
      <c r="J70" s="26" t="inlineStr">
        <is>
          <t>Ouvert</t>
        </is>
      </c>
      <c r="K70" s="26" t="inlineStr">
        <is>
          <t>Ouvert</t>
        </is>
      </c>
      <c r="L70" s="26" t="inlineStr">
        <is>
          <t>Ouvert</t>
        </is>
      </c>
      <c r="M70" s="26" t="inlineStr">
        <is>
          <t>Ouvert</t>
        </is>
      </c>
      <c r="N70" s="26" t="inlineStr">
        <is>
          <t>ouvert 7j/7</t>
        </is>
      </c>
      <c r="O70" s="26" t="inlineStr">
        <is>
          <t>https://www.gillespudlowski.com/recherche/Restaurants/0/France/Paris/Paris/75018/</t>
        </is>
      </c>
    </row>
  </sheetData>
  <autoFilter ref="A1:O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28" customWidth="1" min="3" max="3"/>
    <col width="30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</cols>
  <sheetData>
    <row r="1">
      <c r="A1" s="1" t="inlineStr">
        <is>
          <t>Proposition : tables étoilées à ajouter, jours de fermeture à relever</t>
        </is>
      </c>
    </row>
    <row r="2">
      <c r="A2" s="2" t="inlineStr">
        <is>
          <t>Absentes de la base d'origine. Relever les jours sur le site du restaurant ou la fiche du Guide Michelin, puis les ajouter à l'onglet Base.</t>
        </is>
      </c>
    </row>
    <row r="4" ht="34" customHeight="1">
      <c r="A4" s="8" t="inlineStr">
        <is>
          <t>Restaurant</t>
        </is>
      </c>
      <c r="B4" s="8" t="inlineStr">
        <is>
          <t>Arr.</t>
        </is>
      </c>
      <c r="C4" s="8" t="inlineStr">
        <is>
          <t>Distinction</t>
        </is>
      </c>
      <c r="D4" s="8" t="inlineStr">
        <is>
          <t>Jours de fermeture</t>
        </is>
      </c>
      <c r="E4" s="8" t="inlineStr">
        <is>
          <t>Source de la distinction</t>
        </is>
      </c>
      <c r="F4" s="8" t="inlineStr">
        <is>
          <t>Lundi</t>
        </is>
      </c>
      <c r="G4" s="8" t="inlineStr">
        <is>
          <t>Mardi</t>
        </is>
      </c>
      <c r="H4" s="8" t="inlineStr">
        <is>
          <t>Mercredi</t>
        </is>
      </c>
      <c r="I4" s="8" t="inlineStr">
        <is>
          <t>Jeudi</t>
        </is>
      </c>
      <c r="J4" s="8" t="inlineStr">
        <is>
          <t>Vendredi</t>
        </is>
      </c>
      <c r="K4" s="8" t="inlineStr">
        <is>
          <t>Samedi</t>
        </is>
      </c>
      <c r="L4" s="8" t="inlineStr">
        <is>
          <t>Dimanche</t>
        </is>
      </c>
      <c r="M4" s="8" t="inlineStr">
        <is>
          <t>Relevé fait par</t>
        </is>
      </c>
      <c r="N4" s="8" t="inlineStr">
        <is>
          <t>Date du relevé</t>
        </is>
      </c>
    </row>
    <row r="5">
      <c r="A5" s="15" t="inlineStr">
        <is>
          <t>Kei</t>
        </is>
      </c>
      <c r="B5" s="15" t="inlineStr">
        <is>
          <t>1er</t>
        </is>
      </c>
      <c r="C5" s="15" t="inlineStr">
        <is>
          <t>3 étoiles Michelin 2026</t>
        </is>
      </c>
      <c r="D5" s="29" t="inlineStr">
        <is>
          <t>Non établi</t>
        </is>
      </c>
      <c r="E5" s="15" t="inlineStr">
        <is>
          <t>Affiches Parisiennes, 17/03/2026</t>
        </is>
      </c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</row>
    <row r="6">
      <c r="A6" s="15" t="inlineStr">
        <is>
          <t>Plénitude — Cheval Blanc Paris</t>
        </is>
      </c>
      <c r="B6" s="15" t="inlineStr">
        <is>
          <t>1er</t>
        </is>
      </c>
      <c r="C6" s="15" t="inlineStr">
        <is>
          <t>3 étoiles Michelin 2026</t>
        </is>
      </c>
      <c r="D6" s="29" t="inlineStr">
        <is>
          <t>Non établi</t>
        </is>
      </c>
      <c r="E6" s="15" t="inlineStr">
        <is>
          <t>Affiches Parisiennes, 17/03/2026</t>
        </is>
      </c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</row>
    <row r="7">
      <c r="A7" s="15" t="inlineStr">
        <is>
          <t>Arpège</t>
        </is>
      </c>
      <c r="B7" s="15" t="inlineStr">
        <is>
          <t>7e</t>
        </is>
      </c>
      <c r="C7" s="15" t="inlineStr">
        <is>
          <t>3 étoiles Michelin 2026</t>
        </is>
      </c>
      <c r="D7" s="29" t="inlineStr">
        <is>
          <t>Non établi</t>
        </is>
      </c>
      <c r="E7" s="15" t="inlineStr">
        <is>
          <t>Affiches Parisiennes, 17/03/2026</t>
        </is>
      </c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</row>
    <row r="8">
      <c r="A8" s="15" t="inlineStr">
        <is>
          <t>Alléno Paris au Pavillon Ledoyen</t>
        </is>
      </c>
      <c r="B8" s="15" t="inlineStr">
        <is>
          <t>8e</t>
        </is>
      </c>
      <c r="C8" s="15" t="inlineStr">
        <is>
          <t>3 étoiles Michelin 2026</t>
        </is>
      </c>
      <c r="D8" s="29" t="inlineStr">
        <is>
          <t>Non établi</t>
        </is>
      </c>
      <c r="E8" s="15" t="inlineStr">
        <is>
          <t>Affiches Parisiennes, 17/03/2026</t>
        </is>
      </c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</row>
    <row r="9">
      <c r="A9" s="15" t="inlineStr">
        <is>
          <t>Épicure (Le Bristol)</t>
        </is>
      </c>
      <c r="B9" s="15" t="inlineStr">
        <is>
          <t>8e</t>
        </is>
      </c>
      <c r="C9" s="15" t="inlineStr">
        <is>
          <t>3 étoiles Michelin 2026</t>
        </is>
      </c>
      <c r="D9" s="29" t="inlineStr">
        <is>
          <t>Non établi</t>
        </is>
      </c>
      <c r="E9" s="15" t="inlineStr">
        <is>
          <t>Affiches Parisiennes, 17/03/2026</t>
        </is>
      </c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</row>
    <row r="10">
      <c r="A10" s="15" t="inlineStr">
        <is>
          <t>Le Cinq (Four Seasons George V)</t>
        </is>
      </c>
      <c r="B10" s="15" t="inlineStr">
        <is>
          <t>8e</t>
        </is>
      </c>
      <c r="C10" s="15" t="inlineStr">
        <is>
          <t>3 étoiles Michelin 2026</t>
        </is>
      </c>
      <c r="D10" s="29" t="inlineStr">
        <is>
          <t>Non établi</t>
        </is>
      </c>
      <c r="E10" s="15" t="inlineStr">
        <is>
          <t>Affiches Parisiennes, 17/03/2026</t>
        </is>
      </c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</row>
    <row r="11">
      <c r="A11" s="15" t="inlineStr">
        <is>
          <t>Le Gabriel — La Réserve Paris</t>
        </is>
      </c>
      <c r="B11" s="15" t="inlineStr">
        <is>
          <t>8e</t>
        </is>
      </c>
      <c r="C11" s="15" t="inlineStr">
        <is>
          <t>3 étoiles Michelin 2026</t>
        </is>
      </c>
      <c r="D11" s="29" t="inlineStr">
        <is>
          <t>Non établi</t>
        </is>
      </c>
      <c r="E11" s="15" t="inlineStr">
        <is>
          <t>Affiches Parisiennes, 17/03/2026</t>
        </is>
      </c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</row>
    <row r="12">
      <c r="A12" s="15" t="inlineStr">
        <is>
          <t>Pierre Gagnaire</t>
        </is>
      </c>
      <c r="B12" s="15" t="inlineStr">
        <is>
          <t>8e</t>
        </is>
      </c>
      <c r="C12" s="15" t="inlineStr">
        <is>
          <t>3 étoiles Michelin 2026</t>
        </is>
      </c>
      <c r="D12" s="29" t="inlineStr">
        <is>
          <t>Non établi</t>
        </is>
      </c>
      <c r="E12" s="15" t="inlineStr">
        <is>
          <t>Affiches Parisiennes, 17/03/2026</t>
        </is>
      </c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</row>
    <row r="13">
      <c r="A13" s="15" t="inlineStr">
        <is>
          <t>Le Pré Catelan</t>
        </is>
      </c>
      <c r="B13" s="15" t="inlineStr">
        <is>
          <t>16e</t>
        </is>
      </c>
      <c r="C13" s="15" t="inlineStr">
        <is>
          <t>3 étoiles Michelin 2026</t>
        </is>
      </c>
      <c r="D13" s="31" t="inlineStr">
        <is>
          <t>Dimanche, lundi, mardi (source ancienne, à vérifier)</t>
        </is>
      </c>
      <c r="E13" s="15" t="inlineStr">
        <is>
          <t>Paris Gourmand (date non établie)</t>
        </is>
      </c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</row>
    <row r="14">
      <c r="A14" s="15" t="inlineStr">
        <is>
          <t>Hakuba</t>
        </is>
      </c>
      <c r="B14" s="15" t="inlineStr">
        <is>
          <t>1er</t>
        </is>
      </c>
      <c r="C14" s="15" t="inlineStr">
        <is>
          <t>2 étoiles Michelin 2026 (nouveau)</t>
        </is>
      </c>
      <c r="D14" s="29" t="inlineStr">
        <is>
          <t>Non établi</t>
        </is>
      </c>
      <c r="E14" s="15" t="inlineStr">
        <is>
          <t>Gilles Pudlowski / Yonder, 17/03/2026</t>
        </is>
      </c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</row>
    <row r="15">
      <c r="A15" s="15" t="inlineStr">
        <is>
          <t>Alliance</t>
        </is>
      </c>
      <c r="B15" s="15" t="inlineStr">
        <is>
          <t>5e</t>
        </is>
      </c>
      <c r="C15" s="15" t="inlineStr">
        <is>
          <t>2 étoiles Michelin 2026 (nouveau)</t>
        </is>
      </c>
      <c r="D15" s="29" t="inlineStr">
        <is>
          <t>Non établi</t>
        </is>
      </c>
      <c r="E15" s="15" t="inlineStr">
        <is>
          <t>Gilles Pudlowski / Yonder, 17/03/2026</t>
        </is>
      </c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</row>
    <row r="16">
      <c r="A16" s="15" t="inlineStr">
        <is>
          <t>Virtus</t>
        </is>
      </c>
      <c r="B16" s="15" t="inlineStr">
        <is>
          <t>12e</t>
        </is>
      </c>
      <c r="C16" s="15" t="inlineStr">
        <is>
          <t>2 étoiles Michelin 2026 (nouveau)</t>
        </is>
      </c>
      <c r="D16" s="29" t="inlineStr">
        <is>
          <t>Non établi</t>
        </is>
      </c>
      <c r="E16" s="15" t="inlineStr">
        <is>
          <t>Gilles Pudlowski / Yonder, 17/03/2026</t>
        </is>
      </c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</row>
    <row r="17">
      <c r="A17" s="15" t="inlineStr">
        <is>
          <t>L'Ambroisie</t>
        </is>
      </c>
      <c r="B17" s="15" t="inlineStr">
        <is>
          <t>4e</t>
        </is>
      </c>
      <c r="C17" s="15" t="inlineStr">
        <is>
          <t>Ancien 3 étoiles, 2 étoiles en 2026</t>
        </is>
      </c>
      <c r="D17" s="29" t="inlineStr">
        <is>
          <t>Non établi</t>
        </is>
      </c>
      <c r="E17" s="15" t="inlineStr">
        <is>
          <t>Paris Select Book, 2026</t>
        </is>
      </c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</row>
    <row r="18">
      <c r="A18" s="15" t="inlineStr">
        <is>
          <t>Lucas Carton</t>
        </is>
      </c>
      <c r="B18" s="15" t="inlineStr">
        <is>
          <t>8e</t>
        </is>
      </c>
      <c r="C18" s="15" t="inlineStr">
        <is>
          <t>Table gastronomique (Cyril Lignac)</t>
        </is>
      </c>
      <c r="D18" s="29" t="inlineStr">
        <is>
          <t>Non établi</t>
        </is>
      </c>
      <c r="E18" s="15" t="inlineStr">
        <is>
          <t>Newtable, octobre 2026</t>
        </is>
      </c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</row>
    <row r="19">
      <c r="A19" s="15" t="inlineStr">
        <is>
          <t>Blanc</t>
        </is>
      </c>
      <c r="B19" s="15" t="inlineStr">
        <is>
          <t>16e</t>
        </is>
      </c>
      <c r="C19" s="15" t="inlineStr">
        <is>
          <t>Table gastronomique</t>
        </is>
      </c>
      <c r="D19" s="29" t="inlineStr">
        <is>
          <t>Non établi</t>
        </is>
      </c>
      <c r="E19" s="15" t="inlineStr">
        <is>
          <t>Newtable, octobre 2026</t>
        </is>
      </c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</row>
  </sheetData>
  <dataValidations count="1">
    <dataValidation sqref="F5:L19" showDropDown="0" showInputMessage="0" showErrorMessage="0" allowBlank="1" type="list">
      <formula1>"Ouvert,Fermé,Fermé soir,Fermé midi"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 ht="34" customHeight="1">
      <c r="A1" s="8" t="inlineStr">
        <is>
          <t>Élément</t>
        </is>
      </c>
      <c r="B1" s="8" t="inlineStr">
        <is>
          <t>Détail</t>
        </is>
      </c>
    </row>
    <row r="2">
      <c r="A2" s="4" t="inlineStr">
        <is>
          <t>Base de restaurants</t>
        </is>
      </c>
      <c r="B2" s="4" t="inlineStr">
        <is>
          <t>Fichier « BAse restaurant par jour d'ouverture.xlsx » (HEC Cuisine Innovation), onglet Base restaurants, lignes classées « Exclu : très haut de gamme » (et, pour la proposition, « Milieu-haut de gamme » à 80 € ou plus) : guide Gilles Pudlowski, relevé du 27/10/2026.</t>
        </is>
      </c>
    </row>
    <row r="3">
      <c r="A3" s="4" t="inlineStr">
        <is>
          <t>Guide Michelin 2026, Paris</t>
        </is>
      </c>
      <c r="B3" s="4" t="inlineStr">
        <is>
          <t>Affiches Parisiennes / mesinfos.fr, 17/03/2026 : 127 restaurants étoilés à Paris dont 9 trois étoiles. https://mesinfos.fr/75000-paris/guide-michelin-2026-decouvrez-les-127-restaurants-etoiles-de-paris-242358.html</t>
        </is>
      </c>
    </row>
    <row r="4">
      <c r="A4" s="4" t="inlineStr">
        <is>
          <t>Nouveaux deux étoiles 2026</t>
        </is>
      </c>
      <c r="B4" s="4" t="inlineStr">
        <is>
          <t>Gilles Pudlowski, Michelin 2026 : les nouveaux étoilés. https://www.gillespudlowski.com/?p=421626 ; Yonder, 17/03/2026 https://www.yonder.fr/news/restaurants/palmares-guide-michelin-2026</t>
        </is>
      </c>
    </row>
    <row r="5">
      <c r="A5" s="4" t="inlineStr">
        <is>
          <t>L'Ambroisie</t>
        </is>
      </c>
      <c r="B5" s="4" t="inlineStr">
        <is>
          <t>Paris Select Book, Guide Michelin 2026 : un trois-étoiles historique perd son macaron. https://www.parisselectbook.com/?p=235755</t>
        </is>
      </c>
    </row>
    <row r="6">
      <c r="A6" s="4" t="inlineStr">
        <is>
          <t>Le Pré Catelan (jours)</t>
        </is>
      </c>
      <c r="B6" s="4" t="inlineStr">
        <is>
          <t>Paris Gourmand, nos meilleurs restaurants étoilés à Paris (date non établie). https://www.parisgourmand.com/restaurant-paris/nos-meilleurs-restaurants-etoiles-ou-a-la-mode-a-paris.html</t>
        </is>
      </c>
    </row>
    <row r="7">
      <c r="A7" s="4" t="inlineStr">
        <is>
          <t>Lucas Carton, Blanc</t>
        </is>
      </c>
      <c r="B7" s="4" t="inlineStr">
        <is>
          <t>Newtable, restaurants gastronomiques à Paris (octobre 2026). https://fr.newtable.com/gastronomique-paris.php</t>
        </is>
      </c>
    </row>
    <row r="8">
      <c r="A8" s="4" t="inlineStr">
        <is>
          <t>Priorités</t>
        </is>
      </c>
      <c r="B8" s="4" t="inlineStr">
        <is>
          <t>Proposition du pôle Ventes, à valider.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2026-10-28T18:14:46Z</dcterms:created>
  <dcterms:modified xmlns:dcterms="http://purl.org/dc/terms/" xmlns:xsi="http://www.w3.org/2001/XMLSchema-instance" xsi:type="dcterms:W3CDTF">2026-10-28T18:14:46Z</dcterms:modified>
</cp:coreProperties>
</file>