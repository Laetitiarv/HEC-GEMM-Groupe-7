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Calculateur" sheetId="2" state="visible" r:id="rId4"/>
    <sheet name="Paramèt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Accords « prestige » : nombre de verres non fixé par l'offre du Produit (8 à 9 services annoncés).</t>
        </r>
      </text>
    </comment>
    <comment ref="E9" authorId="0">
      <text>
        <r>
          <rPr>
            <sz val="10"/>
            <rFont val="Arial"/>
            <family val="2"/>
          </rPr>
          <t xml:space="preserve">Nombre d'accords non fixé par l'offre du Produit (7 services annoncés).</t>
        </r>
      </text>
    </comment>
    <comment ref="F8" authorId="0">
      <text>
        <r>
          <rPr>
            <sz val="10"/>
            <rFont val="Arial"/>
            <family val="2"/>
          </rPr>
          <t xml:space="preserve">Services non fixés par le document du Marketing.</t>
        </r>
      </text>
    </comment>
    <comment ref="F11" authorId="0">
      <text>
        <r>
          <rPr>
            <sz val="10"/>
            <rFont val="Arial"/>
            <family val="2"/>
          </rPr>
          <t xml:space="preserve">H : 3 salons, hypothèse. Le Marketing propose de « répartir les invités entre les salons » sans en donner le nombre.</t>
        </r>
      </text>
    </comment>
  </commentList>
</comments>
</file>

<file path=xl/sharedStrings.xml><?xml version="1.0" encoding="utf-8"?>
<sst xmlns="http://schemas.openxmlformats.org/spreadsheetml/2006/main" count="245" uniqueCount="193">
  <si>
    <t xml:space="preserve">Calculateur de staffing par événement — Fou d'un soir</t>
  </si>
  <si>
    <t xml:space="preserve">28/10/2026 · 6 OPERATIONS/PRODUCTION · Document de travail du pôle Opérations : propositions, rien n'est décidé (voir REGISTRE DES DECISIONS).</t>
  </si>
  <si>
    <t xml:space="preserve">À quoi il sert</t>
  </si>
  <si>
    <t xml:space="preserve">Pour chaque événement, il calcule la classe de taille (T1 à T5), la catégorie (taille / criticité), le délai minimum de préparation, la charge de plonge, l'équipe nécessaire rôle par rôle, les process à appliquer et, une fois les heures et les taux renseignés, le coût de personnel à transmettre à la Finance (donnée n° 5).</t>
  </si>
  <si>
    <t xml:space="preserve">Il applique la note « 2026 1028 Typologie des événements, process et staffing » (même dossier).</t>
  </si>
  <si>
    <t xml:space="preserve">Comment s'en servir</t>
  </si>
  <si>
    <t xml:space="preserve">1. Onglet « Calculateur » : une colonne par événement. Ne remplir que les cellules jaunes à texte bleu (lignes 5 à 13). Tout le reste se calcule.</t>
  </si>
  <si>
    <t xml:space="preserve">2. Criticité : C1 Standard, C2 Premium, C3 Signature (définitions dans l'onglet « Paramètres »).</t>
  </si>
  <si>
    <t xml:space="preserve">3. « Service de salle fourni par » : choisir « Restaurant » si l'équipe du restaurant hôte assure la salle. Les postes de salle sont alors comptés à part et sortis du coût.</t>
  </si>
  <si>
    <t xml:space="preserve">4. Onglet « Paramètres » : les ratios et les seuils sont modifiables (cellules jaunes). Renseigner les heures par personne et les coûts horaires dès qu'un devis est reçu : le coût de personnel apparaît alors dans le calculateur.</t>
  </si>
  <si>
    <t xml:space="preserve">Codes couleur</t>
  </si>
  <si>
    <t xml:space="preserve">Texte bleu sur fond jaune = valeur à saisir ou hypothèse modifiable · texte noir = calcul · texte vert = lien vers un autre onglet.</t>
  </si>
  <si>
    <t xml:space="preserve">Nature des valeurs (voir RULES) : F = fait sourcé · R = repère de marché (source secondaire) · P = proposition · H = hypothèse à remplacer.</t>
  </si>
  <si>
    <t xml:space="preserve">Limites</t>
  </si>
  <si>
    <t xml:space="preserve">Les ratios sont des propositions tirées de repères de marché non normatifs (guides de traiteurs), à confirmer avec un chef et une agence d'extras. Les colonnes d'exemple reprennent les formats de l'offre du Produit et de la soirée de lancement du Marketing ; les valeurs non fixées par ces documents sont laissées vides ou marquées H.</t>
  </si>
  <si>
    <t xml:space="preserve">Les événements de plus de 60 couverts (T5 : mariages, grands événements) sont hors périmètre à ce stade : le calculateur les signale sans les chiffrer de façon fiable.</t>
  </si>
  <si>
    <t xml:space="preserve">Calculateur de staffing — une colonne par événement</t>
  </si>
  <si>
    <t xml:space="preserve">Ne saisir que les cellules jaunes (lignes 5 à 13). Exemples : formats de l'offre du Produit et de la soirée de lancement du Marketing (propositions, non décidées).</t>
  </si>
  <si>
    <t xml:space="preserve">Saisie</t>
  </si>
  <si>
    <t xml:space="preserve">Unité / choix</t>
  </si>
  <si>
    <t xml:space="preserve">Nom de l'événement</t>
  </si>
  <si>
    <t xml:space="preserve">texte</t>
  </si>
  <si>
    <t xml:space="preserve">Pilote 1 — Premier soir</t>
  </si>
  <si>
    <t xml:space="preserve">Pilote 2 — La Grande Nuit</t>
  </si>
  <si>
    <t xml:space="preserve">Le Voyage</t>
  </si>
  <si>
    <t xml:space="preserve">Lancement — option 2 (Lapérouse)</t>
  </si>
  <si>
    <t xml:space="preserve">Tête-à-tête</t>
  </si>
  <si>
    <t xml:space="preserve">Table d'affaires</t>
  </si>
  <si>
    <t xml:space="preserve">Format</t>
  </si>
  <si>
    <t xml:space="preserve">Offre A</t>
  </si>
  <si>
    <t xml:space="preserve">Lancement presse</t>
  </si>
  <si>
    <t xml:space="preserve">Offre B</t>
  </si>
  <si>
    <t xml:space="preserve">Couverts</t>
  </si>
  <si>
    <t xml:space="preserve">nombre</t>
  </si>
  <si>
    <t xml:space="preserve">Services (plats)</t>
  </si>
  <si>
    <t xml:space="preserve">Accords (verres par convive, hors eau)</t>
  </si>
  <si>
    <t xml:space="preserve">Criticité</t>
  </si>
  <si>
    <t xml:space="preserve">C1 / C2 / C3</t>
  </si>
  <si>
    <t xml:space="preserve">C2</t>
  </si>
  <si>
    <t xml:space="preserve">C3</t>
  </si>
  <si>
    <t xml:space="preserve">Nombre de salons</t>
  </si>
  <si>
    <t xml:space="preserve">Logistique d'accès particulière</t>
  </si>
  <si>
    <t xml:space="preserve">Oui / Non</t>
  </si>
  <si>
    <t xml:space="preserve">Non</t>
  </si>
  <si>
    <t xml:space="preserve">Service de salle fourni par</t>
  </si>
  <si>
    <t xml:space="preserve">Nous / Restaurant</t>
  </si>
  <si>
    <t xml:space="preserve">Nous</t>
  </si>
  <si>
    <t xml:space="preserve">Résultats</t>
  </si>
  <si>
    <t xml:space="preserve">Classe de taille</t>
  </si>
  <si>
    <t xml:space="preserve">Catégorie (taille / criticité)</t>
  </si>
  <si>
    <t xml:space="preserve">Dans le périmètre ?</t>
  </si>
  <si>
    <t xml:space="preserve">Délai minimum de préparation (semaines)</t>
  </si>
  <si>
    <t xml:space="preserve">Assiettes à laver (couverts × services)</t>
  </si>
  <si>
    <t xml:space="preserve">hors pain, mises en bouche, couverts</t>
  </si>
  <si>
    <t xml:space="preserve">Verres à laver (couverts × (accords + eau))</t>
  </si>
  <si>
    <t xml:space="preserve">si accords vides : eau seule</t>
  </si>
  <si>
    <t xml:space="preserve">Équipe nécessaire (personnes)</t>
  </si>
  <si>
    <t xml:space="preserve">Règle</t>
  </si>
  <si>
    <t xml:space="preserve">Total, chef compris</t>
  </si>
  <si>
    <t xml:space="preserve">dont postes de salle fournis par le restaurant</t>
  </si>
  <si>
    <t xml:space="preserve">Total à mobiliser par nous</t>
  </si>
  <si>
    <t xml:space="preserve">Heures de travail (à mobiliser par nous)</t>
  </si>
  <si>
    <t xml:space="preserve">reste à 0 tant que les heures ne sont pas saisies</t>
  </si>
  <si>
    <t xml:space="preserve">Coût de personnel hors cachet du chef (€)</t>
  </si>
  <si>
    <t xml:space="preserve">reste à 0 tant que les heures et les taux ne sont pas saisis</t>
  </si>
  <si>
    <t xml:space="preserve">Process à appliquer</t>
  </si>
  <si>
    <t xml:space="preserve">Paramètres du calculateur</t>
  </si>
  <si>
    <t xml:space="preserve">Cellules jaunes modifiables. Chaque valeur porte sa nature et sa source.</t>
  </si>
  <si>
    <t xml:space="preserve">Paramètre</t>
  </si>
  <si>
    <t xml:space="preserve">Valeur</t>
  </si>
  <si>
    <t xml:space="preserve">Nature</t>
  </si>
  <si>
    <t xml:space="preserve">Source / justification</t>
  </si>
  <si>
    <t xml:space="preserve">Couverts par serveur</t>
  </si>
  <si>
    <t xml:space="preserve">P</t>
  </si>
  <si>
    <t xml:space="preserve">Repères : 1 serveur pour 10-12 convives à l'assiette, 1 pour 8-10 en VIP ou menu à plusieurs services (guides de traiteurs, pebb.io, workstaff.app) ; jusqu'à 1 pour 5 en restaurant gastronomique (modelesdebusinessplan.com). Haut de fourchette retenu pour 6 à 9 services.</t>
  </si>
  <si>
    <t xml:space="preserve">Couverts par membre de brigade (hors chef)</t>
  </si>
  <si>
    <t xml:space="preserve">Repère traiteur : 3 cuisiniers pour 50 convives (workstaff.app), jugé insuffisant pour un menu gastronomique : à confirmer avec le chef.</t>
  </si>
  <si>
    <t xml:space="preserve">Seuil : 1 maître d'hôtel à partir de (couverts)</t>
  </si>
  <si>
    <t xml:space="preserve">En dessous, le sommelier tient la salle.</t>
  </si>
  <si>
    <t xml:space="preserve">Seuil : 2e maître d'hôtel à partir de</t>
  </si>
  <si>
    <t xml:space="preserve">Classe T4 haute.</t>
  </si>
  <si>
    <t xml:space="preserve">Seuil : 1 aide sommelier à partir de</t>
  </si>
  <si>
    <t xml:space="preserve">Accords vins et accords jus servis en parallèle (offre du Produit).</t>
  </si>
  <si>
    <t xml:space="preserve">Seuil : 2e aide sommelier à partir de</t>
  </si>
  <si>
    <t xml:space="preserve">Seuil : 2e plongeur à partir de</t>
  </si>
  <si>
    <t xml:space="preserve">Repère : 2 personnes dès qu'un lave-vaisselle tourne, une charge, une décharge (ellenskitchen.com).</t>
  </si>
  <si>
    <t xml:space="preserve">Seuil : 3e plongeur à partir de</t>
  </si>
  <si>
    <t xml:space="preserve">Seuil : 2e responsable de production à partir de</t>
  </si>
  <si>
    <t xml:space="preserve">Classe T4.</t>
  </si>
  <si>
    <t xml:space="preserve">Seuil : 2e hôte d'accueil (C3) à partir de</t>
  </si>
  <si>
    <t xml:space="preserve">Classes de taille</t>
  </si>
  <si>
    <t xml:space="preserve">Classe</t>
  </si>
  <si>
    <t xml:space="preserve">Jusqu'à (couverts)</t>
  </si>
  <si>
    <t xml:space="preserve">Libellé</t>
  </si>
  <si>
    <t xml:space="preserve">T1</t>
  </si>
  <si>
    <t xml:space="preserve">Intime</t>
  </si>
  <si>
    <t xml:space="preserve">Oui</t>
  </si>
  <si>
    <t xml:space="preserve">T2</t>
  </si>
  <si>
    <t xml:space="preserve">Table</t>
  </si>
  <si>
    <t xml:space="preserve">T3</t>
  </si>
  <si>
    <t xml:space="preserve">Salle</t>
  </si>
  <si>
    <t xml:space="preserve">Oui : cœur de l'offre</t>
  </si>
  <si>
    <t xml:space="preserve">T4</t>
  </si>
  <si>
    <t xml:space="preserve">Grand</t>
  </si>
  <si>
    <t xml:space="preserve">Oui, au cas par cas</t>
  </si>
  <si>
    <t xml:space="preserve">T5</t>
  </si>
  <si>
    <t xml:space="preserve">Très grand</t>
  </si>
  <si>
    <t xml:space="preserve">Non à ce stade (décision Direction)</t>
  </si>
  <si>
    <t xml:space="preserve">Niveaux de criticité</t>
  </si>
  <si>
    <t xml:space="preserve">Niveau</t>
  </si>
  <si>
    <t xml:space="preserve">Délai minimum (semaines)</t>
  </si>
  <si>
    <t xml:space="preserve">Critères (il suffit d'en remplir un)</t>
  </si>
  <si>
    <t xml:space="preserve">C1</t>
  </si>
  <si>
    <t xml:space="preserve">Standard</t>
  </si>
  <si>
    <t xml:space="preserve">Soirée récurrente vendue à la place ; chef et lieu déjà connus ; pas de presse. Délai : plan des pilotes du Produit (ventes à S-6).</t>
  </si>
  <si>
    <t xml:space="preserve">Premium</t>
  </si>
  <si>
    <t xml:space="preserve">Client-payeur unique sous contrat ; chef étoilé ou étranger ; première collaboration avec un lieu ou un chef ; produits importés. Délai : plan des pilotes (lieux et chefs à S-10, contrats à S-8).</t>
  </si>
  <si>
    <t xml:space="preserve">Signature</t>
  </si>
  <si>
    <t xml:space="preserve">Presse, influenceurs ou célébrités ; maison de luxe sous contrat cadre ; lieu atypique ; soirée de lancement. Délai : 10 semaines et plus.</t>
  </si>
  <si>
    <t xml:space="preserve">Rôles : heures et coûts (à renseigner à réception des devis)</t>
  </si>
  <si>
    <t xml:space="preserve">Rôle</t>
  </si>
  <si>
    <t xml:space="preserve">Heures par personne (H)</t>
  </si>
  <si>
    <t xml:space="preserve">Coût horaire chargé (€) (H)</t>
  </si>
  <si>
    <t xml:space="preserve">Poste de salle (1 = oui)</t>
  </si>
  <si>
    <t xml:space="preserve">Règle de calcul</t>
  </si>
  <si>
    <t xml:space="preserve">Chef invité</t>
  </si>
  <si>
    <t xml:space="preserve">1 par événement. Son cachet n'est pas horaire : le saisir à part avec la Finance (donnée n° 2).</t>
  </si>
  <si>
    <t xml:space="preserve">Brigade (second, commis)</t>
  </si>
  <si>
    <t xml:space="preserve">Couverts ÷ couverts par membre de brigade, arrondi au supérieur.</t>
  </si>
  <si>
    <t xml:space="preserve">Maître d'hôtel</t>
  </si>
  <si>
    <t xml:space="preserve">1 à partir du seuil, 2 au-delà du second seuil.</t>
  </si>
  <si>
    <t xml:space="preserve">Serveurs (base)</t>
  </si>
  <si>
    <t xml:space="preserve">Couverts ÷ couverts par serveur, arrondi au supérieur.</t>
  </si>
  <si>
    <t xml:space="preserve">Serveur de réserve</t>
  </si>
  <si>
    <t xml:space="preserve">1 en C2 et en C3.</t>
  </si>
  <si>
    <t xml:space="preserve">Serveurs pour salons supplémentaires</t>
  </si>
  <si>
    <t xml:space="preserve">En C3 : 1 par salon au-delà du premier.</t>
  </si>
  <si>
    <t xml:space="preserve">Sommelier invité</t>
  </si>
  <si>
    <t xml:space="preserve">1 par événement.</t>
  </si>
  <si>
    <t xml:space="preserve">Aide sommelier</t>
  </si>
  <si>
    <t xml:space="preserve">Plongeurs</t>
  </si>
  <si>
    <t xml:space="preserve">1, puis 2 et 3 selon les seuils.</t>
  </si>
  <si>
    <t xml:space="preserve">Responsable de production (nous)</t>
  </si>
  <si>
    <t xml:space="preserve">1, puis 2 à partir du seuil.</t>
  </si>
  <si>
    <t xml:space="preserve">Interlocuteur client (Ventes)</t>
  </si>
  <si>
    <t xml:space="preserve">Accueil et vestiaire</t>
  </si>
  <si>
    <t xml:space="preserve">En C3 : 1, puis 2 à partir du seuil.</t>
  </si>
  <si>
    <t xml:space="preserve">Relations presse et invités (Marketing)</t>
  </si>
  <si>
    <t xml:space="preserve">1 en C3.</t>
  </si>
  <si>
    <t xml:space="preserve">Photographe</t>
  </si>
  <si>
    <t xml:space="preserve">1 en C3 (prévu dans les trois options de lancement du Marketing).</t>
  </si>
  <si>
    <t xml:space="preserve">Vidéaste</t>
  </si>
  <si>
    <t xml:space="preserve">1 en C3 (idem).</t>
  </si>
  <si>
    <t xml:space="preserve">Logistique d'accès</t>
  </si>
  <si>
    <t xml:space="preserve">1 si le lieu exige une logistique d'accès particulière (ex. bateaux).</t>
  </si>
  <si>
    <t xml:space="preserve">H : aucune donnée à ce jour. Heures et taux à obtenir auprès d'une agence d'extras et des chefs (Finance, donnée n° 5 ; Opérations, action n° 4 de la note).</t>
  </si>
  <si>
    <t xml:space="preserve">Process selon la criticité (✓ = s'applique · ✓✓ = version renforcée)</t>
  </si>
  <si>
    <t xml:space="preserve">Process</t>
  </si>
  <si>
    <t xml:space="preserve">PR-01 Qualification du lieu</t>
  </si>
  <si>
    <t xml:space="preserve">✓ vérification (lieu connu)</t>
  </si>
  <si>
    <t xml:space="preserve">✓✓ visite sur place</t>
  </si>
  <si>
    <t xml:space="preserve">✓✓ visite technique et répétition sur place</t>
  </si>
  <si>
    <t xml:space="preserve">PR-02 Engagement du chef</t>
  </si>
  <si>
    <t xml:space="preserve">✓</t>
  </si>
  <si>
    <t xml:space="preserve">✓✓ chef de secours désigné par écrit</t>
  </si>
  <si>
    <t xml:space="preserve">✓✓ + accord écrit sur la communication autour du chef</t>
  </si>
  <si>
    <t xml:space="preserve">PR-03 Fiche technique de l'événement</t>
  </si>
  <si>
    <t xml:space="preserve">✓✓ validée par le client</t>
  </si>
  <si>
    <t xml:space="preserve">✓✓ + liste des invités et confidentialité</t>
  </si>
  <si>
    <t xml:space="preserve">PR-04 Staffing</t>
  </si>
  <si>
    <t xml:space="preserve">✓✓ + 1 personne de réserve</t>
  </si>
  <si>
    <t xml:space="preserve">✓✓ + accueil, presse, images</t>
  </si>
  <si>
    <t xml:space="preserve">PR-05 Achats et approvisionnement</t>
  </si>
  <si>
    <t xml:space="preserve">✓✓ fournisseur de secours identifié</t>
  </si>
  <si>
    <t xml:space="preserve">✓✓ + importations anticipées</t>
  </si>
  <si>
    <t xml:space="preserve">PR-06 Hygiène et allergènes</t>
  </si>
  <si>
    <t xml:space="preserve">PR-07 Déroulé du jour J</t>
  </si>
  <si>
    <t xml:space="preserve">✓✓ déroulé partagé avec le client</t>
  </si>
  <si>
    <t xml:space="preserve">✓✓ + dégustation du menu à l'avance et répétition</t>
  </si>
  <si>
    <t xml:space="preserve">PR-08 Restitution du lieu</t>
  </si>
  <si>
    <t xml:space="preserve">PR-09 Incident et plan B</t>
  </si>
  <si>
    <t xml:space="preserve">✓✓</t>
  </si>
  <si>
    <t xml:space="preserve">✓✓ + plan de communication de crise</t>
  </si>
  <si>
    <t xml:space="preserve">PR-10 Bilan</t>
  </si>
  <si>
    <t xml:space="preserve">✓ + retour du client</t>
  </si>
  <si>
    <t xml:space="preserve">✓ + revue de presse</t>
  </si>
  <si>
    <t xml:space="preserve">Sources des repères (consultées par moteur de recherche le 28/10/2026, pages non ouvertes depuis l'environnement de travail)</t>
  </si>
  <si>
    <t xml:space="preserve">pebb.io — https://pebb.io/articles/best-way-manage-catering-staff-large-scale-events</t>
  </si>
  <si>
    <t xml:space="preserve">workstaff.app — https://workstaff.app/blog/how-to-calculate-staffing-needs-for-caterers</t>
  </si>
  <si>
    <t xml:space="preserve">Modèles de business plan — https://modelesdebusinessplan.com/blogs/infos/combien-serveurs-50-couverts</t>
  </si>
  <si>
    <t xml:space="preserve">Université d'Ottawa — https://www.uottawa.ca/notre-universite/reservations/services-traiteur-bar</t>
  </si>
  <si>
    <t xml:space="preserve">ellenskitchen.com — https://ellenskitchen.com/bigpots/plan/wedding2.html</t>
  </si>
  <si>
    <t xml:space="preserve">Formats d'événements : 5 PRODUIT/Fou d'un soir l'offre.md et plan des deux soirées pilotes (27/10/2026) ; 3 MARKETING/new project/9 Premier événement/2026 1028 Premier événement - Trois options.md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</si>
</sst>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;\-0.0;\-"/>
    <numFmt numFmtId="167" formatCode="#,##0&quot; €&quot;;\-#,##0&quot; €&quot;;\-"/>
    <numFmt numFmtId="168" formatCode="0.0"/>
    <numFmt numFmtId="169" formatCode="#,##0.00&quot; €&quot;;\-#,##0.00&quot; €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0080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5.0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35.0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9" min="3" style="0" width="22"/>
  </cols>
  <sheetData>
    <row r="1" customFormat="false" ht="17.35" hidden="false" customHeight="false" outlineLevel="0" collapsed="false">
      <c r="A1" s="5" t="s">
        <v>16</v>
      </c>
    </row>
    <row r="2" customFormat="false" ht="15" hidden="false" customHeight="false" outlineLevel="0" collapsed="false">
      <c r="A2" s="6" t="s">
        <v>17</v>
      </c>
    </row>
    <row r="4" customFormat="false" ht="15" hidden="false" customHeight="false" outlineLevel="0" collapsed="false">
      <c r="A4" s="7" t="s">
        <v>18</v>
      </c>
      <c r="B4" s="7" t="s">
        <v>19</v>
      </c>
      <c r="C4" s="7"/>
      <c r="D4" s="7"/>
      <c r="E4" s="7"/>
      <c r="F4" s="7"/>
      <c r="G4" s="7"/>
      <c r="H4" s="7"/>
      <c r="I4" s="7"/>
    </row>
    <row r="5" customFormat="false" ht="23.85" hidden="false" customHeight="false" outlineLevel="0" collapsed="false">
      <c r="A5" s="8" t="s">
        <v>20</v>
      </c>
      <c r="B5" s="9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/>
    </row>
    <row r="6" customFormat="false" ht="15" hidden="false" customHeight="false" outlineLevel="0" collapsed="false">
      <c r="A6" s="8" t="s">
        <v>28</v>
      </c>
      <c r="B6" s="9" t="s">
        <v>21</v>
      </c>
      <c r="C6" s="10" t="s">
        <v>29</v>
      </c>
      <c r="D6" s="10" t="s">
        <v>29</v>
      </c>
      <c r="E6" s="10" t="s">
        <v>29</v>
      </c>
      <c r="F6" s="10" t="s">
        <v>30</v>
      </c>
      <c r="G6" s="10" t="s">
        <v>31</v>
      </c>
      <c r="H6" s="10" t="s">
        <v>31</v>
      </c>
      <c r="I6" s="10"/>
    </row>
    <row r="7" customFormat="false" ht="15" hidden="false" customHeight="false" outlineLevel="0" collapsed="false">
      <c r="A7" s="8" t="s">
        <v>32</v>
      </c>
      <c r="B7" s="9" t="s">
        <v>33</v>
      </c>
      <c r="C7" s="10" t="n">
        <v>24</v>
      </c>
      <c r="D7" s="10" t="n">
        <v>20</v>
      </c>
      <c r="E7" s="10" t="n">
        <v>24</v>
      </c>
      <c r="F7" s="10" t="n">
        <v>30</v>
      </c>
      <c r="G7" s="10" t="n">
        <v>2</v>
      </c>
      <c r="H7" s="10" t="n">
        <v>10</v>
      </c>
      <c r="I7" s="10"/>
    </row>
    <row r="8" customFormat="false" ht="15" hidden="false" customHeight="false" outlineLevel="0" collapsed="false">
      <c r="A8" s="8" t="s">
        <v>34</v>
      </c>
      <c r="B8" s="9" t="s">
        <v>33</v>
      </c>
      <c r="C8" s="10" t="n">
        <v>6</v>
      </c>
      <c r="D8" s="10" t="n">
        <v>9</v>
      </c>
      <c r="E8" s="10" t="n">
        <v>7</v>
      </c>
      <c r="F8" s="10"/>
      <c r="G8" s="10"/>
      <c r="H8" s="10"/>
      <c r="I8" s="10"/>
    </row>
    <row r="9" customFormat="false" ht="15" hidden="false" customHeight="false" outlineLevel="0" collapsed="false">
      <c r="A9" s="8" t="s">
        <v>35</v>
      </c>
      <c r="B9" s="9" t="s">
        <v>33</v>
      </c>
      <c r="C9" s="10" t="n">
        <v>4</v>
      </c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8" t="s">
        <v>36</v>
      </c>
      <c r="B10" s="9" t="s">
        <v>37</v>
      </c>
      <c r="C10" s="10" t="s">
        <v>38</v>
      </c>
      <c r="D10" s="10" t="s">
        <v>38</v>
      </c>
      <c r="E10" s="10" t="s">
        <v>38</v>
      </c>
      <c r="F10" s="10" t="s">
        <v>39</v>
      </c>
      <c r="G10" s="10" t="s">
        <v>38</v>
      </c>
      <c r="H10" s="10" t="s">
        <v>38</v>
      </c>
      <c r="I10" s="10"/>
    </row>
    <row r="11" customFormat="false" ht="15" hidden="false" customHeight="false" outlineLevel="0" collapsed="false">
      <c r="A11" s="8" t="s">
        <v>40</v>
      </c>
      <c r="B11" s="9" t="s">
        <v>33</v>
      </c>
      <c r="C11" s="10" t="n">
        <v>1</v>
      </c>
      <c r="D11" s="10" t="n">
        <v>1</v>
      </c>
      <c r="E11" s="10" t="n">
        <v>1</v>
      </c>
      <c r="F11" s="10" t="n">
        <v>3</v>
      </c>
      <c r="G11" s="10" t="n">
        <v>1</v>
      </c>
      <c r="H11" s="10" t="n">
        <v>1</v>
      </c>
      <c r="I11" s="10"/>
    </row>
    <row r="12" customFormat="false" ht="15" hidden="false" customHeight="false" outlineLevel="0" collapsed="false">
      <c r="A12" s="8" t="s">
        <v>41</v>
      </c>
      <c r="B12" s="9" t="s">
        <v>42</v>
      </c>
      <c r="C12" s="10" t="s">
        <v>43</v>
      </c>
      <c r="D12" s="10" t="s">
        <v>43</v>
      </c>
      <c r="E12" s="10" t="s">
        <v>43</v>
      </c>
      <c r="F12" s="10" t="s">
        <v>43</v>
      </c>
      <c r="G12" s="10" t="s">
        <v>43</v>
      </c>
      <c r="H12" s="10" t="s">
        <v>43</v>
      </c>
      <c r="I12" s="10"/>
    </row>
    <row r="13" customFormat="false" ht="15" hidden="false" customHeight="false" outlineLevel="0" collapsed="false">
      <c r="A13" s="8" t="s">
        <v>44</v>
      </c>
      <c r="B13" s="9" t="s">
        <v>45</v>
      </c>
      <c r="C13" s="10" t="s">
        <v>46</v>
      </c>
      <c r="D13" s="10" t="s">
        <v>46</v>
      </c>
      <c r="E13" s="10" t="s">
        <v>46</v>
      </c>
      <c r="F13" s="10" t="s">
        <v>46</v>
      </c>
      <c r="G13" s="10" t="s">
        <v>46</v>
      </c>
      <c r="H13" s="10" t="s">
        <v>46</v>
      </c>
      <c r="I13" s="10"/>
    </row>
    <row r="15" customFormat="false" ht="15" hidden="false" customHeight="false" outlineLevel="0" collapsed="false">
      <c r="A15" s="7" t="s">
        <v>47</v>
      </c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8" t="s">
        <v>48</v>
      </c>
      <c r="B16" s="11"/>
      <c r="C16" s="12" t="str">
        <f aca="false">IF(C7="","",INDEX(Paramètres!$A$19:$A$23,MATCH(TRUE(),INDEX(Paramètres!$B$19:$B$23&gt;=C7,0),0)))</f>
        <v>T3</v>
      </c>
      <c r="D16" s="12" t="str">
        <f aca="false">IF(D7="","",INDEX(Paramètres!$A$19:$A$23,MATCH(TRUE(),INDEX(Paramètres!$B$19:$B$23&gt;=D7,0),0)))</f>
        <v>T3</v>
      </c>
      <c r="E16" s="12" t="str">
        <f aca="false">IF(E7="","",INDEX(Paramètres!$A$19:$A$23,MATCH(TRUE(),INDEX(Paramètres!$B$19:$B$23&gt;=E7,0),0)))</f>
        <v>T3</v>
      </c>
      <c r="F16" s="12" t="str">
        <f aca="false">IF(F7="","",INDEX(Paramètres!$A$19:$A$23,MATCH(TRUE(),INDEX(Paramètres!$B$19:$B$23&gt;=F7,0),0)))</f>
        <v>T3</v>
      </c>
      <c r="G16" s="12" t="str">
        <f aca="false">IF(G7="","",INDEX(Paramètres!$A$19:$A$23,MATCH(TRUE(),INDEX(Paramètres!$B$19:$B$23&gt;=G7,0),0)))</f>
        <v>T1</v>
      </c>
      <c r="H16" s="12" t="str">
        <f aca="false">IF(H7="","",INDEX(Paramètres!$A$19:$A$23,MATCH(TRUE(),INDEX(Paramètres!$B$19:$B$23&gt;=H7,0),0)))</f>
        <v>T2</v>
      </c>
      <c r="I16" s="12" t="str">
        <f aca="false">IF(I7="","",INDEX(Paramètres!$A$19:$A$23,MATCH(TRUE(),INDEX(Paramètres!$B$19:$B$23&gt;=I7,0),0)))</f>
        <v/>
      </c>
    </row>
    <row r="17" customFormat="false" ht="15" hidden="false" customHeight="false" outlineLevel="0" collapsed="false">
      <c r="A17" s="8" t="s">
        <v>49</v>
      </c>
      <c r="B17" s="11"/>
      <c r="C17" s="12" t="str">
        <f aca="false">IF(OR(C7="",C10=""),"",C16&amp;" / "&amp;C10)</f>
        <v>T3 / C2</v>
      </c>
      <c r="D17" s="12" t="str">
        <f aca="false">IF(OR(D7="",D10=""),"",D16&amp;" / "&amp;D10)</f>
        <v>T3 / C2</v>
      </c>
      <c r="E17" s="12" t="str">
        <f aca="false">IF(OR(E7="",E10=""),"",E16&amp;" / "&amp;E10)</f>
        <v>T3 / C2</v>
      </c>
      <c r="F17" s="12" t="str">
        <f aca="false">IF(OR(F7="",F10=""),"",F16&amp;" / "&amp;F10)</f>
        <v>T3 / C3</v>
      </c>
      <c r="G17" s="12" t="str">
        <f aca="false">IF(OR(G7="",G10=""),"",G16&amp;" / "&amp;G10)</f>
        <v>T1 / C2</v>
      </c>
      <c r="H17" s="12" t="str">
        <f aca="false">IF(OR(H7="",H10=""),"",H16&amp;" / "&amp;H10)</f>
        <v>T2 / C2</v>
      </c>
      <c r="I17" s="12" t="str">
        <f aca="false">IF(OR(I7="",I10=""),"",I16&amp;" / "&amp;I10)</f>
        <v/>
      </c>
    </row>
    <row r="18" customFormat="false" ht="15" hidden="false" customHeight="false" outlineLevel="0" collapsed="false">
      <c r="A18" s="8" t="s">
        <v>50</v>
      </c>
      <c r="B18" s="11"/>
      <c r="C18" s="12" t="str">
        <f aca="false">IF(C16="","",INDEX(Paramètres!$D$19:$D$23,MATCH(C16,Paramètres!$A$19:$A$23,0)))</f>
        <v>Oui : cœur de l'offre</v>
      </c>
      <c r="D18" s="12" t="str">
        <f aca="false">IF(D16="","",INDEX(Paramètres!$D$19:$D$23,MATCH(D16,Paramètres!$A$19:$A$23,0)))</f>
        <v>Oui : cœur de l'offre</v>
      </c>
      <c r="E18" s="12" t="str">
        <f aca="false">IF(E16="","",INDEX(Paramètres!$D$19:$D$23,MATCH(E16,Paramètres!$A$19:$A$23,0)))</f>
        <v>Oui : cœur de l'offre</v>
      </c>
      <c r="F18" s="12" t="str">
        <f aca="false">IF(F16="","",INDEX(Paramètres!$D$19:$D$23,MATCH(F16,Paramètres!$A$19:$A$23,0)))</f>
        <v>Oui : cœur de l'offre</v>
      </c>
      <c r="G18" s="12" t="str">
        <f aca="false">IF(G16="","",INDEX(Paramètres!$D$19:$D$23,MATCH(G16,Paramètres!$A$19:$A$23,0)))</f>
        <v>Oui</v>
      </c>
      <c r="H18" s="12" t="str">
        <f aca="false">IF(H16="","",INDEX(Paramètres!$D$19:$D$23,MATCH(H16,Paramètres!$A$19:$A$23,0)))</f>
        <v>Oui</v>
      </c>
      <c r="I18" s="12" t="str">
        <f aca="false">IF(I16="","",INDEX(Paramètres!$D$19:$D$23,MATCH(I16,Paramètres!$A$19:$A$23,0)))</f>
        <v/>
      </c>
    </row>
    <row r="19" customFormat="false" ht="15" hidden="false" customHeight="false" outlineLevel="0" collapsed="false">
      <c r="A19" s="8" t="s">
        <v>51</v>
      </c>
      <c r="B19" s="11"/>
      <c r="C19" s="12" t="n">
        <f aca="false">IF(C10="","",INDEX(Paramètres!$B$28:$B$30,MATCH(C10,Paramètres!$A$28:$A$30,0)))</f>
        <v>8</v>
      </c>
      <c r="D19" s="12" t="n">
        <f aca="false">IF(D10="","",INDEX(Paramètres!$B$28:$B$30,MATCH(D10,Paramètres!$A$28:$A$30,0)))</f>
        <v>8</v>
      </c>
      <c r="E19" s="12" t="n">
        <f aca="false">IF(E10="","",INDEX(Paramètres!$B$28:$B$30,MATCH(E10,Paramètres!$A$28:$A$30,0)))</f>
        <v>8</v>
      </c>
      <c r="F19" s="12" t="n">
        <f aca="false">IF(F10="","",INDEX(Paramètres!$B$28:$B$30,MATCH(F10,Paramètres!$A$28:$A$30,0)))</f>
        <v>10</v>
      </c>
      <c r="G19" s="12" t="n">
        <f aca="false">IF(G10="","",INDEX(Paramètres!$B$28:$B$30,MATCH(G10,Paramètres!$A$28:$A$30,0)))</f>
        <v>8</v>
      </c>
      <c r="H19" s="12" t="n">
        <f aca="false">IF(H10="","",INDEX(Paramètres!$B$28:$B$30,MATCH(H10,Paramètres!$A$28:$A$30,0)))</f>
        <v>8</v>
      </c>
      <c r="I19" s="12" t="str">
        <f aca="false">IF(I10="","",INDEX(Paramètres!$B$28:$B$30,MATCH(I10,Paramètres!$A$28:$A$30,0)))</f>
        <v/>
      </c>
    </row>
    <row r="20" customFormat="false" ht="15" hidden="false" customHeight="false" outlineLevel="0" collapsed="false">
      <c r="A20" s="8" t="s">
        <v>52</v>
      </c>
      <c r="B20" s="9" t="s">
        <v>53</v>
      </c>
      <c r="C20" s="12" t="n">
        <f aca="false">IF(OR(C7="",C8=""),"",C7*C8)</f>
        <v>144</v>
      </c>
      <c r="D20" s="12" t="n">
        <f aca="false">IF(OR(D7="",D8=""),"",D7*D8)</f>
        <v>180</v>
      </c>
      <c r="E20" s="12" t="n">
        <f aca="false">IF(OR(E7="",E8=""),"",E7*E8)</f>
        <v>168</v>
      </c>
      <c r="F20" s="12" t="str">
        <f aca="false">IF(OR(F7="",F8=""),"",F7*F8)</f>
        <v/>
      </c>
      <c r="G20" s="12" t="str">
        <f aca="false">IF(OR(G7="",G8=""),"",G7*G8)</f>
        <v/>
      </c>
      <c r="H20" s="12" t="str">
        <f aca="false">IF(OR(H7="",H8=""),"",H7*H8)</f>
        <v/>
      </c>
      <c r="I20" s="12" t="str">
        <f aca="false">IF(OR(I7="",I8=""),"",I7*I8)</f>
        <v/>
      </c>
    </row>
    <row r="21" customFormat="false" ht="15" hidden="false" customHeight="false" outlineLevel="0" collapsed="false">
      <c r="A21" s="8" t="s">
        <v>54</v>
      </c>
      <c r="B21" s="9" t="s">
        <v>55</v>
      </c>
      <c r="C21" s="12" t="n">
        <f aca="false">IF(C7="","",C7*(N(C9)+1))</f>
        <v>120</v>
      </c>
      <c r="D21" s="12" t="n">
        <f aca="false">IF(D7="","",D7*(N(D9)+1))</f>
        <v>20</v>
      </c>
      <c r="E21" s="12" t="n">
        <f aca="false">IF(E7="","",E7*(N(E9)+1))</f>
        <v>24</v>
      </c>
      <c r="F21" s="12" t="n">
        <f aca="false">IF(F7="","",F7*(N(F9)+1))</f>
        <v>30</v>
      </c>
      <c r="G21" s="12" t="n">
        <f aca="false">IF(G7="","",G7*(N(G9)+1))</f>
        <v>2</v>
      </c>
      <c r="H21" s="12" t="n">
        <f aca="false">IF(H7="","",H7*(N(H9)+1))</f>
        <v>10</v>
      </c>
      <c r="I21" s="12" t="str">
        <f aca="false">IF(I7="","",I7*(N(I9)+1))</f>
        <v/>
      </c>
    </row>
    <row r="23" customFormat="false" ht="15" hidden="false" customHeight="false" outlineLevel="0" collapsed="false">
      <c r="A23" s="7" t="s">
        <v>56</v>
      </c>
      <c r="B23" s="7" t="s">
        <v>57</v>
      </c>
      <c r="C23" s="7"/>
      <c r="D23" s="7"/>
      <c r="E23" s="7"/>
      <c r="F23" s="7"/>
      <c r="G23" s="7"/>
      <c r="H23" s="7"/>
      <c r="I23" s="7"/>
    </row>
    <row r="24" customFormat="false" ht="28.35" hidden="false" customHeight="false" outlineLevel="0" collapsed="false">
      <c r="A24" s="13" t="str">
        <f aca="false">Paramètres!A34</f>
        <v>Chef invité</v>
      </c>
      <c r="B24" s="14" t="str">
        <f aca="false">Paramètres!E34</f>
        <v>1 par événement. Son cachet n'est pas horaire : le saisir à part avec la Finance (donnée n° 2).</v>
      </c>
      <c r="C24" s="12" t="n">
        <f aca="false">IF(C$7="","",1)</f>
        <v>1</v>
      </c>
      <c r="D24" s="12" t="n">
        <f aca="false">IF(D$7="","",1)</f>
        <v>1</v>
      </c>
      <c r="E24" s="12" t="n">
        <f aca="false">IF(E$7="","",1)</f>
        <v>1</v>
      </c>
      <c r="F24" s="12" t="n">
        <f aca="false">IF(F$7="","",1)</f>
        <v>1</v>
      </c>
      <c r="G24" s="12" t="n">
        <f aca="false">IF(G$7="","",1)</f>
        <v>1</v>
      </c>
      <c r="H24" s="12" t="n">
        <f aca="false">IF(H$7="","",1)</f>
        <v>1</v>
      </c>
      <c r="I24" s="12" t="str">
        <f aca="false">IF(I$7="","",1)</f>
        <v/>
      </c>
    </row>
    <row r="25" customFormat="false" ht="19.4" hidden="false" customHeight="false" outlineLevel="0" collapsed="false">
      <c r="A25" s="13" t="str">
        <f aca="false">Paramètres!A35</f>
        <v>Brigade (second, commis)</v>
      </c>
      <c r="B25" s="14" t="str">
        <f aca="false">Paramètres!E35</f>
        <v>Couverts ÷ couverts par membre de brigade, arrondi au supérieur.</v>
      </c>
      <c r="C25" s="12" t="n">
        <f aca="false">IF(C$7="","",ROUNDUP(C$7/Paramètres!$B$6,0))</f>
        <v>3</v>
      </c>
      <c r="D25" s="12" t="n">
        <f aca="false">IF(D$7="","",ROUNDUP(D$7/Paramètres!$B$6,0))</f>
        <v>2</v>
      </c>
      <c r="E25" s="12" t="n">
        <f aca="false">IF(E$7="","",ROUNDUP(E$7/Paramètres!$B$6,0))</f>
        <v>3</v>
      </c>
      <c r="F25" s="12" t="n">
        <f aca="false">IF(F$7="","",ROUNDUP(F$7/Paramètres!$B$6,0))</f>
        <v>3</v>
      </c>
      <c r="G25" s="12" t="n">
        <f aca="false">IF(G$7="","",ROUNDUP(G$7/Paramètres!$B$6,0))</f>
        <v>1</v>
      </c>
      <c r="H25" s="12" t="n">
        <f aca="false">IF(H$7="","",ROUNDUP(H$7/Paramètres!$B$6,0))</f>
        <v>1</v>
      </c>
      <c r="I25" s="12" t="str">
        <f aca="false">IF(I$7="","",ROUNDUP(I$7/Paramètres!$B$6,0))</f>
        <v/>
      </c>
    </row>
    <row r="26" customFormat="false" ht="19.4" hidden="false" customHeight="false" outlineLevel="0" collapsed="false">
      <c r="A26" s="13" t="str">
        <f aca="false">Paramètres!A36</f>
        <v>Maître d'hôtel</v>
      </c>
      <c r="B26" s="14" t="str">
        <f aca="false">Paramètres!E36</f>
        <v>1 à partir du seuil, 2 au-delà du second seuil.</v>
      </c>
      <c r="C26" s="12" t="n">
        <f aca="false">IF(C$7="","",(C$7&gt;=Paramètres!$B$7)*1+(C$7&gt;=Paramètres!$B$8)*1)</f>
        <v>1</v>
      </c>
      <c r="D26" s="12" t="n">
        <f aca="false">IF(D$7="","",(D$7&gt;=Paramètres!$B$7)*1+(D$7&gt;=Paramètres!$B$8)*1)</f>
        <v>1</v>
      </c>
      <c r="E26" s="12" t="n">
        <f aca="false">IF(E$7="","",(E$7&gt;=Paramètres!$B$7)*1+(E$7&gt;=Paramètres!$B$8)*1)</f>
        <v>1</v>
      </c>
      <c r="F26" s="12" t="n">
        <f aca="false">IF(F$7="","",(F$7&gt;=Paramètres!$B$7)*1+(F$7&gt;=Paramètres!$B$8)*1)</f>
        <v>1</v>
      </c>
      <c r="G26" s="12" t="n">
        <f aca="false">IF(G$7="","",(G$7&gt;=Paramètres!$B$7)*1+(G$7&gt;=Paramètres!$B$8)*1)</f>
        <v>0</v>
      </c>
      <c r="H26" s="12" t="n">
        <f aca="false">IF(H$7="","",(H$7&gt;=Paramètres!$B$7)*1+(H$7&gt;=Paramètres!$B$8)*1)</f>
        <v>1</v>
      </c>
      <c r="I26" s="12" t="str">
        <f aca="false">IF(I$7="","",(I$7&gt;=Paramètres!$B$7)*1+(I$7&gt;=Paramètres!$B$8)*1)</f>
        <v/>
      </c>
    </row>
    <row r="27" customFormat="false" ht="19.4" hidden="false" customHeight="false" outlineLevel="0" collapsed="false">
      <c r="A27" s="13" t="str">
        <f aca="false">Paramètres!A37</f>
        <v>Serveurs (base)</v>
      </c>
      <c r="B27" s="14" t="str">
        <f aca="false">Paramètres!E37</f>
        <v>Couverts ÷ couverts par serveur, arrondi au supérieur.</v>
      </c>
      <c r="C27" s="12" t="n">
        <f aca="false">IF(C$7="","",ROUNDUP(C$7/Paramètres!$B$5,0))</f>
        <v>4</v>
      </c>
      <c r="D27" s="12" t="n">
        <f aca="false">IF(D$7="","",ROUNDUP(D$7/Paramètres!$B$5,0))</f>
        <v>3</v>
      </c>
      <c r="E27" s="12" t="n">
        <f aca="false">IF(E$7="","",ROUNDUP(E$7/Paramètres!$B$5,0))</f>
        <v>4</v>
      </c>
      <c r="F27" s="12" t="n">
        <f aca="false">IF(F$7="","",ROUNDUP(F$7/Paramètres!$B$5,0))</f>
        <v>5</v>
      </c>
      <c r="G27" s="12" t="n">
        <f aca="false">IF(G$7="","",ROUNDUP(G$7/Paramètres!$B$5,0))</f>
        <v>1</v>
      </c>
      <c r="H27" s="12" t="n">
        <f aca="false">IF(H$7="","",ROUNDUP(H$7/Paramètres!$B$5,0))</f>
        <v>2</v>
      </c>
      <c r="I27" s="12" t="str">
        <f aca="false">IF(I$7="","",ROUNDUP(I$7/Paramètres!$B$5,0))</f>
        <v/>
      </c>
    </row>
    <row r="28" customFormat="false" ht="15" hidden="false" customHeight="false" outlineLevel="0" collapsed="false">
      <c r="A28" s="13" t="str">
        <f aca="false">Paramètres!A38</f>
        <v>Serveur de réserve</v>
      </c>
      <c r="B28" s="14" t="str">
        <f aca="false">Paramètres!E38</f>
        <v>1 en C2 et en C3.</v>
      </c>
      <c r="C28" s="12" t="n">
        <f aca="false">IF(C$7="","",IF(OR(C$10="C2",C$10="C3"),1,0))</f>
        <v>1</v>
      </c>
      <c r="D28" s="12" t="n">
        <f aca="false">IF(D$7="","",IF(OR(D$10="C2",D$10="C3"),1,0))</f>
        <v>1</v>
      </c>
      <c r="E28" s="12" t="n">
        <f aca="false">IF(E$7="","",IF(OR(E$10="C2",E$10="C3"),1,0))</f>
        <v>1</v>
      </c>
      <c r="F28" s="12" t="n">
        <f aca="false">IF(F$7="","",IF(OR(F$10="C2",F$10="C3"),1,0))</f>
        <v>1</v>
      </c>
      <c r="G28" s="12" t="n">
        <f aca="false">IF(G$7="","",IF(OR(G$10="C2",G$10="C3"),1,0))</f>
        <v>1</v>
      </c>
      <c r="H28" s="12" t="n">
        <f aca="false">IF(H$7="","",IF(OR(H$10="C2",H$10="C3"),1,0))</f>
        <v>1</v>
      </c>
      <c r="I28" s="12" t="str">
        <f aca="false">IF(I$7="","",IF(OR(I$10="C2",I$10="C3"),1,0))</f>
        <v/>
      </c>
    </row>
    <row r="29" customFormat="false" ht="15" hidden="false" customHeight="false" outlineLevel="0" collapsed="false">
      <c r="A29" s="13" t="str">
        <f aca="false">Paramètres!A39</f>
        <v>Serveurs pour salons supplémentaires</v>
      </c>
      <c r="B29" s="14" t="str">
        <f aca="false">Paramètres!E39</f>
        <v>En C3 : 1 par salon au-delà du premier.</v>
      </c>
      <c r="C29" s="12" t="n">
        <f aca="false">IF(C$7="","",IF(C$10="C3",MAX(N(C$11)-1,0),0))</f>
        <v>0</v>
      </c>
      <c r="D29" s="12" t="n">
        <f aca="false">IF(D$7="","",IF(D$10="C3",MAX(N(D$11)-1,0),0))</f>
        <v>0</v>
      </c>
      <c r="E29" s="12" t="n">
        <f aca="false">IF(E$7="","",IF(E$10="C3",MAX(N(E$11)-1,0),0))</f>
        <v>0</v>
      </c>
      <c r="F29" s="12" t="n">
        <f aca="false">IF(F$7="","",IF(F$10="C3",MAX(N(F$11)-1,0),0))</f>
        <v>2</v>
      </c>
      <c r="G29" s="12" t="n">
        <f aca="false">IF(G$7="","",IF(G$10="C3",MAX(N(G$11)-1,0),0))</f>
        <v>0</v>
      </c>
      <c r="H29" s="12" t="n">
        <f aca="false">IF(H$7="","",IF(H$10="C3",MAX(N(H$11)-1,0),0))</f>
        <v>0</v>
      </c>
      <c r="I29" s="12" t="str">
        <f aca="false">IF(I$7="","",IF(I$10="C3",MAX(N(I$11)-1,0),0))</f>
        <v/>
      </c>
    </row>
    <row r="30" customFormat="false" ht="15" hidden="false" customHeight="false" outlineLevel="0" collapsed="false">
      <c r="A30" s="13" t="str">
        <f aca="false">Paramètres!A40</f>
        <v>Sommelier invité</v>
      </c>
      <c r="B30" s="14" t="str">
        <f aca="false">Paramètres!E40</f>
        <v>1 par événement.</v>
      </c>
      <c r="C30" s="12" t="n">
        <f aca="false">IF(C$7="","",1)</f>
        <v>1</v>
      </c>
      <c r="D30" s="12" t="n">
        <f aca="false">IF(D$7="","",1)</f>
        <v>1</v>
      </c>
      <c r="E30" s="12" t="n">
        <f aca="false">IF(E$7="","",1)</f>
        <v>1</v>
      </c>
      <c r="F30" s="12" t="n">
        <f aca="false">IF(F$7="","",1)</f>
        <v>1</v>
      </c>
      <c r="G30" s="12" t="n">
        <f aca="false">IF(G$7="","",1)</f>
        <v>1</v>
      </c>
      <c r="H30" s="12" t="n">
        <f aca="false">IF(H$7="","",1)</f>
        <v>1</v>
      </c>
      <c r="I30" s="12" t="str">
        <f aca="false">IF(I$7="","",1)</f>
        <v/>
      </c>
    </row>
    <row r="31" customFormat="false" ht="19.4" hidden="false" customHeight="false" outlineLevel="0" collapsed="false">
      <c r="A31" s="13" t="str">
        <f aca="false">Paramètres!A41</f>
        <v>Aide sommelier</v>
      </c>
      <c r="B31" s="14" t="str">
        <f aca="false">Paramètres!E41</f>
        <v>1 à partir du seuil, 2 au-delà du second seuil.</v>
      </c>
      <c r="C31" s="12" t="n">
        <f aca="false">IF(C$7="","",(C$7&gt;=Paramètres!$B$9)*1+(C$7&gt;=Paramètres!$B$10)*1)</f>
        <v>1</v>
      </c>
      <c r="D31" s="12" t="n">
        <f aca="false">IF(D$7="","",(D$7&gt;=Paramètres!$B$9)*1+(D$7&gt;=Paramètres!$B$10)*1)</f>
        <v>1</v>
      </c>
      <c r="E31" s="12" t="n">
        <f aca="false">IF(E$7="","",(E$7&gt;=Paramètres!$B$9)*1+(E$7&gt;=Paramètres!$B$10)*1)</f>
        <v>1</v>
      </c>
      <c r="F31" s="12" t="n">
        <f aca="false">IF(F$7="","",(F$7&gt;=Paramètres!$B$9)*1+(F$7&gt;=Paramètres!$B$10)*1)</f>
        <v>1</v>
      </c>
      <c r="G31" s="12" t="n">
        <f aca="false">IF(G$7="","",(G$7&gt;=Paramètres!$B$9)*1+(G$7&gt;=Paramètres!$B$10)*1)</f>
        <v>0</v>
      </c>
      <c r="H31" s="12" t="n">
        <f aca="false">IF(H$7="","",(H$7&gt;=Paramètres!$B$9)*1+(H$7&gt;=Paramètres!$B$10)*1)</f>
        <v>0</v>
      </c>
      <c r="I31" s="12" t="str">
        <f aca="false">IF(I$7="","",(I$7&gt;=Paramètres!$B$9)*1+(I$7&gt;=Paramètres!$B$10)*1)</f>
        <v/>
      </c>
    </row>
    <row r="32" customFormat="false" ht="15" hidden="false" customHeight="false" outlineLevel="0" collapsed="false">
      <c r="A32" s="13" t="str">
        <f aca="false">Paramètres!A42</f>
        <v>Plongeurs</v>
      </c>
      <c r="B32" s="14" t="str">
        <f aca="false">Paramètres!E42</f>
        <v>1, puis 2 et 3 selon les seuils.</v>
      </c>
      <c r="C32" s="12" t="n">
        <f aca="false">IF(C$7="","",1+(C$7&gt;=Paramètres!$B$11)*1+(C$7&gt;=Paramètres!$B$12)*1)</f>
        <v>2</v>
      </c>
      <c r="D32" s="12" t="n">
        <f aca="false">IF(D$7="","",1+(D$7&gt;=Paramètres!$B$11)*1+(D$7&gt;=Paramètres!$B$12)*1)</f>
        <v>2</v>
      </c>
      <c r="E32" s="12" t="n">
        <f aca="false">IF(E$7="","",1+(E$7&gt;=Paramètres!$B$11)*1+(E$7&gt;=Paramètres!$B$12)*1)</f>
        <v>2</v>
      </c>
      <c r="F32" s="12" t="n">
        <f aca="false">IF(F$7="","",1+(F$7&gt;=Paramètres!$B$11)*1+(F$7&gt;=Paramètres!$B$12)*1)</f>
        <v>2</v>
      </c>
      <c r="G32" s="12" t="n">
        <f aca="false">IF(G$7="","",1+(G$7&gt;=Paramètres!$B$11)*1+(G$7&gt;=Paramètres!$B$12)*1)</f>
        <v>1</v>
      </c>
      <c r="H32" s="12" t="n">
        <f aca="false">IF(H$7="","",1+(H$7&gt;=Paramètres!$B$11)*1+(H$7&gt;=Paramètres!$B$12)*1)</f>
        <v>1</v>
      </c>
      <c r="I32" s="12" t="str">
        <f aca="false">IF(I$7="","",1+(I$7&gt;=Paramètres!$B$11)*1+(I$7&gt;=Paramètres!$B$12)*1)</f>
        <v/>
      </c>
    </row>
    <row r="33" customFormat="false" ht="15" hidden="false" customHeight="false" outlineLevel="0" collapsed="false">
      <c r="A33" s="13" t="str">
        <f aca="false">Paramètres!A43</f>
        <v>Responsable de production (nous)</v>
      </c>
      <c r="B33" s="14" t="str">
        <f aca="false">Paramètres!E43</f>
        <v>1, puis 2 à partir du seuil.</v>
      </c>
      <c r="C33" s="12" t="n">
        <f aca="false">IF(C$7="","",1+(C$7&gt;=Paramètres!$B$13)*1)</f>
        <v>1</v>
      </c>
      <c r="D33" s="12" t="n">
        <f aca="false">IF(D$7="","",1+(D$7&gt;=Paramètres!$B$13)*1)</f>
        <v>1</v>
      </c>
      <c r="E33" s="12" t="n">
        <f aca="false">IF(E$7="","",1+(E$7&gt;=Paramètres!$B$13)*1)</f>
        <v>1</v>
      </c>
      <c r="F33" s="12" t="n">
        <f aca="false">IF(F$7="","",1+(F$7&gt;=Paramètres!$B$13)*1)</f>
        <v>1</v>
      </c>
      <c r="G33" s="12" t="n">
        <f aca="false">IF(G$7="","",1+(G$7&gt;=Paramètres!$B$13)*1)</f>
        <v>1</v>
      </c>
      <c r="H33" s="12" t="n">
        <f aca="false">IF(H$7="","",1+(H$7&gt;=Paramètres!$B$13)*1)</f>
        <v>1</v>
      </c>
      <c r="I33" s="12" t="str">
        <f aca="false">IF(I$7="","",1+(I$7&gt;=Paramètres!$B$13)*1)</f>
        <v/>
      </c>
    </row>
    <row r="34" customFormat="false" ht="15" hidden="false" customHeight="false" outlineLevel="0" collapsed="false">
      <c r="A34" s="13" t="str">
        <f aca="false">Paramètres!A44</f>
        <v>Interlocuteur client (Ventes)</v>
      </c>
      <c r="B34" s="14" t="str">
        <f aca="false">Paramètres!E44</f>
        <v>1 en C2 et en C3.</v>
      </c>
      <c r="C34" s="12" t="n">
        <f aca="false">IF(C$7="","",IF(OR(C$10="C2",C$10="C3"),1,0))</f>
        <v>1</v>
      </c>
      <c r="D34" s="12" t="n">
        <f aca="false">IF(D$7="","",IF(OR(D$10="C2",D$10="C3"),1,0))</f>
        <v>1</v>
      </c>
      <c r="E34" s="12" t="n">
        <f aca="false">IF(E$7="","",IF(OR(E$10="C2",E$10="C3"),1,0))</f>
        <v>1</v>
      </c>
      <c r="F34" s="12" t="n">
        <f aca="false">IF(F$7="","",IF(OR(F$10="C2",F$10="C3"),1,0))</f>
        <v>1</v>
      </c>
      <c r="G34" s="12" t="n">
        <f aca="false">IF(G$7="","",IF(OR(G$10="C2",G$10="C3"),1,0))</f>
        <v>1</v>
      </c>
      <c r="H34" s="12" t="n">
        <f aca="false">IF(H$7="","",IF(OR(H$10="C2",H$10="C3"),1,0))</f>
        <v>1</v>
      </c>
      <c r="I34" s="12" t="str">
        <f aca="false">IF(I$7="","",IF(OR(I$10="C2",I$10="C3"),1,0))</f>
        <v/>
      </c>
    </row>
    <row r="35" customFormat="false" ht="15" hidden="false" customHeight="false" outlineLevel="0" collapsed="false">
      <c r="A35" s="13" t="str">
        <f aca="false">Paramètres!A45</f>
        <v>Accueil et vestiaire</v>
      </c>
      <c r="B35" s="14" t="str">
        <f aca="false">Paramètres!E45</f>
        <v>En C3 : 1, puis 2 à partir du seuil.</v>
      </c>
      <c r="C35" s="12" t="n">
        <f aca="false">IF(C$7="","",IF(C$10="C3",1+(C$7&gt;=Paramètres!$B$14)*1,0))</f>
        <v>0</v>
      </c>
      <c r="D35" s="12" t="n">
        <f aca="false">IF(D$7="","",IF(D$10="C3",1+(D$7&gt;=Paramètres!$B$14)*1,0))</f>
        <v>0</v>
      </c>
      <c r="E35" s="12" t="n">
        <f aca="false">IF(E$7="","",IF(E$10="C3",1+(E$7&gt;=Paramètres!$B$14)*1,0))</f>
        <v>0</v>
      </c>
      <c r="F35" s="12" t="n">
        <f aca="false">IF(F$7="","",IF(F$10="C3",1+(F$7&gt;=Paramètres!$B$14)*1,0))</f>
        <v>1</v>
      </c>
      <c r="G35" s="12" t="n">
        <f aca="false">IF(G$7="","",IF(G$10="C3",1+(G$7&gt;=Paramètres!$B$14)*1,0))</f>
        <v>0</v>
      </c>
      <c r="H35" s="12" t="n">
        <f aca="false">IF(H$7="","",IF(H$10="C3",1+(H$7&gt;=Paramètres!$B$14)*1,0))</f>
        <v>0</v>
      </c>
      <c r="I35" s="12" t="str">
        <f aca="false">IF(I$7="","",IF(I$10="C3",1+(I$7&gt;=Paramètres!$B$14)*1,0))</f>
        <v/>
      </c>
    </row>
    <row r="36" customFormat="false" ht="15" hidden="false" customHeight="false" outlineLevel="0" collapsed="false">
      <c r="A36" s="13" t="str">
        <f aca="false">Paramètres!A46</f>
        <v>Relations presse et invités (Marketing)</v>
      </c>
      <c r="B36" s="14" t="str">
        <f aca="false">Paramètres!E46</f>
        <v>1 en C3.</v>
      </c>
      <c r="C36" s="12" t="n">
        <f aca="false">IF(C$7="","",IF(C$10="C3",1,0))</f>
        <v>0</v>
      </c>
      <c r="D36" s="12" t="n">
        <f aca="false">IF(D$7="","",IF(D$10="C3",1,0))</f>
        <v>0</v>
      </c>
      <c r="E36" s="12" t="n">
        <f aca="false">IF(E$7="","",IF(E$10="C3",1,0))</f>
        <v>0</v>
      </c>
      <c r="F36" s="12" t="n">
        <f aca="false">IF(F$7="","",IF(F$10="C3",1,0))</f>
        <v>1</v>
      </c>
      <c r="G36" s="12" t="n">
        <f aca="false">IF(G$7="","",IF(G$10="C3",1,0))</f>
        <v>0</v>
      </c>
      <c r="H36" s="12" t="n">
        <f aca="false">IF(H$7="","",IF(H$10="C3",1,0))</f>
        <v>0</v>
      </c>
      <c r="I36" s="12" t="str">
        <f aca="false">IF(I$7="","",IF(I$10="C3",1,0))</f>
        <v/>
      </c>
    </row>
    <row r="37" customFormat="false" ht="19.4" hidden="false" customHeight="false" outlineLevel="0" collapsed="false">
      <c r="A37" s="13" t="str">
        <f aca="false">Paramètres!A47</f>
        <v>Photographe</v>
      </c>
      <c r="B37" s="14" t="str">
        <f aca="false">Paramètres!E47</f>
        <v>1 en C3 (prévu dans les trois options de lancement du Marketing).</v>
      </c>
      <c r="C37" s="12" t="n">
        <f aca="false">IF(C$7="","",IF(C$10="C3",1,0))</f>
        <v>0</v>
      </c>
      <c r="D37" s="12" t="n">
        <f aca="false">IF(D$7="","",IF(D$10="C3",1,0))</f>
        <v>0</v>
      </c>
      <c r="E37" s="12" t="n">
        <f aca="false">IF(E$7="","",IF(E$10="C3",1,0))</f>
        <v>0</v>
      </c>
      <c r="F37" s="12" t="n">
        <f aca="false">IF(F$7="","",IF(F$10="C3",1,0))</f>
        <v>1</v>
      </c>
      <c r="G37" s="12" t="n">
        <f aca="false">IF(G$7="","",IF(G$10="C3",1,0))</f>
        <v>0</v>
      </c>
      <c r="H37" s="12" t="n">
        <f aca="false">IF(H$7="","",IF(H$10="C3",1,0))</f>
        <v>0</v>
      </c>
      <c r="I37" s="12" t="str">
        <f aca="false">IF(I$7="","",IF(I$10="C3",1,0))</f>
        <v/>
      </c>
    </row>
    <row r="38" customFormat="false" ht="15" hidden="false" customHeight="false" outlineLevel="0" collapsed="false">
      <c r="A38" s="13" t="str">
        <f aca="false">Paramètres!A48</f>
        <v>Vidéaste</v>
      </c>
      <c r="B38" s="14" t="str">
        <f aca="false">Paramètres!E48</f>
        <v>1 en C3 (idem).</v>
      </c>
      <c r="C38" s="12" t="n">
        <f aca="false">IF(C$7="","",IF(C$10="C3",1,0))</f>
        <v>0</v>
      </c>
      <c r="D38" s="12" t="n">
        <f aca="false">IF(D$7="","",IF(D$10="C3",1,0))</f>
        <v>0</v>
      </c>
      <c r="E38" s="12" t="n">
        <f aca="false">IF(E$7="","",IF(E$10="C3",1,0))</f>
        <v>0</v>
      </c>
      <c r="F38" s="12" t="n">
        <f aca="false">IF(F$7="","",IF(F$10="C3",1,0))</f>
        <v>1</v>
      </c>
      <c r="G38" s="12" t="n">
        <f aca="false">IF(G$7="","",IF(G$10="C3",1,0))</f>
        <v>0</v>
      </c>
      <c r="H38" s="12" t="n">
        <f aca="false">IF(H$7="","",IF(H$10="C3",1,0))</f>
        <v>0</v>
      </c>
      <c r="I38" s="12" t="str">
        <f aca="false">IF(I$7="","",IF(I$10="C3",1,0))</f>
        <v/>
      </c>
    </row>
    <row r="39" customFormat="false" ht="19.4" hidden="false" customHeight="false" outlineLevel="0" collapsed="false">
      <c r="A39" s="13" t="str">
        <f aca="false">Paramètres!A49</f>
        <v>Logistique d'accès</v>
      </c>
      <c r="B39" s="14" t="str">
        <f aca="false">Paramètres!E49</f>
        <v>1 si le lieu exige une logistique d'accès particulière (ex. bateaux).</v>
      </c>
      <c r="C39" s="12" t="n">
        <f aca="false">IF(C$7="","",IF(C$12="Oui",1,0))</f>
        <v>0</v>
      </c>
      <c r="D39" s="12" t="n">
        <f aca="false">IF(D$7="","",IF(D$12="Oui",1,0))</f>
        <v>0</v>
      </c>
      <c r="E39" s="12" t="n">
        <f aca="false">IF(E$7="","",IF(E$12="Oui",1,0))</f>
        <v>0</v>
      </c>
      <c r="F39" s="12" t="n">
        <f aca="false">IF(F$7="","",IF(F$12="Oui",1,0))</f>
        <v>0</v>
      </c>
      <c r="G39" s="12" t="n">
        <f aca="false">IF(G$7="","",IF(G$12="Oui",1,0))</f>
        <v>0</v>
      </c>
      <c r="H39" s="12" t="n">
        <f aca="false">IF(H$7="","",IF(H$12="Oui",1,0))</f>
        <v>0</v>
      </c>
      <c r="I39" s="12" t="str">
        <f aca="false">IF(I$7="","",IF(I$12="Oui",1,0))</f>
        <v/>
      </c>
    </row>
    <row r="40" customFormat="false" ht="15" hidden="false" customHeight="false" outlineLevel="0" collapsed="false">
      <c r="A40" s="15" t="s">
        <v>58</v>
      </c>
      <c r="B40" s="16"/>
      <c r="C40" s="17" t="n">
        <f aca="false">IF(C7="","",SUM(C24:C39))</f>
        <v>16</v>
      </c>
      <c r="D40" s="17" t="n">
        <f aca="false">IF(D7="","",SUM(D24:D39))</f>
        <v>14</v>
      </c>
      <c r="E40" s="17" t="n">
        <f aca="false">IF(E7="","",SUM(E24:E39))</f>
        <v>16</v>
      </c>
      <c r="F40" s="17" t="n">
        <f aca="false">IF(F7="","",SUM(F24:F39))</f>
        <v>23</v>
      </c>
      <c r="G40" s="17" t="n">
        <f aca="false">IF(G7="","",SUM(G24:G39))</f>
        <v>8</v>
      </c>
      <c r="H40" s="17" t="n">
        <f aca="false">IF(H7="","",SUM(H24:H39))</f>
        <v>10</v>
      </c>
      <c r="I40" s="17" t="str">
        <f aca="false">IF(I7="","",SUM(I24:I39))</f>
        <v/>
      </c>
    </row>
    <row r="41" customFormat="false" ht="15" hidden="false" customHeight="false" outlineLevel="0" collapsed="false">
      <c r="A41" s="8" t="s">
        <v>59</v>
      </c>
      <c r="B41" s="11"/>
      <c r="C41" s="18" t="n">
        <f aca="false">IF(C7="","",IF(C13="Restaurant",SUMPRODUCT(C24:C39,Paramètres!$D$34:$D$49),0))</f>
        <v>0</v>
      </c>
      <c r="D41" s="18" t="n">
        <f aca="false">IF(D7="","",IF(D13="Restaurant",SUMPRODUCT(D24:D39,Paramètres!$D$34:$D$49),0))</f>
        <v>0</v>
      </c>
      <c r="E41" s="18" t="n">
        <f aca="false">IF(E7="","",IF(E13="Restaurant",SUMPRODUCT(E24:E39,Paramètres!$D$34:$D$49),0))</f>
        <v>0</v>
      </c>
      <c r="F41" s="18" t="n">
        <f aca="false">IF(F7="","",IF(F13="Restaurant",SUMPRODUCT(F24:F39,Paramètres!$D$34:$D$49),0))</f>
        <v>0</v>
      </c>
      <c r="G41" s="18" t="n">
        <f aca="false">IF(G7="","",IF(G13="Restaurant",SUMPRODUCT(G24:G39,Paramètres!$D$34:$D$49),0))</f>
        <v>0</v>
      </c>
      <c r="H41" s="18" t="n">
        <f aca="false">IF(H7="","",IF(H13="Restaurant",SUMPRODUCT(H24:H39,Paramètres!$D$34:$D$49),0))</f>
        <v>0</v>
      </c>
      <c r="I41" s="18" t="str">
        <f aca="false">IF(I7="","",IF(I13="Restaurant",SUMPRODUCT(I24:I39,Paramètres!$D$34:$D$49),0))</f>
        <v/>
      </c>
    </row>
    <row r="42" customFormat="false" ht="15" hidden="false" customHeight="false" outlineLevel="0" collapsed="false">
      <c r="A42" s="15" t="s">
        <v>60</v>
      </c>
      <c r="B42" s="16"/>
      <c r="C42" s="17" t="n">
        <f aca="false">IF(C7="","",C40-C41)</f>
        <v>16</v>
      </c>
      <c r="D42" s="17" t="n">
        <f aca="false">IF(D7="","",D40-D41)</f>
        <v>14</v>
      </c>
      <c r="E42" s="17" t="n">
        <f aca="false">IF(E7="","",E40-E41)</f>
        <v>16</v>
      </c>
      <c r="F42" s="17" t="n">
        <f aca="false">IF(F7="","",F40-F41)</f>
        <v>23</v>
      </c>
      <c r="G42" s="17" t="n">
        <f aca="false">IF(G7="","",G40-G41)</f>
        <v>8</v>
      </c>
      <c r="H42" s="17" t="n">
        <f aca="false">IF(H7="","",H40-H41)</f>
        <v>10</v>
      </c>
      <c r="I42" s="17" t="str">
        <f aca="false">IF(I7="","",I40-I41)</f>
        <v/>
      </c>
    </row>
    <row r="43" customFormat="false" ht="15" hidden="false" customHeight="false" outlineLevel="0" collapsed="false">
      <c r="A43" s="8" t="s">
        <v>61</v>
      </c>
      <c r="B43" s="9" t="s">
        <v>62</v>
      </c>
      <c r="C43" s="19" t="n">
        <f aca="false">IF(C7="","",SUMPRODUCT(C24:C39,Paramètres!$B$34:$B$49)-IF(C13="Restaurant",SUMPRODUCT(C24:C39,Paramètres!$B$34:$B$49,Paramètres!$D$34:$D$49),0))</f>
        <v>0</v>
      </c>
      <c r="D43" s="19" t="n">
        <f aca="false">IF(D7="","",SUMPRODUCT(D24:D39,Paramètres!$B$34:$B$49)-IF(D13="Restaurant",SUMPRODUCT(D24:D39,Paramètres!$B$34:$B$49,Paramètres!$D$34:$D$49),0))</f>
        <v>0</v>
      </c>
      <c r="E43" s="19" t="n">
        <f aca="false">IF(E7="","",SUMPRODUCT(E24:E39,Paramètres!$B$34:$B$49)-IF(E13="Restaurant",SUMPRODUCT(E24:E39,Paramètres!$B$34:$B$49,Paramètres!$D$34:$D$49),0))</f>
        <v>0</v>
      </c>
      <c r="F43" s="19" t="n">
        <f aca="false">IF(F7="","",SUMPRODUCT(F24:F39,Paramètres!$B$34:$B$49)-IF(F13="Restaurant",SUMPRODUCT(F24:F39,Paramètres!$B$34:$B$49,Paramètres!$D$34:$D$49),0))</f>
        <v>0</v>
      </c>
      <c r="G43" s="19" t="n">
        <f aca="false">IF(G7="","",SUMPRODUCT(G24:G39,Paramètres!$B$34:$B$49)-IF(G13="Restaurant",SUMPRODUCT(G24:G39,Paramètres!$B$34:$B$49,Paramètres!$D$34:$D$49),0))</f>
        <v>0</v>
      </c>
      <c r="H43" s="19" t="n">
        <f aca="false">IF(H7="","",SUMPRODUCT(H24:H39,Paramètres!$B$34:$B$49)-IF(H13="Restaurant",SUMPRODUCT(H24:H39,Paramètres!$B$34:$B$49,Paramètres!$D$34:$D$49),0))</f>
        <v>0</v>
      </c>
      <c r="I43" s="19" t="str">
        <f aca="false">IF(I7="","",SUMPRODUCT(I24:I39,Paramètres!$B$34:$B$49)-IF(I13="Restaurant",SUMPRODUCT(I24:I39,Paramètres!$B$34:$B$49,Paramètres!$D$34:$D$49),0))</f>
        <v/>
      </c>
    </row>
    <row r="44" customFormat="false" ht="15" hidden="false" customHeight="false" outlineLevel="0" collapsed="false">
      <c r="A44" s="15" t="s">
        <v>63</v>
      </c>
      <c r="B44" s="20" t="s">
        <v>64</v>
      </c>
      <c r="C44" s="21" t="n">
        <f aca="false">IF(C7="","",SUMPRODUCT(C24:C39,Paramètres!$B$34:$B$49,Paramètres!$C$34:$C$49)-IF(C13="Restaurant",SUMPRODUCT(C24:C39,Paramètres!$B$34:$B$49,Paramètres!$C$34:$C$49,Paramètres!$D$34:$D$49),0))</f>
        <v>0</v>
      </c>
      <c r="D44" s="21" t="n">
        <f aca="false">IF(D7="","",SUMPRODUCT(D24:D39,Paramètres!$B$34:$B$49,Paramètres!$C$34:$C$49)-IF(D13="Restaurant",SUMPRODUCT(D24:D39,Paramètres!$B$34:$B$49,Paramètres!$C$34:$C$49,Paramètres!$D$34:$D$49),0))</f>
        <v>0</v>
      </c>
      <c r="E44" s="21" t="n">
        <f aca="false">IF(E7="","",SUMPRODUCT(E24:E39,Paramètres!$B$34:$B$49,Paramètres!$C$34:$C$49)-IF(E13="Restaurant",SUMPRODUCT(E24:E39,Paramètres!$B$34:$B$49,Paramètres!$C$34:$C$49,Paramètres!$D$34:$D$49),0))</f>
        <v>0</v>
      </c>
      <c r="F44" s="21" t="n">
        <f aca="false">IF(F7="","",SUMPRODUCT(F24:F39,Paramètres!$B$34:$B$49,Paramètres!$C$34:$C$49)-IF(F13="Restaurant",SUMPRODUCT(F24:F39,Paramètres!$B$34:$B$49,Paramètres!$C$34:$C$49,Paramètres!$D$34:$D$49),0))</f>
        <v>0</v>
      </c>
      <c r="G44" s="21" t="n">
        <f aca="false">IF(G7="","",SUMPRODUCT(G24:G39,Paramètres!$B$34:$B$49,Paramètres!$C$34:$C$49)-IF(G13="Restaurant",SUMPRODUCT(G24:G39,Paramètres!$B$34:$B$49,Paramètres!$C$34:$C$49,Paramètres!$D$34:$D$49),0))</f>
        <v>0</v>
      </c>
      <c r="H44" s="21" t="n">
        <f aca="false">IF(H7="","",SUMPRODUCT(H24:H39,Paramètres!$B$34:$B$49,Paramètres!$C$34:$C$49)-IF(H13="Restaurant",SUMPRODUCT(H24:H39,Paramètres!$B$34:$B$49,Paramètres!$C$34:$C$49,Paramètres!$D$34:$D$49),0))</f>
        <v>0</v>
      </c>
      <c r="I44" s="21" t="str">
        <f aca="false">IF(I7="","",SUMPRODUCT(I24:I39,Paramètres!$B$34:$B$49,Paramètres!$C$34:$C$49)-IF(I13="Restaurant",SUMPRODUCT(I24:I39,Paramètres!$B$34:$B$49,Paramètres!$C$34:$C$49,Paramètres!$D$34:$D$49),0))</f>
        <v/>
      </c>
    </row>
    <row r="46" customFormat="false" ht="15" hidden="false" customHeight="false" outlineLevel="0" collapsed="false">
      <c r="A46" s="7" t="s">
        <v>65</v>
      </c>
      <c r="B46" s="7"/>
      <c r="C46" s="7"/>
      <c r="D46" s="7"/>
      <c r="E46" s="7"/>
      <c r="F46" s="7"/>
      <c r="G46" s="7"/>
      <c r="H46" s="7"/>
      <c r="I46" s="7"/>
    </row>
    <row r="47" customFormat="false" ht="22.35" hidden="false" customHeight="false" outlineLevel="0" collapsed="false">
      <c r="A47" s="13" t="str">
        <f aca="false">Paramètres!A55</f>
        <v>PR-01 Qualification du lieu</v>
      </c>
      <c r="B47" s="11"/>
      <c r="C47" s="22" t="str">
        <f aca="false">IF(C$10="","",INDEX(Paramètres!$B$55:$D$55,MATCH(C$10,Paramètres!$B$54:$D$54,0)))</f>
        <v>✓✓ visite sur place</v>
      </c>
      <c r="D47" s="22" t="str">
        <f aca="false">IF(D$10="","",INDEX(Paramètres!$B$55:$D$55,MATCH(D$10,Paramètres!$B$54:$D$54,0)))</f>
        <v>✓✓ visite sur place</v>
      </c>
      <c r="E47" s="22" t="str">
        <f aca="false">IF(E$10="","",INDEX(Paramètres!$B$55:$D$55,MATCH(E$10,Paramètres!$B$54:$D$54,0)))</f>
        <v>✓✓ visite sur place</v>
      </c>
      <c r="F47" s="22" t="str">
        <f aca="false">IF(F$10="","",INDEX(Paramètres!$B$55:$D$55,MATCH(F$10,Paramètres!$B$54:$D$54,0)))</f>
        <v>✓✓ visite technique et répétition sur place</v>
      </c>
      <c r="G47" s="22" t="str">
        <f aca="false">IF(G$10="","",INDEX(Paramètres!$B$55:$D$55,MATCH(G$10,Paramètres!$B$54:$D$54,0)))</f>
        <v>✓✓ visite sur place</v>
      </c>
      <c r="H47" s="22" t="str">
        <f aca="false">IF(H$10="","",INDEX(Paramètres!$B$55:$D$55,MATCH(H$10,Paramètres!$B$54:$D$54,0)))</f>
        <v>✓✓ visite sur place</v>
      </c>
      <c r="I47" s="22" t="str">
        <f aca="false">IF(I$10="","",INDEX(Paramètres!$B$55:$D$55,MATCH(I$10,Paramètres!$B$54:$D$54,0)))</f>
        <v/>
      </c>
    </row>
    <row r="48" customFormat="false" ht="32.8" hidden="false" customHeight="false" outlineLevel="0" collapsed="false">
      <c r="A48" s="13" t="str">
        <f aca="false">Paramètres!A56</f>
        <v>PR-02 Engagement du chef</v>
      </c>
      <c r="B48" s="11"/>
      <c r="C48" s="22" t="str">
        <f aca="false">IF(C$10="","",INDEX(Paramètres!$B$56:$D$56,MATCH(C$10,Paramètres!$B$54:$D$54,0)))</f>
        <v>✓✓ chef de secours désigné par écrit</v>
      </c>
      <c r="D48" s="22" t="str">
        <f aca="false">IF(D$10="","",INDEX(Paramètres!$B$56:$D$56,MATCH(D$10,Paramètres!$B$54:$D$54,0)))</f>
        <v>✓✓ chef de secours désigné par écrit</v>
      </c>
      <c r="E48" s="22" t="str">
        <f aca="false">IF(E$10="","",INDEX(Paramètres!$B$56:$D$56,MATCH(E$10,Paramètres!$B$54:$D$54,0)))</f>
        <v>✓✓ chef de secours désigné par écrit</v>
      </c>
      <c r="F48" s="22" t="str">
        <f aca="false">IF(F$10="","",INDEX(Paramètres!$B$56:$D$56,MATCH(F$10,Paramètres!$B$54:$D$54,0)))</f>
        <v>✓✓ + accord écrit sur la communication autour du chef</v>
      </c>
      <c r="G48" s="22" t="str">
        <f aca="false">IF(G$10="","",INDEX(Paramètres!$B$56:$D$56,MATCH(G$10,Paramètres!$B$54:$D$54,0)))</f>
        <v>✓✓ chef de secours désigné par écrit</v>
      </c>
      <c r="H48" s="22" t="str">
        <f aca="false">IF(H$10="","",INDEX(Paramètres!$B$56:$D$56,MATCH(H$10,Paramètres!$B$54:$D$54,0)))</f>
        <v>✓✓ chef de secours désigné par écrit</v>
      </c>
      <c r="I48" s="22" t="str">
        <f aca="false">IF(I$10="","",INDEX(Paramètres!$B$56:$D$56,MATCH(I$10,Paramètres!$B$54:$D$54,0)))</f>
        <v/>
      </c>
    </row>
    <row r="49" customFormat="false" ht="22.35" hidden="false" customHeight="false" outlineLevel="0" collapsed="false">
      <c r="A49" s="13" t="str">
        <f aca="false">Paramètres!A57</f>
        <v>PR-03 Fiche technique de l'événement</v>
      </c>
      <c r="B49" s="11"/>
      <c r="C49" s="22" t="str">
        <f aca="false">IF(C$10="","",INDEX(Paramètres!$B$57:$D$57,MATCH(C$10,Paramètres!$B$54:$D$54,0)))</f>
        <v>✓✓ validée par le client</v>
      </c>
      <c r="D49" s="22" t="str">
        <f aca="false">IF(D$10="","",INDEX(Paramètres!$B$57:$D$57,MATCH(D$10,Paramètres!$B$54:$D$54,0)))</f>
        <v>✓✓ validée par le client</v>
      </c>
      <c r="E49" s="22" t="str">
        <f aca="false">IF(E$10="","",INDEX(Paramètres!$B$57:$D$57,MATCH(E$10,Paramètres!$B$54:$D$54,0)))</f>
        <v>✓✓ validée par le client</v>
      </c>
      <c r="F49" s="22" t="str">
        <f aca="false">IF(F$10="","",INDEX(Paramètres!$B$57:$D$57,MATCH(F$10,Paramètres!$B$54:$D$54,0)))</f>
        <v>✓✓ + liste des invités et confidentialité</v>
      </c>
      <c r="G49" s="22" t="str">
        <f aca="false">IF(G$10="","",INDEX(Paramètres!$B$57:$D$57,MATCH(G$10,Paramètres!$B$54:$D$54,0)))</f>
        <v>✓✓ validée par le client</v>
      </c>
      <c r="H49" s="22" t="str">
        <f aca="false">IF(H$10="","",INDEX(Paramètres!$B$57:$D$57,MATCH(H$10,Paramètres!$B$54:$D$54,0)))</f>
        <v>✓✓ validée par le client</v>
      </c>
      <c r="I49" s="22" t="str">
        <f aca="false">IF(I$10="","",INDEX(Paramètres!$B$57:$D$57,MATCH(I$10,Paramètres!$B$54:$D$54,0)))</f>
        <v/>
      </c>
    </row>
    <row r="50" customFormat="false" ht="22.35" hidden="false" customHeight="false" outlineLevel="0" collapsed="false">
      <c r="A50" s="13" t="str">
        <f aca="false">Paramètres!A58</f>
        <v>PR-04 Staffing</v>
      </c>
      <c r="B50" s="11"/>
      <c r="C50" s="22" t="str">
        <f aca="false">IF(C$10="","",INDEX(Paramètres!$B$58:$D$58,MATCH(C$10,Paramètres!$B$54:$D$54,0)))</f>
        <v>✓✓ + 1 personne de réserve</v>
      </c>
      <c r="D50" s="22" t="str">
        <f aca="false">IF(D$10="","",INDEX(Paramètres!$B$58:$D$58,MATCH(D$10,Paramètres!$B$54:$D$54,0)))</f>
        <v>✓✓ + 1 personne de réserve</v>
      </c>
      <c r="E50" s="22" t="str">
        <f aca="false">IF(E$10="","",INDEX(Paramètres!$B$58:$D$58,MATCH(E$10,Paramètres!$B$54:$D$54,0)))</f>
        <v>✓✓ + 1 personne de réserve</v>
      </c>
      <c r="F50" s="22" t="str">
        <f aca="false">IF(F$10="","",INDEX(Paramètres!$B$58:$D$58,MATCH(F$10,Paramètres!$B$54:$D$54,0)))</f>
        <v>✓✓ + accueil, presse, images</v>
      </c>
      <c r="G50" s="22" t="str">
        <f aca="false">IF(G$10="","",INDEX(Paramètres!$B$58:$D$58,MATCH(G$10,Paramètres!$B$54:$D$54,0)))</f>
        <v>✓✓ + 1 personne de réserve</v>
      </c>
      <c r="H50" s="22" t="str">
        <f aca="false">IF(H$10="","",INDEX(Paramètres!$B$58:$D$58,MATCH(H$10,Paramètres!$B$54:$D$54,0)))</f>
        <v>✓✓ + 1 personne de réserve</v>
      </c>
      <c r="I50" s="22" t="str">
        <f aca="false">IF(I$10="","",INDEX(Paramètres!$B$58:$D$58,MATCH(I$10,Paramètres!$B$54:$D$54,0)))</f>
        <v/>
      </c>
    </row>
    <row r="51" customFormat="false" ht="22.35" hidden="false" customHeight="false" outlineLevel="0" collapsed="false">
      <c r="A51" s="13" t="str">
        <f aca="false">Paramètres!A59</f>
        <v>PR-05 Achats et approvisionnement</v>
      </c>
      <c r="B51" s="11"/>
      <c r="C51" s="22" t="str">
        <f aca="false">IF(C$10="","",INDEX(Paramètres!$B$59:$D$59,MATCH(C$10,Paramètres!$B$54:$D$54,0)))</f>
        <v>✓✓ fournisseur de secours identifié</v>
      </c>
      <c r="D51" s="22" t="str">
        <f aca="false">IF(D$10="","",INDEX(Paramètres!$B$59:$D$59,MATCH(D$10,Paramètres!$B$54:$D$54,0)))</f>
        <v>✓✓ fournisseur de secours identifié</v>
      </c>
      <c r="E51" s="22" t="str">
        <f aca="false">IF(E$10="","",INDEX(Paramètres!$B$59:$D$59,MATCH(E$10,Paramètres!$B$54:$D$54,0)))</f>
        <v>✓✓ fournisseur de secours identifié</v>
      </c>
      <c r="F51" s="22" t="str">
        <f aca="false">IF(F$10="","",INDEX(Paramètres!$B$59:$D$59,MATCH(F$10,Paramètres!$B$54:$D$54,0)))</f>
        <v>✓✓ + importations anticipées</v>
      </c>
      <c r="G51" s="22" t="str">
        <f aca="false">IF(G$10="","",INDEX(Paramètres!$B$59:$D$59,MATCH(G$10,Paramètres!$B$54:$D$54,0)))</f>
        <v>✓✓ fournisseur de secours identifié</v>
      </c>
      <c r="H51" s="22" t="str">
        <f aca="false">IF(H$10="","",INDEX(Paramètres!$B$59:$D$59,MATCH(H$10,Paramètres!$B$54:$D$54,0)))</f>
        <v>✓✓ fournisseur de secours identifié</v>
      </c>
      <c r="I51" s="22" t="str">
        <f aca="false">IF(I$10="","",INDEX(Paramètres!$B$59:$D$59,MATCH(I$10,Paramètres!$B$54:$D$54,0)))</f>
        <v/>
      </c>
    </row>
    <row r="52" customFormat="false" ht="15" hidden="false" customHeight="false" outlineLevel="0" collapsed="false">
      <c r="A52" s="13" t="str">
        <f aca="false">Paramètres!A60</f>
        <v>PR-06 Hygiène et allergènes</v>
      </c>
      <c r="B52" s="11"/>
      <c r="C52" s="22" t="str">
        <f aca="false">IF(C$10="","",INDEX(Paramètres!$B$60:$D$60,MATCH(C$10,Paramètres!$B$54:$D$54,0)))</f>
        <v>✓</v>
      </c>
      <c r="D52" s="22" t="str">
        <f aca="false">IF(D$10="","",INDEX(Paramètres!$B$60:$D$60,MATCH(D$10,Paramètres!$B$54:$D$54,0)))</f>
        <v>✓</v>
      </c>
      <c r="E52" s="22" t="str">
        <f aca="false">IF(E$10="","",INDEX(Paramètres!$B$60:$D$60,MATCH(E$10,Paramètres!$B$54:$D$54,0)))</f>
        <v>✓</v>
      </c>
      <c r="F52" s="22" t="str">
        <f aca="false">IF(F$10="","",INDEX(Paramètres!$B$60:$D$60,MATCH(F$10,Paramètres!$B$54:$D$54,0)))</f>
        <v>✓</v>
      </c>
      <c r="G52" s="22" t="str">
        <f aca="false">IF(G$10="","",INDEX(Paramètres!$B$60:$D$60,MATCH(G$10,Paramètres!$B$54:$D$54,0)))</f>
        <v>✓</v>
      </c>
      <c r="H52" s="22" t="str">
        <f aca="false">IF(H$10="","",INDEX(Paramètres!$B$60:$D$60,MATCH(H$10,Paramètres!$B$54:$D$54,0)))</f>
        <v>✓</v>
      </c>
      <c r="I52" s="22" t="str">
        <f aca="false">IF(I$10="","",INDEX(Paramètres!$B$60:$D$60,MATCH(I$10,Paramètres!$B$54:$D$54,0)))</f>
        <v/>
      </c>
    </row>
    <row r="53" customFormat="false" ht="22.35" hidden="false" customHeight="false" outlineLevel="0" collapsed="false">
      <c r="A53" s="13" t="str">
        <f aca="false">Paramètres!A61</f>
        <v>PR-07 Déroulé du jour J</v>
      </c>
      <c r="B53" s="11"/>
      <c r="C53" s="22" t="str">
        <f aca="false">IF(C$10="","",INDEX(Paramètres!$B$61:$D$61,MATCH(C$10,Paramètres!$B$54:$D$54,0)))</f>
        <v>✓✓ déroulé partagé avec le client</v>
      </c>
      <c r="D53" s="22" t="str">
        <f aca="false">IF(D$10="","",INDEX(Paramètres!$B$61:$D$61,MATCH(D$10,Paramètres!$B$54:$D$54,0)))</f>
        <v>✓✓ déroulé partagé avec le client</v>
      </c>
      <c r="E53" s="22" t="str">
        <f aca="false">IF(E$10="","",INDEX(Paramètres!$B$61:$D$61,MATCH(E$10,Paramètres!$B$54:$D$54,0)))</f>
        <v>✓✓ déroulé partagé avec le client</v>
      </c>
      <c r="F53" s="22" t="str">
        <f aca="false">IF(F$10="","",INDEX(Paramètres!$B$61:$D$61,MATCH(F$10,Paramètres!$B$54:$D$54,0)))</f>
        <v>✓✓ + dégustation du menu à l'avance et répétition</v>
      </c>
      <c r="G53" s="22" t="str">
        <f aca="false">IF(G$10="","",INDEX(Paramètres!$B$61:$D$61,MATCH(G$10,Paramètres!$B$54:$D$54,0)))</f>
        <v>✓✓ déroulé partagé avec le client</v>
      </c>
      <c r="H53" s="22" t="str">
        <f aca="false">IF(H$10="","",INDEX(Paramètres!$B$61:$D$61,MATCH(H$10,Paramètres!$B$54:$D$54,0)))</f>
        <v>✓✓ déroulé partagé avec le client</v>
      </c>
      <c r="I53" s="22" t="str">
        <f aca="false">IF(I$10="","",INDEX(Paramètres!$B$61:$D$61,MATCH(I$10,Paramètres!$B$54:$D$54,0)))</f>
        <v/>
      </c>
    </row>
    <row r="54" customFormat="false" ht="15" hidden="false" customHeight="false" outlineLevel="0" collapsed="false">
      <c r="A54" s="13" t="str">
        <f aca="false">Paramètres!A62</f>
        <v>PR-08 Restitution du lieu</v>
      </c>
      <c r="B54" s="11"/>
      <c r="C54" s="22" t="str">
        <f aca="false">IF(C$10="","",INDEX(Paramètres!$B$62:$D$62,MATCH(C$10,Paramètres!$B$54:$D$54,0)))</f>
        <v>✓</v>
      </c>
      <c r="D54" s="22" t="str">
        <f aca="false">IF(D$10="","",INDEX(Paramètres!$B$62:$D$62,MATCH(D$10,Paramètres!$B$54:$D$54,0)))</f>
        <v>✓</v>
      </c>
      <c r="E54" s="22" t="str">
        <f aca="false">IF(E$10="","",INDEX(Paramètres!$B$62:$D$62,MATCH(E$10,Paramètres!$B$54:$D$54,0)))</f>
        <v>✓</v>
      </c>
      <c r="F54" s="22" t="str">
        <f aca="false">IF(F$10="","",INDEX(Paramètres!$B$62:$D$62,MATCH(F$10,Paramètres!$B$54:$D$54,0)))</f>
        <v>✓</v>
      </c>
      <c r="G54" s="22" t="str">
        <f aca="false">IF(G$10="","",INDEX(Paramètres!$B$62:$D$62,MATCH(G$10,Paramètres!$B$54:$D$54,0)))</f>
        <v>✓</v>
      </c>
      <c r="H54" s="22" t="str">
        <f aca="false">IF(H$10="","",INDEX(Paramètres!$B$62:$D$62,MATCH(H$10,Paramètres!$B$54:$D$54,0)))</f>
        <v>✓</v>
      </c>
      <c r="I54" s="22" t="str">
        <f aca="false">IF(I$10="","",INDEX(Paramètres!$B$62:$D$62,MATCH(I$10,Paramètres!$B$54:$D$54,0)))</f>
        <v/>
      </c>
    </row>
    <row r="55" customFormat="false" ht="22.35" hidden="false" customHeight="false" outlineLevel="0" collapsed="false">
      <c r="A55" s="13" t="str">
        <f aca="false">Paramètres!A63</f>
        <v>PR-09 Incident et plan B</v>
      </c>
      <c r="B55" s="11"/>
      <c r="C55" s="22" t="str">
        <f aca="false">IF(C$10="","",INDEX(Paramètres!$B$63:$D$63,MATCH(C$10,Paramètres!$B$54:$D$54,0)))</f>
        <v>✓✓</v>
      </c>
      <c r="D55" s="22" t="str">
        <f aca="false">IF(D$10="","",INDEX(Paramètres!$B$63:$D$63,MATCH(D$10,Paramètres!$B$54:$D$54,0)))</f>
        <v>✓✓</v>
      </c>
      <c r="E55" s="22" t="str">
        <f aca="false">IF(E$10="","",INDEX(Paramètres!$B$63:$D$63,MATCH(E$10,Paramètres!$B$54:$D$54,0)))</f>
        <v>✓✓</v>
      </c>
      <c r="F55" s="22" t="str">
        <f aca="false">IF(F$10="","",INDEX(Paramètres!$B$63:$D$63,MATCH(F$10,Paramètres!$B$54:$D$54,0)))</f>
        <v>✓✓ + plan de communication de crise</v>
      </c>
      <c r="G55" s="22" t="str">
        <f aca="false">IF(G$10="","",INDEX(Paramètres!$B$63:$D$63,MATCH(G$10,Paramètres!$B$54:$D$54,0)))</f>
        <v>✓✓</v>
      </c>
      <c r="H55" s="22" t="str">
        <f aca="false">IF(H$10="","",INDEX(Paramètres!$B$63:$D$63,MATCH(H$10,Paramètres!$B$54:$D$54,0)))</f>
        <v>✓✓</v>
      </c>
      <c r="I55" s="22" t="str">
        <f aca="false">IF(I$10="","",INDEX(Paramètres!$B$63:$D$63,MATCH(I$10,Paramètres!$B$54:$D$54,0)))</f>
        <v/>
      </c>
    </row>
    <row r="56" customFormat="false" ht="15" hidden="false" customHeight="false" outlineLevel="0" collapsed="false">
      <c r="A56" s="13" t="str">
        <f aca="false">Paramètres!A64</f>
        <v>PR-10 Bilan</v>
      </c>
      <c r="B56" s="11"/>
      <c r="C56" s="22" t="str">
        <f aca="false">IF(C$10="","",INDEX(Paramètres!$B$64:$D$64,MATCH(C$10,Paramètres!$B$54:$D$54,0)))</f>
        <v>✓ + retour du client</v>
      </c>
      <c r="D56" s="22" t="str">
        <f aca="false">IF(D$10="","",INDEX(Paramètres!$B$64:$D$64,MATCH(D$10,Paramètres!$B$54:$D$54,0)))</f>
        <v>✓ + retour du client</v>
      </c>
      <c r="E56" s="22" t="str">
        <f aca="false">IF(E$10="","",INDEX(Paramètres!$B$64:$D$64,MATCH(E$10,Paramètres!$B$54:$D$54,0)))</f>
        <v>✓ + retour du client</v>
      </c>
      <c r="F56" s="22" t="str">
        <f aca="false">IF(F$10="","",INDEX(Paramètres!$B$64:$D$64,MATCH(F$10,Paramètres!$B$54:$D$54,0)))</f>
        <v>✓ + revue de presse</v>
      </c>
      <c r="G56" s="22" t="str">
        <f aca="false">IF(G$10="","",INDEX(Paramètres!$B$64:$D$64,MATCH(G$10,Paramètres!$B$54:$D$54,0)))</f>
        <v>✓ + retour du client</v>
      </c>
      <c r="H56" s="22" t="str">
        <f aca="false">IF(H$10="","",INDEX(Paramètres!$B$64:$D$64,MATCH(H$10,Paramètres!$B$54:$D$54,0)))</f>
        <v>✓ + retour du client</v>
      </c>
      <c r="I56" s="22" t="str">
        <f aca="false">IF(I$10="","",INDEX(Paramètres!$B$64:$D$64,MATCH(I$10,Paramètres!$B$54:$D$54,0)))</f>
        <v/>
      </c>
    </row>
  </sheetData>
  <dataValidations count="3">
    <dataValidation allowBlank="true" errorStyle="stop" operator="between" showDropDown="false" showErrorMessage="false" showInputMessage="false" sqref="C10:I10" type="list">
      <formula1>"C1,C2,C3"</formula1>
      <formula2>0</formula2>
    </dataValidation>
    <dataValidation allowBlank="true" errorStyle="stop" operator="between" showDropDown="false" showErrorMessage="false" showInputMessage="false" sqref="C12:I12" type="list">
      <formula1>"Oui,Non"</formula1>
      <formula2>0</formula2>
    </dataValidation>
    <dataValidation allowBlank="true" errorStyle="stop" operator="between" showDropDown="false" showErrorMessage="false" showInputMessage="false" sqref="C13:I13" type="list">
      <formula1>"Nous,Restaurant"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60"/>
  </cols>
  <sheetData>
    <row r="1" customFormat="false" ht="17.35" hidden="false" customHeight="false" outlineLevel="0" collapsed="false">
      <c r="A1" s="5" t="s">
        <v>66</v>
      </c>
    </row>
    <row r="2" customFormat="false" ht="15" hidden="false" customHeight="false" outlineLevel="0" collapsed="false">
      <c r="A2" s="6" t="s">
        <v>67</v>
      </c>
    </row>
    <row r="4" customFormat="false" ht="15" hidden="false" customHeight="false" outlineLevel="0" collapsed="false">
      <c r="A4" s="23" t="s">
        <v>68</v>
      </c>
      <c r="B4" s="23" t="s">
        <v>69</v>
      </c>
      <c r="C4" s="23" t="s">
        <v>70</v>
      </c>
      <c r="D4" s="23" t="s">
        <v>71</v>
      </c>
    </row>
    <row r="5" customFormat="false" ht="57.45" hidden="false" customHeight="false" outlineLevel="0" collapsed="false">
      <c r="A5" s="24" t="s">
        <v>72</v>
      </c>
      <c r="B5" s="10" t="n">
        <v>7</v>
      </c>
      <c r="C5" s="12" t="s">
        <v>73</v>
      </c>
      <c r="D5" s="24" t="s">
        <v>74</v>
      </c>
    </row>
    <row r="6" customFormat="false" ht="23.85" hidden="false" customHeight="false" outlineLevel="0" collapsed="false">
      <c r="A6" s="24" t="s">
        <v>75</v>
      </c>
      <c r="B6" s="10" t="n">
        <v>10</v>
      </c>
      <c r="C6" s="12" t="s">
        <v>73</v>
      </c>
      <c r="D6" s="24" t="s">
        <v>76</v>
      </c>
    </row>
    <row r="7" customFormat="false" ht="15" hidden="false" customHeight="false" outlineLevel="0" collapsed="false">
      <c r="A7" s="24" t="s">
        <v>77</v>
      </c>
      <c r="B7" s="10" t="n">
        <v>9</v>
      </c>
      <c r="C7" s="12" t="s">
        <v>73</v>
      </c>
      <c r="D7" s="24" t="s">
        <v>78</v>
      </c>
    </row>
    <row r="8" customFormat="false" ht="15" hidden="false" customHeight="false" outlineLevel="0" collapsed="false">
      <c r="A8" s="24" t="s">
        <v>79</v>
      </c>
      <c r="B8" s="10" t="n">
        <v>41</v>
      </c>
      <c r="C8" s="12" t="s">
        <v>73</v>
      </c>
      <c r="D8" s="24" t="s">
        <v>80</v>
      </c>
    </row>
    <row r="9" customFormat="false" ht="15" hidden="false" customHeight="false" outlineLevel="0" collapsed="false">
      <c r="A9" s="24" t="s">
        <v>81</v>
      </c>
      <c r="B9" s="10" t="n">
        <v>20</v>
      </c>
      <c r="C9" s="12" t="s">
        <v>73</v>
      </c>
      <c r="D9" s="24" t="s">
        <v>82</v>
      </c>
    </row>
    <row r="10" customFormat="false" ht="15" hidden="false" customHeight="false" outlineLevel="0" collapsed="false">
      <c r="A10" s="24" t="s">
        <v>83</v>
      </c>
      <c r="B10" s="10" t="n">
        <v>41</v>
      </c>
      <c r="C10" s="12" t="s">
        <v>73</v>
      </c>
      <c r="D10" s="24"/>
    </row>
    <row r="11" customFormat="false" ht="23.85" hidden="false" customHeight="false" outlineLevel="0" collapsed="false">
      <c r="A11" s="24" t="s">
        <v>84</v>
      </c>
      <c r="B11" s="10" t="n">
        <v>17</v>
      </c>
      <c r="C11" s="12" t="s">
        <v>73</v>
      </c>
      <c r="D11" s="24" t="s">
        <v>85</v>
      </c>
    </row>
    <row r="12" customFormat="false" ht="15" hidden="false" customHeight="false" outlineLevel="0" collapsed="false">
      <c r="A12" s="24" t="s">
        <v>86</v>
      </c>
      <c r="B12" s="10" t="n">
        <v>41</v>
      </c>
      <c r="C12" s="12" t="s">
        <v>73</v>
      </c>
      <c r="D12" s="24"/>
    </row>
    <row r="13" customFormat="false" ht="15" hidden="false" customHeight="false" outlineLevel="0" collapsed="false">
      <c r="A13" s="24" t="s">
        <v>87</v>
      </c>
      <c r="B13" s="10" t="n">
        <v>31</v>
      </c>
      <c r="C13" s="12" t="s">
        <v>73</v>
      </c>
      <c r="D13" s="24" t="s">
        <v>88</v>
      </c>
    </row>
    <row r="14" customFormat="false" ht="15" hidden="false" customHeight="false" outlineLevel="0" collapsed="false">
      <c r="A14" s="24" t="s">
        <v>89</v>
      </c>
      <c r="B14" s="10" t="n">
        <v>41</v>
      </c>
      <c r="C14" s="12" t="s">
        <v>73</v>
      </c>
      <c r="D14" s="24"/>
    </row>
    <row r="17" customFormat="false" ht="15" hidden="false" customHeight="false" outlineLevel="0" collapsed="false">
      <c r="A17" s="25" t="s">
        <v>90</v>
      </c>
    </row>
    <row r="18" customFormat="false" ht="15" hidden="false" customHeight="false" outlineLevel="0" collapsed="false">
      <c r="A18" s="23" t="s">
        <v>91</v>
      </c>
      <c r="B18" s="23" t="s">
        <v>92</v>
      </c>
      <c r="C18" s="23" t="s">
        <v>93</v>
      </c>
      <c r="D18" s="23" t="s">
        <v>50</v>
      </c>
    </row>
    <row r="19" customFormat="false" ht="15" hidden="false" customHeight="false" outlineLevel="0" collapsed="false">
      <c r="A19" s="12" t="s">
        <v>94</v>
      </c>
      <c r="B19" s="10" t="n">
        <v>8</v>
      </c>
      <c r="C19" s="11" t="s">
        <v>95</v>
      </c>
      <c r="D19" s="24" t="s">
        <v>96</v>
      </c>
    </row>
    <row r="20" customFormat="false" ht="15" hidden="false" customHeight="false" outlineLevel="0" collapsed="false">
      <c r="A20" s="12" t="s">
        <v>97</v>
      </c>
      <c r="B20" s="10" t="n">
        <v>16</v>
      </c>
      <c r="C20" s="11" t="s">
        <v>98</v>
      </c>
      <c r="D20" s="24" t="s">
        <v>96</v>
      </c>
    </row>
    <row r="21" customFormat="false" ht="15" hidden="false" customHeight="false" outlineLevel="0" collapsed="false">
      <c r="A21" s="12" t="s">
        <v>99</v>
      </c>
      <c r="B21" s="10" t="n">
        <v>30</v>
      </c>
      <c r="C21" s="11" t="s">
        <v>100</v>
      </c>
      <c r="D21" s="24" t="s">
        <v>101</v>
      </c>
    </row>
    <row r="22" customFormat="false" ht="15" hidden="false" customHeight="false" outlineLevel="0" collapsed="false">
      <c r="A22" s="12" t="s">
        <v>102</v>
      </c>
      <c r="B22" s="10" t="n">
        <v>60</v>
      </c>
      <c r="C22" s="11" t="s">
        <v>103</v>
      </c>
      <c r="D22" s="24" t="s">
        <v>104</v>
      </c>
    </row>
    <row r="23" customFormat="false" ht="15" hidden="false" customHeight="false" outlineLevel="0" collapsed="false">
      <c r="A23" s="12" t="s">
        <v>105</v>
      </c>
      <c r="B23" s="10" t="n">
        <v>100000</v>
      </c>
      <c r="C23" s="11" t="s">
        <v>106</v>
      </c>
      <c r="D23" s="24" t="s">
        <v>107</v>
      </c>
    </row>
    <row r="26" customFormat="false" ht="15" hidden="false" customHeight="false" outlineLevel="0" collapsed="false">
      <c r="A26" s="25" t="s">
        <v>108</v>
      </c>
    </row>
    <row r="27" customFormat="false" ht="23.85" hidden="false" customHeight="false" outlineLevel="0" collapsed="false">
      <c r="A27" s="23" t="s">
        <v>109</v>
      </c>
      <c r="B27" s="23" t="s">
        <v>110</v>
      </c>
      <c r="C27" s="23" t="s">
        <v>93</v>
      </c>
      <c r="D27" s="23" t="s">
        <v>111</v>
      </c>
    </row>
    <row r="28" customFormat="false" ht="23.85" hidden="false" customHeight="false" outlineLevel="0" collapsed="false">
      <c r="A28" s="12" t="s">
        <v>112</v>
      </c>
      <c r="B28" s="10" t="n">
        <v>6</v>
      </c>
      <c r="C28" s="11" t="s">
        <v>113</v>
      </c>
      <c r="D28" s="24" t="s">
        <v>114</v>
      </c>
    </row>
    <row r="29" customFormat="false" ht="35.05" hidden="false" customHeight="false" outlineLevel="0" collapsed="false">
      <c r="A29" s="12" t="s">
        <v>38</v>
      </c>
      <c r="B29" s="10" t="n">
        <v>8</v>
      </c>
      <c r="C29" s="11" t="s">
        <v>115</v>
      </c>
      <c r="D29" s="24" t="s">
        <v>116</v>
      </c>
    </row>
    <row r="30" customFormat="false" ht="23.85" hidden="false" customHeight="false" outlineLevel="0" collapsed="false">
      <c r="A30" s="12" t="s">
        <v>39</v>
      </c>
      <c r="B30" s="10" t="n">
        <v>10</v>
      </c>
      <c r="C30" s="11" t="s">
        <v>117</v>
      </c>
      <c r="D30" s="24" t="s">
        <v>118</v>
      </c>
    </row>
    <row r="32" customFormat="false" ht="15" hidden="false" customHeight="false" outlineLevel="0" collapsed="false">
      <c r="A32" s="25" t="s">
        <v>119</v>
      </c>
    </row>
    <row r="33" customFormat="false" ht="15" hidden="false" customHeight="false" outlineLevel="0" collapsed="false">
      <c r="A33" s="23" t="s">
        <v>120</v>
      </c>
      <c r="B33" s="23" t="s">
        <v>121</v>
      </c>
      <c r="C33" s="23" t="s">
        <v>122</v>
      </c>
      <c r="D33" s="23" t="s">
        <v>123</v>
      </c>
      <c r="E33" s="23" t="s">
        <v>124</v>
      </c>
    </row>
    <row r="34" customFormat="false" ht="23.85" hidden="false" customHeight="false" outlineLevel="0" collapsed="false">
      <c r="A34" s="11" t="s">
        <v>125</v>
      </c>
      <c r="B34" s="26"/>
      <c r="C34" s="27"/>
      <c r="D34" s="10" t="n">
        <v>0</v>
      </c>
      <c r="E34" s="24" t="s">
        <v>126</v>
      </c>
    </row>
    <row r="35" customFormat="false" ht="15" hidden="false" customHeight="false" outlineLevel="0" collapsed="false">
      <c r="A35" s="11" t="s">
        <v>127</v>
      </c>
      <c r="B35" s="26"/>
      <c r="C35" s="27"/>
      <c r="D35" s="10" t="n">
        <v>0</v>
      </c>
      <c r="E35" s="24" t="s">
        <v>128</v>
      </c>
    </row>
    <row r="36" customFormat="false" ht="15" hidden="false" customHeight="false" outlineLevel="0" collapsed="false">
      <c r="A36" s="11" t="s">
        <v>129</v>
      </c>
      <c r="B36" s="26"/>
      <c r="C36" s="27"/>
      <c r="D36" s="10" t="n">
        <v>1</v>
      </c>
      <c r="E36" s="24" t="s">
        <v>130</v>
      </c>
    </row>
    <row r="37" customFormat="false" ht="15" hidden="false" customHeight="false" outlineLevel="0" collapsed="false">
      <c r="A37" s="11" t="s">
        <v>131</v>
      </c>
      <c r="B37" s="26"/>
      <c r="C37" s="27"/>
      <c r="D37" s="10" t="n">
        <v>1</v>
      </c>
      <c r="E37" s="24" t="s">
        <v>132</v>
      </c>
    </row>
    <row r="38" customFormat="false" ht="15" hidden="false" customHeight="false" outlineLevel="0" collapsed="false">
      <c r="A38" s="11" t="s">
        <v>133</v>
      </c>
      <c r="B38" s="26"/>
      <c r="C38" s="27"/>
      <c r="D38" s="10" t="n">
        <v>1</v>
      </c>
      <c r="E38" s="24" t="s">
        <v>134</v>
      </c>
    </row>
    <row r="39" customFormat="false" ht="15" hidden="false" customHeight="false" outlineLevel="0" collapsed="false">
      <c r="A39" s="11" t="s">
        <v>135</v>
      </c>
      <c r="B39" s="26"/>
      <c r="C39" s="27"/>
      <c r="D39" s="10" t="n">
        <v>1</v>
      </c>
      <c r="E39" s="24" t="s">
        <v>136</v>
      </c>
    </row>
    <row r="40" customFormat="false" ht="15" hidden="false" customHeight="false" outlineLevel="0" collapsed="false">
      <c r="A40" s="11" t="s">
        <v>137</v>
      </c>
      <c r="B40" s="26"/>
      <c r="C40" s="27"/>
      <c r="D40" s="10" t="n">
        <v>0</v>
      </c>
      <c r="E40" s="24" t="s">
        <v>138</v>
      </c>
    </row>
    <row r="41" customFormat="false" ht="15" hidden="false" customHeight="false" outlineLevel="0" collapsed="false">
      <c r="A41" s="11" t="s">
        <v>139</v>
      </c>
      <c r="B41" s="26"/>
      <c r="C41" s="27"/>
      <c r="D41" s="10" t="n">
        <v>0</v>
      </c>
      <c r="E41" s="24" t="s">
        <v>130</v>
      </c>
    </row>
    <row r="42" customFormat="false" ht="15" hidden="false" customHeight="false" outlineLevel="0" collapsed="false">
      <c r="A42" s="11" t="s">
        <v>140</v>
      </c>
      <c r="B42" s="26"/>
      <c r="C42" s="27"/>
      <c r="D42" s="10" t="n">
        <v>0</v>
      </c>
      <c r="E42" s="24" t="s">
        <v>141</v>
      </c>
    </row>
    <row r="43" customFormat="false" ht="15" hidden="false" customHeight="false" outlineLevel="0" collapsed="false">
      <c r="A43" s="11" t="s">
        <v>142</v>
      </c>
      <c r="B43" s="26"/>
      <c r="C43" s="27"/>
      <c r="D43" s="10" t="n">
        <v>0</v>
      </c>
      <c r="E43" s="24" t="s">
        <v>143</v>
      </c>
    </row>
    <row r="44" customFormat="false" ht="15" hidden="false" customHeight="false" outlineLevel="0" collapsed="false">
      <c r="A44" s="11" t="s">
        <v>144</v>
      </c>
      <c r="B44" s="26"/>
      <c r="C44" s="27"/>
      <c r="D44" s="10" t="n">
        <v>0</v>
      </c>
      <c r="E44" s="24" t="s">
        <v>134</v>
      </c>
    </row>
    <row r="45" customFormat="false" ht="15" hidden="false" customHeight="false" outlineLevel="0" collapsed="false">
      <c r="A45" s="11" t="s">
        <v>145</v>
      </c>
      <c r="B45" s="26"/>
      <c r="C45" s="27"/>
      <c r="D45" s="10" t="n">
        <v>0</v>
      </c>
      <c r="E45" s="24" t="s">
        <v>146</v>
      </c>
    </row>
    <row r="46" customFormat="false" ht="15" hidden="false" customHeight="false" outlineLevel="0" collapsed="false">
      <c r="A46" s="11" t="s">
        <v>147</v>
      </c>
      <c r="B46" s="26"/>
      <c r="C46" s="27"/>
      <c r="D46" s="10" t="n">
        <v>0</v>
      </c>
      <c r="E46" s="24" t="s">
        <v>148</v>
      </c>
    </row>
    <row r="47" customFormat="false" ht="15" hidden="false" customHeight="false" outlineLevel="0" collapsed="false">
      <c r="A47" s="11" t="s">
        <v>149</v>
      </c>
      <c r="B47" s="26"/>
      <c r="C47" s="27"/>
      <c r="D47" s="10" t="n">
        <v>0</v>
      </c>
      <c r="E47" s="24" t="s">
        <v>150</v>
      </c>
    </row>
    <row r="48" customFormat="false" ht="15" hidden="false" customHeight="false" outlineLevel="0" collapsed="false">
      <c r="A48" s="11" t="s">
        <v>151</v>
      </c>
      <c r="B48" s="26"/>
      <c r="C48" s="27"/>
      <c r="D48" s="10" t="n">
        <v>0</v>
      </c>
      <c r="E48" s="24" t="s">
        <v>152</v>
      </c>
    </row>
    <row r="49" customFormat="false" ht="15" hidden="false" customHeight="false" outlineLevel="0" collapsed="false">
      <c r="A49" s="11" t="s">
        <v>153</v>
      </c>
      <c r="B49" s="26"/>
      <c r="C49" s="27"/>
      <c r="D49" s="10" t="n">
        <v>0</v>
      </c>
      <c r="E49" s="24" t="s">
        <v>154</v>
      </c>
    </row>
    <row r="50" customFormat="false" ht="15" hidden="false" customHeight="false" outlineLevel="0" collapsed="false">
      <c r="A50" s="6" t="s">
        <v>155</v>
      </c>
    </row>
    <row r="53" customFormat="false" ht="15" hidden="false" customHeight="false" outlineLevel="0" collapsed="false">
      <c r="A53" s="25" t="s">
        <v>156</v>
      </c>
    </row>
    <row r="54" customFormat="false" ht="15" hidden="false" customHeight="false" outlineLevel="0" collapsed="false">
      <c r="A54" s="23" t="s">
        <v>157</v>
      </c>
      <c r="B54" s="23" t="s">
        <v>112</v>
      </c>
      <c r="C54" s="23" t="s">
        <v>38</v>
      </c>
      <c r="D54" s="23" t="s">
        <v>39</v>
      </c>
    </row>
    <row r="55" customFormat="false" ht="15" hidden="false" customHeight="false" outlineLevel="0" collapsed="false">
      <c r="A55" s="24" t="s">
        <v>158</v>
      </c>
      <c r="B55" s="24" t="s">
        <v>159</v>
      </c>
      <c r="C55" s="24" t="s">
        <v>160</v>
      </c>
      <c r="D55" s="24" t="s">
        <v>161</v>
      </c>
    </row>
    <row r="56" customFormat="false" ht="23.85" hidden="false" customHeight="false" outlineLevel="0" collapsed="false">
      <c r="A56" s="24" t="s">
        <v>162</v>
      </c>
      <c r="B56" s="24" t="s">
        <v>163</v>
      </c>
      <c r="C56" s="24" t="s">
        <v>164</v>
      </c>
      <c r="D56" s="24" t="s">
        <v>165</v>
      </c>
    </row>
    <row r="57" customFormat="false" ht="15" hidden="false" customHeight="false" outlineLevel="0" collapsed="false">
      <c r="A57" s="24" t="s">
        <v>166</v>
      </c>
      <c r="B57" s="24" t="s">
        <v>163</v>
      </c>
      <c r="C57" s="24" t="s">
        <v>167</v>
      </c>
      <c r="D57" s="24" t="s">
        <v>168</v>
      </c>
    </row>
    <row r="58" customFormat="false" ht="15" hidden="false" customHeight="false" outlineLevel="0" collapsed="false">
      <c r="A58" s="24" t="s">
        <v>169</v>
      </c>
      <c r="B58" s="24" t="s">
        <v>163</v>
      </c>
      <c r="C58" s="24" t="s">
        <v>170</v>
      </c>
      <c r="D58" s="24" t="s">
        <v>171</v>
      </c>
    </row>
    <row r="59" customFormat="false" ht="23.85" hidden="false" customHeight="false" outlineLevel="0" collapsed="false">
      <c r="A59" s="24" t="s">
        <v>172</v>
      </c>
      <c r="B59" s="24" t="s">
        <v>163</v>
      </c>
      <c r="C59" s="24" t="s">
        <v>173</v>
      </c>
      <c r="D59" s="24" t="s">
        <v>174</v>
      </c>
    </row>
    <row r="60" customFormat="false" ht="15" hidden="false" customHeight="false" outlineLevel="0" collapsed="false">
      <c r="A60" s="24" t="s">
        <v>175</v>
      </c>
      <c r="B60" s="24" t="s">
        <v>163</v>
      </c>
      <c r="C60" s="24" t="s">
        <v>163</v>
      </c>
      <c r="D60" s="24" t="s">
        <v>163</v>
      </c>
    </row>
    <row r="61" customFormat="false" ht="23.85" hidden="false" customHeight="false" outlineLevel="0" collapsed="false">
      <c r="A61" s="24" t="s">
        <v>176</v>
      </c>
      <c r="B61" s="24" t="s">
        <v>163</v>
      </c>
      <c r="C61" s="24" t="s">
        <v>177</v>
      </c>
      <c r="D61" s="24" t="s">
        <v>178</v>
      </c>
    </row>
    <row r="62" customFormat="false" ht="15" hidden="false" customHeight="false" outlineLevel="0" collapsed="false">
      <c r="A62" s="24" t="s">
        <v>179</v>
      </c>
      <c r="B62" s="24" t="s">
        <v>163</v>
      </c>
      <c r="C62" s="24" t="s">
        <v>163</v>
      </c>
      <c r="D62" s="24" t="s">
        <v>163</v>
      </c>
    </row>
    <row r="63" customFormat="false" ht="15" hidden="false" customHeight="false" outlineLevel="0" collapsed="false">
      <c r="A63" s="24" t="s">
        <v>180</v>
      </c>
      <c r="B63" s="24" t="s">
        <v>163</v>
      </c>
      <c r="C63" s="24" t="s">
        <v>181</v>
      </c>
      <c r="D63" s="24" t="s">
        <v>182</v>
      </c>
    </row>
    <row r="64" customFormat="false" ht="15" hidden="false" customHeight="false" outlineLevel="0" collapsed="false">
      <c r="A64" s="24" t="s">
        <v>183</v>
      </c>
      <c r="B64" s="24" t="s">
        <v>163</v>
      </c>
      <c r="C64" s="24" t="s">
        <v>184</v>
      </c>
      <c r="D64" s="24" t="s">
        <v>185</v>
      </c>
    </row>
    <row r="66" customFormat="false" ht="15" hidden="false" customHeight="false" outlineLevel="0" collapsed="false">
      <c r="A66" s="25" t="s">
        <v>186</v>
      </c>
    </row>
    <row r="67" customFormat="false" ht="15" hidden="false" customHeight="false" outlineLevel="0" collapsed="false">
      <c r="A67" s="28" t="s">
        <v>187</v>
      </c>
    </row>
    <row r="68" customFormat="false" ht="15" hidden="false" customHeight="false" outlineLevel="0" collapsed="false">
      <c r="A68" s="28" t="s">
        <v>188</v>
      </c>
    </row>
    <row r="69" customFormat="false" ht="15" hidden="false" customHeight="false" outlineLevel="0" collapsed="false">
      <c r="A69" s="28" t="s">
        <v>189</v>
      </c>
    </row>
    <row r="70" customFormat="false" ht="15" hidden="false" customHeight="false" outlineLevel="0" collapsed="false">
      <c r="A70" s="28" t="s">
        <v>190</v>
      </c>
    </row>
    <row r="71" customFormat="false" ht="15" hidden="false" customHeight="false" outlineLevel="0" collapsed="false">
      <c r="A71" s="28" t="s">
        <v>191</v>
      </c>
    </row>
    <row r="72" customFormat="false" ht="15" hidden="false" customHeight="false" outlineLevel="0" collapsed="false">
      <c r="A72" s="28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2026-10-28T08:18:11Z</dcterms:created>
  <dc:creator>openpyxl</dc:creator>
  <dc:description/>
  <dc:language>en-US</dc:language>
  <cp:lastModifiedBy/>
  <dcterms:modified xsi:type="dcterms:W3CDTF">2026-10-28T08:18:11Z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