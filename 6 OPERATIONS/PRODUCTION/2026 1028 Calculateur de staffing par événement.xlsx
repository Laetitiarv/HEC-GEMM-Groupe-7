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Calculateur" sheetId="2" state="visible" r:id="rId2"/>
    <sheet xmlns:r="http://schemas.openxmlformats.org/officeDocument/2006/relationships" name="Paramètres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;\-0.0;\-"/>
    <numFmt numFmtId="165" formatCode="#,##0&quot; €&quot;;\-#,##0&quot; €&quot;;\-"/>
    <numFmt numFmtId="166" formatCode="0.0"/>
    <numFmt numFmtId="167" formatCode="#,##0.00&quot; €&quot;;\-#,##0.00&quot; €&quot;;\-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8000"/>
      <sz val="8"/>
    </font>
    <font>
      <name val="Arial"/>
      <charset val="1"/>
      <family val="0"/>
      <sz val="9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general" vertical="bottom"/>
    </xf>
    <xf numFmtId="165" fontId="7" fillId="4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166" fontId="9" fillId="3" borderId="1" applyAlignment="1" pivotButton="0" quotePrefix="0" xfId="0">
      <alignment horizontal="center" vertical="center" wrapText="1"/>
    </xf>
    <xf numFmtId="167" fontId="9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general" vertical="bottom"/>
    </xf>
    <xf numFmtId="165" fontId="7" fillId="4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166" fontId="9" fillId="3" borderId="1" applyAlignment="1" pivotButton="0" quotePrefix="0" xfId="0">
      <alignment horizontal="center" vertical="center" wrapText="1"/>
    </xf>
    <xf numFmtId="167" fontId="9" fillId="3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F8" authorId="0" shapeId="0">
      <text>
        <t>Services non fixés par le document du Marketing.</t>
      </text>
    </comment>
    <comment ref="D9" authorId="0" shapeId="0">
      <text>
        <t>Accords « prestige » : nombre de verres non fixé par l'offre du Produit (8 à 9 services annoncés).</t>
      </text>
    </comment>
    <comment ref="E9" authorId="0" shapeId="0">
      <text>
        <t>Nombre d'accords non fixé par l'offre du Produit (7 services annoncés).</t>
      </text>
    </comment>
    <comment ref="F11" authorId="0" shapeId="0">
      <text>
        <t>H : 3 salons, hypothèse. Le Marketing propose de « répartir les invités entre les salons » sans en donner le nombre.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0" customWidth="1" style="30" min="1" max="1"/>
  </cols>
  <sheetData>
    <row r="1" ht="17.25" customHeight="1" s="31">
      <c r="A1" s="32" t="inlineStr">
        <is>
          <t>Calculateur de staffing par événement — Pop Tables</t>
        </is>
      </c>
    </row>
    <row r="2" ht="23.25" customHeight="1" s="31">
      <c r="A2" s="33" t="inlineStr">
        <is>
          <t>28/10/2026, mis à jour le 29/10/2026 · 6 OPERATIONS/PRODUCTION · Document de travail du pôle Opérations : jauges de la Direction (D-05, D-22), pas de sommelier (wine maker dinner AdVini), pas de photographe (D-08). Le coût calculé est un effectif de référence ; le budget de l'équipe est l'enveloppe de la Finance (D-06).</t>
        </is>
      </c>
    </row>
    <row r="3" ht="15" customHeight="1" s="31">
      <c r="A3" s="34" t="n"/>
    </row>
    <row r="4" ht="15" customHeight="1" s="31">
      <c r="A4" s="35" t="inlineStr">
        <is>
          <t>À quoi il sert</t>
        </is>
      </c>
    </row>
    <row r="5" ht="34.5" customHeight="1" s="31">
      <c r="A5" s="34" t="inlineStr">
        <is>
          <t>Pour chaque événement, il calcule la classe de taille (T1 à T5), la catégorie (taille / criticité), le délai minimum de préparation, la charge de plonge, l'équipe nécessaire rôle par rôle, les process à appliquer et, une fois les heures et les taux renseignés, le coût de personnel à transmettre à la Finance (donnée n° 5).</t>
        </is>
      </c>
    </row>
    <row r="6" ht="15" customHeight="1" s="31">
      <c r="A6" s="34" t="inlineStr">
        <is>
          <t>Il applique la note « 2026 1028 Typologie des événements, process et staffing » (même dossier).</t>
        </is>
      </c>
    </row>
    <row r="7" ht="15" customHeight="1" s="31">
      <c r="A7" s="34" t="n"/>
    </row>
    <row r="8" ht="15" customHeight="1" s="31">
      <c r="A8" s="35" t="inlineStr">
        <is>
          <t>Comment s'en servir</t>
        </is>
      </c>
    </row>
    <row r="9" ht="15" customHeight="1" s="31">
      <c r="A9" s="34" t="inlineStr">
        <is>
          <t>1. Onglet « Calculateur » : une colonne par événement. Ne remplir que les cellules jaunes à texte bleu (lignes 5 à 13). Tout le reste se calcule.</t>
        </is>
      </c>
    </row>
    <row r="10" ht="15" customHeight="1" s="31">
      <c r="A10" s="34" t="inlineStr">
        <is>
          <t>2. Criticité : C1 Standard, C2 Premium, C3 Signature (définitions dans l'onglet « Paramètres »).</t>
        </is>
      </c>
    </row>
    <row r="11" ht="23.25" customHeight="1" s="31">
      <c r="A11" s="34" t="inlineStr">
        <is>
          <t>3. « Service de salle fourni par » : laisser « Nous ». Pop Tables fournit toujours le personnel (décision D-07 du 28/10/2026). Le choix « Restaurant » n'est gardé que pour mémoire.</t>
        </is>
      </c>
    </row>
    <row r="12" ht="23.25" customHeight="1" s="31">
      <c r="A12" s="34" t="inlineStr">
        <is>
          <t>4. Onglet « Paramètres » : les ratios et les seuils sont modifiables (cellules jaunes). Renseigner les heures par personne et les coûts horaires dès qu'un devis est reçu : le coût de personnel apparaît alors dans le calculateur.</t>
        </is>
      </c>
    </row>
    <row r="13" ht="15" customHeight="1" s="31">
      <c r="A13" s="34" t="n"/>
    </row>
    <row r="14" ht="15" customHeight="1" s="31">
      <c r="A14" s="35" t="inlineStr">
        <is>
          <t>Codes couleur</t>
        </is>
      </c>
    </row>
    <row r="15" ht="15" customHeight="1" s="31">
      <c r="A15" s="34" t="inlineStr">
        <is>
          <t>Texte bleu sur fond jaune = valeur à saisir ou hypothèse modifiable · texte noir = calcul · texte vert = lien vers un autre onglet.</t>
        </is>
      </c>
    </row>
    <row r="16" ht="15" customHeight="1" s="31">
      <c r="A16" s="34" t="inlineStr">
        <is>
          <t>Nature des valeurs (voir RULES) : F = fait sourcé · R = repère de marché (source secondaire) · P = proposition · H = hypothèse à remplacer.</t>
        </is>
      </c>
    </row>
    <row r="17" ht="15" customHeight="1" s="31">
      <c r="A17" s="34" t="n"/>
    </row>
    <row r="18" ht="15" customHeight="1" s="31">
      <c r="A18" s="35" t="inlineStr">
        <is>
          <t>Limites</t>
        </is>
      </c>
    </row>
    <row r="19" ht="34.5" customHeight="1" s="31">
      <c r="A19" s="34" t="inlineStr">
        <is>
          <t>Les ratios sont des propositions tirées de repères de marché non normatifs (guides de traiteurs), à confirmer avec un chef et une agence d'extras. Les colonnes d'exemple reprennent les formats de l'offre du Produit et de la soirée de lancement du Marketing ; les valeurs non fixées par ces documents sont laissées vides ou marquées H.</t>
        </is>
      </c>
    </row>
    <row r="20" ht="23.25" customHeight="1" s="31">
      <c r="A20" s="34" t="inlineStr">
        <is>
          <t>Les événements de plus de 60 couverts (T5 : mariages, grands événements) sont hors périmètre à ce stade : le calculateur les signale sans les chiffrer de façon fiable.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30" min="1" max="1"/>
    <col width="30" customWidth="1" style="30" min="2" max="2"/>
    <col width="22" customWidth="1" style="30" min="3" max="9"/>
    <col width="13" customWidth="1" style="31" min="5" max="5"/>
    <col width="13" customWidth="1" style="31" min="9" max="9"/>
  </cols>
  <sheetData>
    <row r="1" ht="17.25" customHeight="1" s="31">
      <c r="A1" s="36" t="inlineStr">
        <is>
          <t>Calculateur de staffing — une colonne par événement</t>
        </is>
      </c>
    </row>
    <row r="2" ht="15" customHeight="1" s="31">
      <c r="A2" s="37" t="inlineStr">
        <is>
          <t>Ne saisir que les cellules jaunes (lignes 5 à 13). Exemples aux jauges de la Direction (D-05, D-22) : 40, 35 et 30 couverts à la place, 30 en privatisation.</t>
        </is>
      </c>
    </row>
    <row r="4" ht="15" customHeight="1" s="31">
      <c r="A4" s="38" t="inlineStr">
        <is>
          <t>Saisie</t>
        </is>
      </c>
      <c r="B4" s="38" t="inlineStr">
        <is>
          <t>Unité / choix</t>
        </is>
      </c>
      <c r="C4" s="38" t="n"/>
      <c r="D4" s="38" t="n"/>
      <c r="E4" s="38" t="n"/>
      <c r="F4" s="38" t="n"/>
      <c r="G4" s="38" t="n"/>
      <c r="H4" s="38" t="n"/>
      <c r="I4" s="38" t="n"/>
    </row>
    <row r="5" ht="23.25" customHeight="1" s="31">
      <c r="A5" s="39" t="inlineStr">
        <is>
          <t>Nom de l'événement</t>
        </is>
      </c>
      <c r="B5" s="40" t="inlineStr">
        <is>
          <t>texte</t>
        </is>
      </c>
      <c r="C5" s="41" t="inlineStr">
        <is>
          <t>Pilote 1 — Premier soir</t>
        </is>
      </c>
      <c r="D5" s="41" t="inlineStr">
        <is>
          <t>Pilote 2 — La Grande Nuit</t>
        </is>
      </c>
      <c r="E5" s="41" t="inlineStr">
        <is>
          <t>Le Voyage (récurrent)</t>
        </is>
      </c>
      <c r="F5" s="41" t="inlineStr">
        <is>
          <t>Lancement — option 2 (Lapérouse)</t>
        </is>
      </c>
      <c r="G5" s="41" t="inlineStr">
        <is>
          <t>Tête-à-tête</t>
        </is>
      </c>
      <c r="H5" s="41" t="inlineStr">
        <is>
          <t>Privatisation (30 couverts, D-22)</t>
        </is>
      </c>
      <c r="I5" s="41" t="inlineStr">
        <is>
          <t>Premier soir (récurrent)</t>
        </is>
      </c>
    </row>
    <row r="6" ht="15" customHeight="1" s="31">
      <c r="A6" s="39" t="inlineStr">
        <is>
          <t>Format</t>
        </is>
      </c>
      <c r="B6" s="40" t="inlineStr">
        <is>
          <t>texte</t>
        </is>
      </c>
      <c r="C6" s="41" t="inlineStr">
        <is>
          <t>Offre A</t>
        </is>
      </c>
      <c r="D6" s="41" t="inlineStr">
        <is>
          <t>Offre A</t>
        </is>
      </c>
      <c r="E6" s="41" t="inlineStr">
        <is>
          <t>Offre A</t>
        </is>
      </c>
      <c r="F6" s="41" t="inlineStr">
        <is>
          <t>Lancement presse</t>
        </is>
      </c>
      <c r="G6" s="41" t="inlineStr">
        <is>
          <t>Offre B</t>
        </is>
      </c>
      <c r="H6" s="41" t="inlineStr">
        <is>
          <t>Offre B</t>
        </is>
      </c>
      <c r="I6" s="41" t="inlineStr">
        <is>
          <t>Offre A</t>
        </is>
      </c>
    </row>
    <row r="7" ht="15" customHeight="1" s="31">
      <c r="A7" s="39" t="inlineStr">
        <is>
          <t>Couverts</t>
        </is>
      </c>
      <c r="B7" s="40" t="inlineStr">
        <is>
          <t>nombre</t>
        </is>
      </c>
      <c r="C7" s="41" t="n">
        <v>40</v>
      </c>
      <c r="D7" s="41" t="n">
        <v>30</v>
      </c>
      <c r="E7" s="41" t="n">
        <v>35</v>
      </c>
      <c r="F7" s="41" t="n">
        <v>30</v>
      </c>
      <c r="G7" s="41" t="n">
        <v>2</v>
      </c>
      <c r="H7" s="41" t="n">
        <v>30</v>
      </c>
      <c r="I7" s="41" t="n">
        <v>40</v>
      </c>
    </row>
    <row r="8" ht="15" customHeight="1" s="31">
      <c r="A8" s="39" t="inlineStr">
        <is>
          <t>Services (plats)</t>
        </is>
      </c>
      <c r="B8" s="40" t="inlineStr">
        <is>
          <t>nombre</t>
        </is>
      </c>
      <c r="C8" s="41" t="n">
        <v>6</v>
      </c>
      <c r="D8" s="41" t="n">
        <v>9</v>
      </c>
      <c r="E8" s="41" t="n">
        <v>7</v>
      </c>
      <c r="F8" s="41" t="n"/>
      <c r="G8" s="41" t="n"/>
      <c r="H8" s="41" t="n"/>
      <c r="I8" s="41" t="n">
        <v>6</v>
      </c>
    </row>
    <row r="9" ht="15" customHeight="1" s="31">
      <c r="A9" s="39" t="inlineStr">
        <is>
          <t>Accords (verres par convive, hors eau)</t>
        </is>
      </c>
      <c r="B9" s="40" t="inlineStr">
        <is>
          <t>nombre</t>
        </is>
      </c>
      <c r="C9" s="41" t="n">
        <v>4</v>
      </c>
      <c r="D9" s="41" t="n"/>
      <c r="E9" s="41" t="n"/>
      <c r="F9" s="41" t="n"/>
      <c r="G9" s="41" t="n"/>
      <c r="H9" s="41" t="n"/>
      <c r="I9" s="41" t="n">
        <v>4</v>
      </c>
    </row>
    <row r="10" ht="15" customHeight="1" s="31">
      <c r="A10" s="39" t="inlineStr">
        <is>
          <t>Criticité</t>
        </is>
      </c>
      <c r="B10" s="40" t="inlineStr">
        <is>
          <t>C1 / C2 / C3</t>
        </is>
      </c>
      <c r="C10" s="41" t="inlineStr">
        <is>
          <t>C2</t>
        </is>
      </c>
      <c r="D10" s="41" t="inlineStr">
        <is>
          <t>C2</t>
        </is>
      </c>
      <c r="E10" s="41" t="inlineStr">
        <is>
          <t>C1</t>
        </is>
      </c>
      <c r="F10" s="41" t="inlineStr">
        <is>
          <t>C3</t>
        </is>
      </c>
      <c r="G10" s="41" t="inlineStr">
        <is>
          <t>C2</t>
        </is>
      </c>
      <c r="H10" s="41" t="inlineStr">
        <is>
          <t>C2</t>
        </is>
      </c>
      <c r="I10" s="41" t="inlineStr">
        <is>
          <t>C1</t>
        </is>
      </c>
    </row>
    <row r="11" ht="15" customHeight="1" s="31">
      <c r="A11" s="39" t="inlineStr">
        <is>
          <t>Nombre de salons</t>
        </is>
      </c>
      <c r="B11" s="40" t="inlineStr">
        <is>
          <t>nombre</t>
        </is>
      </c>
      <c r="C11" s="41" t="n">
        <v>1</v>
      </c>
      <c r="D11" s="41" t="n">
        <v>1</v>
      </c>
      <c r="E11" s="41" t="n">
        <v>1</v>
      </c>
      <c r="F11" s="41" t="n">
        <v>3</v>
      </c>
      <c r="G11" s="41" t="n">
        <v>1</v>
      </c>
      <c r="H11" s="41" t="n">
        <v>1</v>
      </c>
      <c r="I11" s="41" t="n">
        <v>1</v>
      </c>
    </row>
    <row r="12" ht="15" customHeight="1" s="31">
      <c r="A12" s="39" t="inlineStr">
        <is>
          <t>Logistique d'accès particulière</t>
        </is>
      </c>
      <c r="B12" s="40" t="inlineStr">
        <is>
          <t>Oui / Non</t>
        </is>
      </c>
      <c r="C12" s="41" t="inlineStr">
        <is>
          <t>Non</t>
        </is>
      </c>
      <c r="D12" s="41" t="inlineStr">
        <is>
          <t>Non</t>
        </is>
      </c>
      <c r="E12" s="41" t="inlineStr">
        <is>
          <t>Non</t>
        </is>
      </c>
      <c r="F12" s="41" t="inlineStr">
        <is>
          <t>Non</t>
        </is>
      </c>
      <c r="G12" s="41" t="inlineStr">
        <is>
          <t>Non</t>
        </is>
      </c>
      <c r="H12" s="41" t="inlineStr">
        <is>
          <t>Non</t>
        </is>
      </c>
      <c r="I12" s="41" t="inlineStr">
        <is>
          <t>Non</t>
        </is>
      </c>
    </row>
    <row r="13" ht="15" customHeight="1" s="31">
      <c r="A13" s="39" t="inlineStr">
        <is>
          <t>Service de salle fourni par</t>
        </is>
      </c>
      <c r="B13" s="40" t="inlineStr">
        <is>
          <t>Nous / Restaurant</t>
        </is>
      </c>
      <c r="C13" s="41" t="inlineStr">
        <is>
          <t>Nous</t>
        </is>
      </c>
      <c r="D13" s="41" t="inlineStr">
        <is>
          <t>Nous</t>
        </is>
      </c>
      <c r="E13" s="41" t="inlineStr">
        <is>
          <t>Nous</t>
        </is>
      </c>
      <c r="F13" s="41" t="inlineStr">
        <is>
          <t>Nous</t>
        </is>
      </c>
      <c r="G13" s="41" t="inlineStr">
        <is>
          <t>Nous</t>
        </is>
      </c>
      <c r="H13" s="41" t="inlineStr">
        <is>
          <t>Nous</t>
        </is>
      </c>
      <c r="I13" s="41" t="inlineStr">
        <is>
          <t>Nous</t>
        </is>
      </c>
    </row>
    <row r="15" ht="15" customHeight="1" s="31">
      <c r="A15" s="38" t="inlineStr">
        <is>
          <t>Résultats</t>
        </is>
      </c>
      <c r="B15" s="38" t="n"/>
      <c r="C15" s="38" t="n"/>
      <c r="D15" s="38" t="n"/>
      <c r="E15" s="38" t="n"/>
      <c r="F15" s="38" t="n"/>
      <c r="G15" s="38" t="n"/>
      <c r="H15" s="38" t="n"/>
      <c r="I15" s="38" t="n"/>
    </row>
    <row r="16" ht="15" customHeight="1" s="31">
      <c r="A16" s="39" t="inlineStr">
        <is>
          <t>Classe de taille</t>
        </is>
      </c>
      <c r="B16" s="42" t="n"/>
      <c r="C16" s="43">
        <f>IF(C7="","",INDEX(Paramètres!$A$19:$A$23,MATCH(TRUE(),INDEX(Paramètres!$B$19:$B$23&gt;=C7,0),0)))</f>
        <v/>
      </c>
      <c r="D16" s="43">
        <f>IF(D7="","",INDEX(Paramètres!$A$19:$A$23,MATCH(TRUE(),INDEX(Paramètres!$B$19:$B$23&gt;=D7,0),0)))</f>
        <v/>
      </c>
      <c r="E16" s="43">
        <f>IF(E7="","",INDEX(Paramètres!$A$19:$A$23,MATCH(TRUE(),INDEX(Paramètres!$B$19:$B$23&gt;=E7,0),0)))</f>
        <v/>
      </c>
      <c r="F16" s="43">
        <f>IF(F7="","",INDEX(Paramètres!$A$19:$A$23,MATCH(TRUE(),INDEX(Paramètres!$B$19:$B$23&gt;=F7,0),0)))</f>
        <v/>
      </c>
      <c r="G16" s="43">
        <f>IF(G7="","",INDEX(Paramètres!$A$19:$A$23,MATCH(TRUE(),INDEX(Paramètres!$B$19:$B$23&gt;=G7,0),0)))</f>
        <v/>
      </c>
      <c r="H16" s="43">
        <f>IF(H7="","",INDEX(Paramètres!$A$19:$A$23,MATCH(TRUE(),INDEX(Paramètres!$B$19:$B$23&gt;=H7,0),0)))</f>
        <v/>
      </c>
      <c r="I16" s="43">
        <f>IF(I7="","",INDEX(Paramètres!$A$19:$A$23,MATCH(TRUE(),INDEX(Paramètres!$B$19:$B$23&gt;=I7,0),0)))</f>
        <v/>
      </c>
    </row>
    <row r="17" ht="15" customHeight="1" s="31">
      <c r="A17" s="39" t="inlineStr">
        <is>
          <t>Catégorie (taille / criticité)</t>
        </is>
      </c>
      <c r="B17" s="42" t="n"/>
      <c r="C17" s="43">
        <f>IF(OR(C7="",C10=""),"",C16&amp;" / "&amp;C10)</f>
        <v/>
      </c>
      <c r="D17" s="43">
        <f>IF(OR(D7="",D10=""),"",D16&amp;" / "&amp;D10)</f>
        <v/>
      </c>
      <c r="E17" s="43">
        <f>IF(OR(E7="",E10=""),"",E16&amp;" / "&amp;E10)</f>
        <v/>
      </c>
      <c r="F17" s="43">
        <f>IF(OR(F7="",F10=""),"",F16&amp;" / "&amp;F10)</f>
        <v/>
      </c>
      <c r="G17" s="43">
        <f>IF(OR(G7="",G10=""),"",G16&amp;" / "&amp;G10)</f>
        <v/>
      </c>
      <c r="H17" s="43">
        <f>IF(OR(H7="",H10=""),"",H16&amp;" / "&amp;H10)</f>
        <v/>
      </c>
      <c r="I17" s="43">
        <f>IF(OR(I7="",I10=""),"",I16&amp;" / "&amp;I10)</f>
        <v/>
      </c>
    </row>
    <row r="18" ht="15" customHeight="1" s="31">
      <c r="A18" s="39" t="inlineStr">
        <is>
          <t>Dans le périmètre ?</t>
        </is>
      </c>
      <c r="B18" s="42" t="n"/>
      <c r="C18" s="43">
        <f>IF(C16="","",INDEX(Paramètres!$D$19:$D$23,MATCH(C16,Paramètres!$A$19:$A$23,0)))</f>
        <v/>
      </c>
      <c r="D18" s="43">
        <f>IF(D16="","",INDEX(Paramètres!$D$19:$D$23,MATCH(D16,Paramètres!$A$19:$A$23,0)))</f>
        <v/>
      </c>
      <c r="E18" s="43">
        <f>IF(E16="","",INDEX(Paramètres!$D$19:$D$23,MATCH(E16,Paramètres!$A$19:$A$23,0)))</f>
        <v/>
      </c>
      <c r="F18" s="43">
        <f>IF(F16="","",INDEX(Paramètres!$D$19:$D$23,MATCH(F16,Paramètres!$A$19:$A$23,0)))</f>
        <v/>
      </c>
      <c r="G18" s="43">
        <f>IF(G16="","",INDEX(Paramètres!$D$19:$D$23,MATCH(G16,Paramètres!$A$19:$A$23,0)))</f>
        <v/>
      </c>
      <c r="H18" s="43">
        <f>IF(H16="","",INDEX(Paramètres!$D$19:$D$23,MATCH(H16,Paramètres!$A$19:$A$23,0)))</f>
        <v/>
      </c>
      <c r="I18" s="43">
        <f>IF(I16="","",INDEX(Paramètres!$D$19:$D$23,MATCH(I16,Paramètres!$A$19:$A$23,0)))</f>
        <v/>
      </c>
    </row>
    <row r="19" ht="15" customHeight="1" s="31">
      <c r="A19" s="39" t="inlineStr">
        <is>
          <t>Démarrage recommandé (semaines avant J)</t>
        </is>
      </c>
      <c r="B19" s="42" t="n"/>
      <c r="C19" s="43">
        <f>IF(C10="","",INDEX(Paramètres!$B$28:$B$30,MATCH(C10,Paramètres!$A$28:$A$30,0)))</f>
        <v/>
      </c>
      <c r="D19" s="43">
        <f>IF(D10="","",INDEX(Paramètres!$B$28:$B$30,MATCH(D10,Paramètres!$A$28:$A$30,0)))</f>
        <v/>
      </c>
      <c r="E19" s="43">
        <f>IF(E10="","",INDEX(Paramètres!$B$28:$B$30,MATCH(E10,Paramètres!$A$28:$A$30,0)))</f>
        <v/>
      </c>
      <c r="F19" s="43">
        <f>IF(F10="","",INDEX(Paramètres!$B$28:$B$30,MATCH(F10,Paramètres!$A$28:$A$30,0)))</f>
        <v/>
      </c>
      <c r="G19" s="43">
        <f>IF(G10="","",INDEX(Paramètres!$B$28:$B$30,MATCH(G10,Paramètres!$A$28:$A$30,0)))</f>
        <v/>
      </c>
      <c r="H19" s="43">
        <f>IF(H10="","",INDEX(Paramètres!$B$28:$B$30,MATCH(H10,Paramètres!$A$28:$A$30,0)))</f>
        <v/>
      </c>
      <c r="I19" s="43">
        <f>IF(I10="","",INDEX(Paramètres!$B$28:$B$30,MATCH(I10,Paramètres!$A$28:$A$30,0)))</f>
        <v/>
      </c>
    </row>
    <row r="20" ht="15" customHeight="1" s="31">
      <c r="A20" s="39" t="inlineStr">
        <is>
          <t>Assiettes à laver (couverts × services)</t>
        </is>
      </c>
      <c r="B20" s="40" t="inlineStr">
        <is>
          <t>hors pain, mises en bouche, couverts</t>
        </is>
      </c>
      <c r="C20" s="43">
        <f>IF(OR(C7="",C8=""),"",C7*C8)</f>
        <v/>
      </c>
      <c r="D20" s="43">
        <f>IF(OR(D7="",D8=""),"",D7*D8)</f>
        <v/>
      </c>
      <c r="E20" s="43">
        <f>IF(OR(E7="",E8=""),"",E7*E8)</f>
        <v/>
      </c>
      <c r="F20" s="43">
        <f>IF(OR(F7="",F8=""),"",F7*F8)</f>
        <v/>
      </c>
      <c r="G20" s="43">
        <f>IF(OR(G7="",G8=""),"",G7*G8)</f>
        <v/>
      </c>
      <c r="H20" s="43">
        <f>IF(OR(H7="",H8=""),"",H7*H8)</f>
        <v/>
      </c>
      <c r="I20" s="43">
        <f>IF(OR(I7="",I8=""),"",I7*I8)</f>
        <v/>
      </c>
    </row>
    <row r="21" ht="15" customHeight="1" s="31">
      <c r="A21" s="39" t="inlineStr">
        <is>
          <t>Verres à laver (couverts × (accords + eau))</t>
        </is>
      </c>
      <c r="B21" s="40" t="inlineStr">
        <is>
          <t>si accords vides : eau seule</t>
        </is>
      </c>
      <c r="C21" s="43">
        <f>IF(C7="","",C7*(N(C9)+1))</f>
        <v/>
      </c>
      <c r="D21" s="43">
        <f>IF(D7="","",D7*(N(D9)+1))</f>
        <v/>
      </c>
      <c r="E21" s="43">
        <f>IF(E7="","",E7*(N(E9)+1))</f>
        <v/>
      </c>
      <c r="F21" s="43">
        <f>IF(F7="","",F7*(N(F9)+1))</f>
        <v/>
      </c>
      <c r="G21" s="43">
        <f>IF(G7="","",G7*(N(G9)+1))</f>
        <v/>
      </c>
      <c r="H21" s="43">
        <f>IF(H7="","",H7*(N(H9)+1))</f>
        <v/>
      </c>
      <c r="I21" s="43">
        <f>IF(I7="","",I7*(N(I9)+1))</f>
        <v/>
      </c>
    </row>
    <row r="23" ht="15" customHeight="1" s="31">
      <c r="A23" s="38" t="inlineStr">
        <is>
          <t>Équipe nécessaire (personnes)</t>
        </is>
      </c>
      <c r="B23" s="38" t="inlineStr">
        <is>
          <t>Règle</t>
        </is>
      </c>
      <c r="C23" s="38" t="n"/>
      <c r="D23" s="38" t="n"/>
      <c r="E23" s="38" t="n"/>
      <c r="F23" s="38" t="n"/>
      <c r="G23" s="38" t="n"/>
      <c r="H23" s="38" t="n"/>
      <c r="I23" s="38" t="n"/>
    </row>
    <row r="24" ht="27.75" customHeight="1" s="31">
      <c r="A24" s="44">
        <f>Paramètres!A34</f>
        <v/>
      </c>
      <c r="B24" s="45">
        <f>Paramètres!E34</f>
        <v/>
      </c>
      <c r="C24" s="43">
        <f>IF(C$7="","",1)</f>
        <v/>
      </c>
      <c r="D24" s="43">
        <f>IF(D$7="","",1)</f>
        <v/>
      </c>
      <c r="E24" s="43">
        <f>IF(E$7="","",1)</f>
        <v/>
      </c>
      <c r="F24" s="43">
        <f>IF(F$7="","",1)</f>
        <v/>
      </c>
      <c r="G24" s="43">
        <f>IF(G$7="","",1)</f>
        <v/>
      </c>
      <c r="H24" s="43">
        <f>IF(H$7="","",1)</f>
        <v/>
      </c>
      <c r="I24" s="43">
        <f>IF(I$7="","",1)</f>
        <v/>
      </c>
    </row>
    <row r="25" ht="18.75" customHeight="1" s="31">
      <c r="A25" s="44">
        <f>Paramètres!A35</f>
        <v/>
      </c>
      <c r="B25" s="45">
        <f>Paramètres!E35</f>
        <v/>
      </c>
      <c r="C25" s="43">
        <f>IF(C$7="","",ROUNDUP(C$7/Paramètres!$B$6,0))</f>
        <v/>
      </c>
      <c r="D25" s="43">
        <f>IF(D$7="","",ROUNDUP(D$7/Paramètres!$B$6,0))</f>
        <v/>
      </c>
      <c r="E25" s="43">
        <f>IF(E$7="","",ROUNDUP(E$7/Paramètres!$B$6,0))</f>
        <v/>
      </c>
      <c r="F25" s="43">
        <f>IF(F$7="","",ROUNDUP(F$7/Paramètres!$B$6,0))</f>
        <v/>
      </c>
      <c r="G25" s="43">
        <f>IF(G$7="","",ROUNDUP(G$7/Paramètres!$B$6,0))</f>
        <v/>
      </c>
      <c r="H25" s="43">
        <f>IF(H$7="","",ROUNDUP(H$7/Paramètres!$B$6,0))</f>
        <v/>
      </c>
      <c r="I25" s="43">
        <f>IF(I$7="","",ROUNDUP(I$7/Paramètres!$B$6,0))</f>
        <v/>
      </c>
    </row>
    <row r="26" ht="18.75" customHeight="1" s="31">
      <c r="A26" s="44">
        <f>Paramètres!A36</f>
        <v/>
      </c>
      <c r="B26" s="45">
        <f>Paramètres!E36</f>
        <v/>
      </c>
      <c r="C26" s="43">
        <f>IF(C$7="","",(C$7&gt;=Paramètres!$B$7)*1+(C$7&gt;=Paramètres!$B$8)*1)</f>
        <v/>
      </c>
      <c r="D26" s="43">
        <f>IF(D$7="","",(D$7&gt;=Paramètres!$B$7)*1+(D$7&gt;=Paramètres!$B$8)*1)</f>
        <v/>
      </c>
      <c r="E26" s="43">
        <f>IF(E$7="","",(E$7&gt;=Paramètres!$B$7)*1+(E$7&gt;=Paramètres!$B$8)*1)</f>
        <v/>
      </c>
      <c r="F26" s="43">
        <f>IF(F$7="","",(F$7&gt;=Paramètres!$B$7)*1+(F$7&gt;=Paramètres!$B$8)*1)</f>
        <v/>
      </c>
      <c r="G26" s="43">
        <f>IF(G$7="","",(G$7&gt;=Paramètres!$B$7)*1+(G$7&gt;=Paramètres!$B$8)*1)</f>
        <v/>
      </c>
      <c r="H26" s="43">
        <f>IF(H$7="","",(H$7&gt;=Paramètres!$B$7)*1+(H$7&gt;=Paramètres!$B$8)*1)</f>
        <v/>
      </c>
      <c r="I26" s="43">
        <f>IF(I$7="","",(I$7&gt;=Paramètres!$B$7)*1+(I$7&gt;=Paramètres!$B$8)*1)</f>
        <v/>
      </c>
    </row>
    <row r="27" ht="18.75" customHeight="1" s="31">
      <c r="A27" s="44">
        <f>Paramètres!A37</f>
        <v/>
      </c>
      <c r="B27" s="45">
        <f>Paramètres!E37</f>
        <v/>
      </c>
      <c r="C27" s="43">
        <f>IF(C$7="","",ROUNDUP(C$7/Paramètres!$B$5,0))</f>
        <v/>
      </c>
      <c r="D27" s="43">
        <f>IF(D$7="","",ROUNDUP(D$7/Paramètres!$B$5,0))</f>
        <v/>
      </c>
      <c r="E27" s="43">
        <f>IF(E$7="","",ROUNDUP(E$7/Paramètres!$B$5,0))</f>
        <v/>
      </c>
      <c r="F27" s="43">
        <f>IF(F$7="","",ROUNDUP(F$7/Paramètres!$B$5,0))</f>
        <v/>
      </c>
      <c r="G27" s="43">
        <f>IF(G$7="","",ROUNDUP(G$7/Paramètres!$B$5,0))</f>
        <v/>
      </c>
      <c r="H27" s="43">
        <f>IF(H$7="","",ROUNDUP(H$7/Paramètres!$B$5,0))</f>
        <v/>
      </c>
      <c r="I27" s="43">
        <f>IF(I$7="","",ROUNDUP(I$7/Paramètres!$B$5,0))</f>
        <v/>
      </c>
    </row>
    <row r="28" ht="15" customHeight="1" s="31">
      <c r="A28" s="44">
        <f>Paramètres!A38</f>
        <v/>
      </c>
      <c r="B28" s="45">
        <f>Paramètres!E38</f>
        <v/>
      </c>
      <c r="C28" s="43">
        <f>IF(C$7="","",IF(OR(C$10="C2",C$10="C3"),1,0))</f>
        <v/>
      </c>
      <c r="D28" s="43">
        <f>IF(D$7="","",IF(OR(D$10="C2",D$10="C3"),1,0))</f>
        <v/>
      </c>
      <c r="E28" s="43">
        <f>IF(E$7="","",IF(OR(E$10="C2",E$10="C3"),1,0))</f>
        <v/>
      </c>
      <c r="F28" s="43">
        <f>IF(F$7="","",IF(OR(F$10="C2",F$10="C3"),1,0))</f>
        <v/>
      </c>
      <c r="G28" s="43">
        <f>IF(G$7="","",IF(OR(G$10="C2",G$10="C3"),1,0))</f>
        <v/>
      </c>
      <c r="H28" s="43">
        <f>IF(H$7="","",IF(OR(H$10="C2",H$10="C3"),1,0))</f>
        <v/>
      </c>
      <c r="I28" s="43">
        <f>IF(I$7="","",IF(OR(I$10="C2",I$10="C3"),1,0))</f>
        <v/>
      </c>
    </row>
    <row r="29" ht="15" customHeight="1" s="31">
      <c r="A29" s="44">
        <f>Paramètres!A39</f>
        <v/>
      </c>
      <c r="B29" s="45">
        <f>Paramètres!E39</f>
        <v/>
      </c>
      <c r="C29" s="43">
        <f>IF(C$7="","",IF(C$10="C3",MAX(N(C$11)-1,0),0))</f>
        <v/>
      </c>
      <c r="D29" s="43">
        <f>IF(D$7="","",IF(D$10="C3",MAX(N(D$11)-1,0),0))</f>
        <v/>
      </c>
      <c r="E29" s="43">
        <f>IF(E$7="","",IF(E$10="C3",MAX(N(E$11)-1,0),0))</f>
        <v/>
      </c>
      <c r="F29" s="43">
        <f>IF(F$7="","",IF(F$10="C3",MAX(N(F$11)-1,0),0))</f>
        <v/>
      </c>
      <c r="G29" s="43">
        <f>IF(G$7="","",IF(G$10="C3",MAX(N(G$11)-1,0),0))</f>
        <v/>
      </c>
      <c r="H29" s="43">
        <f>IF(H$7="","",IF(H$10="C3",MAX(N(H$11)-1,0),0))</f>
        <v/>
      </c>
      <c r="I29" s="43">
        <f>IF(I$7="","",IF(I$10="C3",MAX(N(I$11)-1,0),0))</f>
        <v/>
      </c>
    </row>
    <row r="30" ht="15" customHeight="1" s="31">
      <c r="A30" s="44">
        <f>Paramètres!A40</f>
        <v/>
      </c>
      <c r="B30" s="45">
        <f>Paramètres!E40</f>
        <v/>
      </c>
      <c r="C30" s="43">
        <f>IF(C$7="","",Paramètres!$B$15)</f>
        <v/>
      </c>
      <c r="D30" s="43">
        <f>IF(D$7="","",Paramètres!$B$15)</f>
        <v/>
      </c>
      <c r="E30" s="43">
        <f>IF(E$7="","",Paramètres!$B$15)</f>
        <v/>
      </c>
      <c r="F30" s="43">
        <f>IF(F$7="","",Paramètres!$B$15)</f>
        <v/>
      </c>
      <c r="G30" s="43">
        <f>IF(G$7="","",Paramètres!$B$15)</f>
        <v/>
      </c>
      <c r="H30" s="43">
        <f>IF(H$7="","",Paramètres!$B$15)</f>
        <v/>
      </c>
      <c r="I30" s="43">
        <f>IF(I$7="","",Paramètres!$B$15)</f>
        <v/>
      </c>
    </row>
    <row r="31" ht="18.75" customHeight="1" s="31">
      <c r="A31" s="44">
        <f>Paramètres!A41</f>
        <v/>
      </c>
      <c r="B31" s="45">
        <f>Paramètres!E41</f>
        <v/>
      </c>
      <c r="C31" s="43">
        <f>IF(C$7="","",(C$7&gt;=Paramètres!$B$9)*1+(C$7&gt;=Paramètres!$B$10)*1)</f>
        <v/>
      </c>
      <c r="D31" s="43">
        <f>IF(D$7="","",(D$7&gt;=Paramètres!$B$9)*1+(D$7&gt;=Paramètres!$B$10)*1)</f>
        <v/>
      </c>
      <c r="E31" s="43">
        <f>IF(E$7="","",(E$7&gt;=Paramètres!$B$9)*1+(E$7&gt;=Paramètres!$B$10)*1)</f>
        <v/>
      </c>
      <c r="F31" s="43">
        <f>IF(F$7="","",(F$7&gt;=Paramètres!$B$9)*1+(F$7&gt;=Paramètres!$B$10)*1)</f>
        <v/>
      </c>
      <c r="G31" s="43">
        <f>IF(G$7="","",(G$7&gt;=Paramètres!$B$9)*1+(G$7&gt;=Paramètres!$B$10)*1)</f>
        <v/>
      </c>
      <c r="H31" s="43">
        <f>IF(H$7="","",(H$7&gt;=Paramètres!$B$9)*1+(H$7&gt;=Paramètres!$B$10)*1)</f>
        <v/>
      </c>
      <c r="I31" s="43">
        <f>IF(I$7="","",(I$7&gt;=Paramètres!$B$9)*1+(I$7&gt;=Paramètres!$B$10)*1)</f>
        <v/>
      </c>
    </row>
    <row r="32" ht="15" customHeight="1" s="31">
      <c r="A32" s="44">
        <f>Paramètres!A42</f>
        <v/>
      </c>
      <c r="B32" s="45">
        <f>Paramètres!E42</f>
        <v/>
      </c>
      <c r="C32" s="43">
        <f>IF(C$7="","",1+(C$7&gt;=Paramètres!$B$11)*1+(C$7&gt;=Paramètres!$B$12)*1)</f>
        <v/>
      </c>
      <c r="D32" s="43">
        <f>IF(D$7="","",1+(D$7&gt;=Paramètres!$B$11)*1+(D$7&gt;=Paramètres!$B$12)*1)</f>
        <v/>
      </c>
      <c r="E32" s="43">
        <f>IF(E$7="","",1+(E$7&gt;=Paramètres!$B$11)*1+(E$7&gt;=Paramètres!$B$12)*1)</f>
        <v/>
      </c>
      <c r="F32" s="43">
        <f>IF(F$7="","",1+(F$7&gt;=Paramètres!$B$11)*1+(F$7&gt;=Paramètres!$B$12)*1)</f>
        <v/>
      </c>
      <c r="G32" s="43">
        <f>IF(G$7="","",1+(G$7&gt;=Paramètres!$B$11)*1+(G$7&gt;=Paramètres!$B$12)*1)</f>
        <v/>
      </c>
      <c r="H32" s="43">
        <f>IF(H$7="","",1+(H$7&gt;=Paramètres!$B$11)*1+(H$7&gt;=Paramètres!$B$12)*1)</f>
        <v/>
      </c>
      <c r="I32" s="43">
        <f>IF(I$7="","",1+(I$7&gt;=Paramètres!$B$11)*1+(I$7&gt;=Paramètres!$B$12)*1)</f>
        <v/>
      </c>
    </row>
    <row r="33" ht="15" customHeight="1" s="31">
      <c r="A33" s="44">
        <f>Paramètres!A43</f>
        <v/>
      </c>
      <c r="B33" s="45">
        <f>Paramètres!E43</f>
        <v/>
      </c>
      <c r="C33" s="43">
        <f>IF(C$7="","",1+(C$7&gt;=Paramètres!$B$13)*1)</f>
        <v/>
      </c>
      <c r="D33" s="43">
        <f>IF(D$7="","",1+(D$7&gt;=Paramètres!$B$13)*1)</f>
        <v/>
      </c>
      <c r="E33" s="43">
        <f>IF(E$7="","",1+(E$7&gt;=Paramètres!$B$13)*1)</f>
        <v/>
      </c>
      <c r="F33" s="43">
        <f>IF(F$7="","",1+(F$7&gt;=Paramètres!$B$13)*1)</f>
        <v/>
      </c>
      <c r="G33" s="43">
        <f>IF(G$7="","",1+(G$7&gt;=Paramètres!$B$13)*1)</f>
        <v/>
      </c>
      <c r="H33" s="43">
        <f>IF(H$7="","",1+(H$7&gt;=Paramètres!$B$13)*1)</f>
        <v/>
      </c>
      <c r="I33" s="43">
        <f>IF(I$7="","",1+(I$7&gt;=Paramètres!$B$13)*1)</f>
        <v/>
      </c>
    </row>
    <row r="34" ht="15" customHeight="1" s="31">
      <c r="A34" s="44">
        <f>Paramètres!A44</f>
        <v/>
      </c>
      <c r="B34" s="45">
        <f>Paramètres!E44</f>
        <v/>
      </c>
      <c r="C34" s="43">
        <f>IF(C$7="","",IF(OR(C$10="C2",C$10="C3"),1,0))</f>
        <v/>
      </c>
      <c r="D34" s="43">
        <f>IF(D$7="","",IF(OR(D$10="C2",D$10="C3"),1,0))</f>
        <v/>
      </c>
      <c r="E34" s="43">
        <f>IF(E$7="","",IF(OR(E$10="C2",E$10="C3"),1,0))</f>
        <v/>
      </c>
      <c r="F34" s="43">
        <f>IF(F$7="","",IF(OR(F$10="C2",F$10="C3"),1,0))</f>
        <v/>
      </c>
      <c r="G34" s="43">
        <f>IF(G$7="","",IF(OR(G$10="C2",G$10="C3"),1,0))</f>
        <v/>
      </c>
      <c r="H34" s="43">
        <f>IF(H$7="","",IF(OR(H$10="C2",H$10="C3"),1,0))</f>
        <v/>
      </c>
      <c r="I34" s="43">
        <f>IF(I$7="","",IF(OR(I$10="C2",I$10="C3"),1,0))</f>
        <v/>
      </c>
    </row>
    <row r="35" ht="15" customHeight="1" s="31">
      <c r="A35" s="44">
        <f>Paramètres!A45</f>
        <v/>
      </c>
      <c r="B35" s="45">
        <f>Paramètres!E45</f>
        <v/>
      </c>
      <c r="C35" s="43">
        <f>IF(C$7="","",IF(C$10="C3",1+(C$7&gt;=Paramètres!$B$14)*1,0))</f>
        <v/>
      </c>
      <c r="D35" s="43">
        <f>IF(D$7="","",IF(D$10="C3",1+(D$7&gt;=Paramètres!$B$14)*1,0))</f>
        <v/>
      </c>
      <c r="E35" s="43">
        <f>IF(E$7="","",IF(E$10="C3",1+(E$7&gt;=Paramètres!$B$14)*1,0))</f>
        <v/>
      </c>
      <c r="F35" s="43">
        <f>IF(F$7="","",IF(F$10="C3",1+(F$7&gt;=Paramètres!$B$14)*1,0))</f>
        <v/>
      </c>
      <c r="G35" s="43">
        <f>IF(G$7="","",IF(G$10="C3",1+(G$7&gt;=Paramètres!$B$14)*1,0))</f>
        <v/>
      </c>
      <c r="H35" s="43">
        <f>IF(H$7="","",IF(H$10="C3",1+(H$7&gt;=Paramètres!$B$14)*1,0))</f>
        <v/>
      </c>
      <c r="I35" s="43">
        <f>IF(I$7="","",IF(I$10="C3",1+(I$7&gt;=Paramètres!$B$14)*1,0))</f>
        <v/>
      </c>
    </row>
    <row r="36" ht="15" customHeight="1" s="31">
      <c r="A36" s="44">
        <f>Paramètres!A46</f>
        <v/>
      </c>
      <c r="B36" s="45">
        <f>Paramètres!E46</f>
        <v/>
      </c>
      <c r="C36" s="43">
        <f>IF(C$7="","",IF(C$10="C3",1,0))</f>
        <v/>
      </c>
      <c r="D36" s="43">
        <f>IF(D$7="","",IF(D$10="C3",1,0))</f>
        <v/>
      </c>
      <c r="E36" s="43">
        <f>IF(E$7="","",IF(E$10="C3",1,0))</f>
        <v/>
      </c>
      <c r="F36" s="43">
        <f>IF(F$7="","",IF(F$10="C3",1,0))</f>
        <v/>
      </c>
      <c r="G36" s="43">
        <f>IF(G$7="","",IF(G$10="C3",1,0))</f>
        <v/>
      </c>
      <c r="H36" s="43">
        <f>IF(H$7="","",IF(H$10="C3",1,0))</f>
        <v/>
      </c>
      <c r="I36" s="43">
        <f>IF(I$7="","",IF(I$10="C3",1,0))</f>
        <v/>
      </c>
    </row>
    <row r="37" ht="18.75" customHeight="1" s="31">
      <c r="A37" s="44">
        <f>Paramètres!A47</f>
        <v/>
      </c>
      <c r="B37" s="45">
        <f>Paramètres!E47</f>
        <v/>
      </c>
      <c r="C37" s="43">
        <f>IF(C$7="","",0)</f>
        <v/>
      </c>
      <c r="D37" s="43">
        <f>IF(D$7="","",0)</f>
        <v/>
      </c>
      <c r="E37" s="43">
        <f>IF(E$7="","",0)</f>
        <v/>
      </c>
      <c r="F37" s="43">
        <f>IF(F$7="","",0)</f>
        <v/>
      </c>
      <c r="G37" s="43">
        <f>IF(G$7="","",0)</f>
        <v/>
      </c>
      <c r="H37" s="43">
        <f>IF(H$7="","",0)</f>
        <v/>
      </c>
      <c r="I37" s="43">
        <f>IF(I$7="","",0)</f>
        <v/>
      </c>
    </row>
    <row r="38" ht="15" customHeight="1" s="31">
      <c r="A38" s="44">
        <f>Paramètres!A48</f>
        <v/>
      </c>
      <c r="B38" s="45">
        <f>Paramètres!E48</f>
        <v/>
      </c>
      <c r="C38" s="43">
        <f>IF(C$7="","",IF(C$10="C3",1,0))</f>
        <v/>
      </c>
      <c r="D38" s="43">
        <f>IF(D$7="","",IF(D$10="C3",1,0))</f>
        <v/>
      </c>
      <c r="E38" s="43">
        <f>IF(E$7="","",IF(E$10="C3",1,0))</f>
        <v/>
      </c>
      <c r="F38" s="43">
        <f>IF(F$7="","",IF(F$10="C3",1,0))</f>
        <v/>
      </c>
      <c r="G38" s="43">
        <f>IF(G$7="","",IF(G$10="C3",1,0))</f>
        <v/>
      </c>
      <c r="H38" s="43">
        <f>IF(H$7="","",IF(H$10="C3",1,0))</f>
        <v/>
      </c>
      <c r="I38" s="43">
        <f>IF(I$7="","",IF(I$10="C3",1,0))</f>
        <v/>
      </c>
    </row>
    <row r="39" ht="18.75" customHeight="1" s="31">
      <c r="A39" s="44">
        <f>Paramètres!A49</f>
        <v/>
      </c>
      <c r="B39" s="45">
        <f>Paramètres!E49</f>
        <v/>
      </c>
      <c r="C39" s="43">
        <f>IF(C$7="","",IF(C$12="Oui",1,0))</f>
        <v/>
      </c>
      <c r="D39" s="43">
        <f>IF(D$7="","",IF(D$12="Oui",1,0))</f>
        <v/>
      </c>
      <c r="E39" s="43">
        <f>IF(E$7="","",IF(E$12="Oui",1,0))</f>
        <v/>
      </c>
      <c r="F39" s="43">
        <f>IF(F$7="","",IF(F$12="Oui",1,0))</f>
        <v/>
      </c>
      <c r="G39" s="43">
        <f>IF(G$7="","",IF(G$12="Oui",1,0))</f>
        <v/>
      </c>
      <c r="H39" s="43">
        <f>IF(H$7="","",IF(H$12="Oui",1,0))</f>
        <v/>
      </c>
      <c r="I39" s="43">
        <f>IF(I$7="","",IF(I$12="Oui",1,0))</f>
        <v/>
      </c>
    </row>
    <row r="40" ht="15" customHeight="1" s="31">
      <c r="A40" s="46" t="inlineStr">
        <is>
          <t>Total, chef compris</t>
        </is>
      </c>
      <c r="B40" s="47" t="n"/>
      <c r="C40" s="48">
        <f>IF(C7="","",SUM(C24:C39))</f>
        <v/>
      </c>
      <c r="D40" s="48">
        <f>IF(D7="","",SUM(D24:D39))</f>
        <v/>
      </c>
      <c r="E40" s="48">
        <f>IF(E7="","",SUM(E24:E39))</f>
        <v/>
      </c>
      <c r="F40" s="48">
        <f>IF(F7="","",SUM(F24:F39))</f>
        <v/>
      </c>
      <c r="G40" s="48">
        <f>IF(G7="","",SUM(G24:G39))</f>
        <v/>
      </c>
      <c r="H40" s="48">
        <f>IF(H7="","",SUM(H24:H39))</f>
        <v/>
      </c>
      <c r="I40" s="48">
        <f>IF(I7="","",SUM(I24:I39))</f>
        <v/>
      </c>
    </row>
    <row r="41" ht="15" customHeight="1" s="31">
      <c r="A41" s="39" t="inlineStr">
        <is>
          <t>dont postes de salle fournis par le restaurant</t>
        </is>
      </c>
      <c r="B41" s="42" t="n"/>
      <c r="C41" s="49">
        <f>IF(C7="","",IF(C13="Restaurant",SUMPRODUCT(C24:C39,Paramètres!$D$34:$D$49),0))</f>
        <v/>
      </c>
      <c r="D41" s="49">
        <f>IF(D7="","",IF(D13="Restaurant",SUMPRODUCT(D24:D39,Paramètres!$D$34:$D$49),0))</f>
        <v/>
      </c>
      <c r="E41" s="49">
        <f>IF(E7="","",IF(E13="Restaurant",SUMPRODUCT(E24:E39,Paramètres!$D$34:$D$49),0))</f>
        <v/>
      </c>
      <c r="F41" s="49">
        <f>IF(F7="","",IF(F13="Restaurant",SUMPRODUCT(F24:F39,Paramètres!$D$34:$D$49),0))</f>
        <v/>
      </c>
      <c r="G41" s="49">
        <f>IF(G7="","",IF(G13="Restaurant",SUMPRODUCT(G24:G39,Paramètres!$D$34:$D$49),0))</f>
        <v/>
      </c>
      <c r="H41" s="49">
        <f>IF(H7="","",IF(H13="Restaurant",SUMPRODUCT(H24:H39,Paramètres!$D$34:$D$49),0))</f>
        <v/>
      </c>
      <c r="I41" s="49">
        <f>IF(I7="","",IF(I13="Restaurant",SUMPRODUCT(I24:I39,Paramètres!$D$34:$D$49),0))</f>
        <v/>
      </c>
    </row>
    <row r="42" ht="15" customHeight="1" s="31">
      <c r="A42" s="46" t="inlineStr">
        <is>
          <t>Total à mobiliser par nous</t>
        </is>
      </c>
      <c r="B42" s="47" t="n"/>
      <c r="C42" s="48">
        <f>IF(C7="","",C40-C41)</f>
        <v/>
      </c>
      <c r="D42" s="48">
        <f>IF(D7="","",D40-D41)</f>
        <v/>
      </c>
      <c r="E42" s="48">
        <f>IF(E7="","",E40-E41)</f>
        <v/>
      </c>
      <c r="F42" s="48">
        <f>IF(F7="","",F40-F41)</f>
        <v/>
      </c>
      <c r="G42" s="48">
        <f>IF(G7="","",G40-G41)</f>
        <v/>
      </c>
      <c r="H42" s="48">
        <f>IF(H7="","",H40-H41)</f>
        <v/>
      </c>
      <c r="I42" s="48">
        <f>IF(I7="","",I40-I41)</f>
        <v/>
      </c>
    </row>
    <row r="43" ht="15" customHeight="1" s="31">
      <c r="A43" s="39" t="inlineStr">
        <is>
          <t>Heures de travail (à mobiliser par nous)</t>
        </is>
      </c>
      <c r="B43" s="40" t="inlineStr">
        <is>
          <t>reste à 0 tant que les heures ne sont pas saisies</t>
        </is>
      </c>
      <c r="C43" s="50">
        <f>IF(C7="","",SUMPRODUCT(C24:C39,Paramètres!$B$34:$B$49)-IF(C13="Restaurant",SUMPRODUCT(C24:C39,Paramètres!$B$34:$B$49,Paramètres!$D$34:$D$49),0))</f>
        <v/>
      </c>
      <c r="D43" s="50">
        <f>IF(D7="","",SUMPRODUCT(D24:D39,Paramètres!$B$34:$B$49)-IF(D13="Restaurant",SUMPRODUCT(D24:D39,Paramètres!$B$34:$B$49,Paramètres!$D$34:$D$49),0))</f>
        <v/>
      </c>
      <c r="E43" s="50">
        <f>IF(E7="","",SUMPRODUCT(E24:E39,Paramètres!$B$34:$B$49)-IF(E13="Restaurant",SUMPRODUCT(E24:E39,Paramètres!$B$34:$B$49,Paramètres!$D$34:$D$49),0))</f>
        <v/>
      </c>
      <c r="F43" s="50">
        <f>IF(F7="","",SUMPRODUCT(F24:F39,Paramètres!$B$34:$B$49)-IF(F13="Restaurant",SUMPRODUCT(F24:F39,Paramètres!$B$34:$B$49,Paramètres!$D$34:$D$49),0))</f>
        <v/>
      </c>
      <c r="G43" s="50">
        <f>IF(G7="","",SUMPRODUCT(G24:G39,Paramètres!$B$34:$B$49)-IF(G13="Restaurant",SUMPRODUCT(G24:G39,Paramètres!$B$34:$B$49,Paramètres!$D$34:$D$49),0))</f>
        <v/>
      </c>
      <c r="H43" s="50">
        <f>IF(H7="","",SUMPRODUCT(H24:H39,Paramètres!$B$34:$B$49)-IF(H13="Restaurant",SUMPRODUCT(H24:H39,Paramètres!$B$34:$B$49,Paramètres!$D$34:$D$49),0))</f>
        <v/>
      </c>
      <c r="I43" s="50">
        <f>IF(I7="","",SUMPRODUCT(I24:I39,Paramètres!$B$34:$B$49)-IF(I13="Restaurant",SUMPRODUCT(I24:I39,Paramètres!$B$34:$B$49,Paramètres!$D$34:$D$49),0))</f>
        <v/>
      </c>
    </row>
    <row r="44" ht="15" customHeight="1" s="31">
      <c r="A44" s="46" t="inlineStr">
        <is>
          <t>Coût de personnel hors cachet du chef (€)</t>
        </is>
      </c>
      <c r="B44" s="51" t="inlineStr">
        <is>
          <t>reste à 0 tant que les heures et les taux ne sont pas saisis</t>
        </is>
      </c>
      <c r="C44" s="52">
        <f>IF(C7="","",SUMPRODUCT(C24:C39,Paramètres!$B$34:$B$49,Paramètres!$C$34:$C$49)-IF(C13="Restaurant",SUMPRODUCT(C24:C39,Paramètres!$B$34:$B$49,Paramètres!$C$34:$C$49,Paramètres!$D$34:$D$49),0))</f>
        <v/>
      </c>
      <c r="D44" s="52">
        <f>IF(D7="","",SUMPRODUCT(D24:D39,Paramètres!$B$34:$B$49,Paramètres!$C$34:$C$49)-IF(D13="Restaurant",SUMPRODUCT(D24:D39,Paramètres!$B$34:$B$49,Paramètres!$C$34:$C$49,Paramètres!$D$34:$D$49),0))</f>
        <v/>
      </c>
      <c r="E44" s="52">
        <f>IF(E7="","",SUMPRODUCT(E24:E39,Paramètres!$B$34:$B$49,Paramètres!$C$34:$C$49)-IF(E13="Restaurant",SUMPRODUCT(E24:E39,Paramètres!$B$34:$B$49,Paramètres!$C$34:$C$49,Paramètres!$D$34:$D$49),0))</f>
        <v/>
      </c>
      <c r="F44" s="52">
        <f>IF(F7="","",SUMPRODUCT(F24:F39,Paramètres!$B$34:$B$49,Paramètres!$C$34:$C$49)-IF(F13="Restaurant",SUMPRODUCT(F24:F39,Paramètres!$B$34:$B$49,Paramètres!$C$34:$C$49,Paramètres!$D$34:$D$49),0))</f>
        <v/>
      </c>
      <c r="G44" s="52">
        <f>IF(G7="","",SUMPRODUCT(G24:G39,Paramètres!$B$34:$B$49,Paramètres!$C$34:$C$49)-IF(G13="Restaurant",SUMPRODUCT(G24:G39,Paramètres!$B$34:$B$49,Paramètres!$C$34:$C$49,Paramètres!$D$34:$D$49),0))</f>
        <v/>
      </c>
      <c r="H44" s="52">
        <f>IF(H7="","",SUMPRODUCT(H24:H39,Paramètres!$B$34:$B$49,Paramètres!$C$34:$C$49)-IF(H13="Restaurant",SUMPRODUCT(H24:H39,Paramètres!$B$34:$B$49,Paramètres!$C$34:$C$49,Paramètres!$D$34:$D$49),0))</f>
        <v/>
      </c>
      <c r="I44" s="52">
        <f>IF(I7="","",SUMPRODUCT(I24:I39,Paramètres!$B$34:$B$49,Paramètres!$C$34:$C$49)-IF(I13="Restaurant",SUMPRODUCT(I24:I39,Paramètres!$B$34:$B$49,Paramètres!$C$34:$C$49,Paramètres!$D$34:$D$49),0))</f>
        <v/>
      </c>
    </row>
    <row r="46" ht="15" customHeight="1" s="31">
      <c r="A46" s="38" t="inlineStr">
        <is>
          <t>Process à appliquer</t>
        </is>
      </c>
      <c r="B46" s="38" t="n"/>
      <c r="C46" s="38" t="n"/>
      <c r="D46" s="38" t="n"/>
      <c r="E46" s="38" t="n"/>
      <c r="F46" s="38" t="n"/>
      <c r="G46" s="38" t="n"/>
      <c r="H46" s="38" t="n"/>
      <c r="I46" s="38" t="n"/>
    </row>
    <row r="47" ht="21.75" customHeight="1" s="31">
      <c r="A47" s="44">
        <f>Paramètres!A55</f>
        <v/>
      </c>
      <c r="B47" s="42" t="n"/>
      <c r="C47" s="53">
        <f>IF(C$10="","",INDEX(Paramètres!$B$55:$D$55,MATCH(C$10,Paramètres!$B$54:$D$54,0)))</f>
        <v/>
      </c>
      <c r="D47" s="53">
        <f>IF(D$10="","",INDEX(Paramètres!$B$55:$D$55,MATCH(D$10,Paramètres!$B$54:$D$54,0)))</f>
        <v/>
      </c>
      <c r="E47" s="53">
        <f>IF(E$10="","",INDEX(Paramètres!$B$55:$D$55,MATCH(E$10,Paramètres!$B$54:$D$54,0)))</f>
        <v/>
      </c>
      <c r="F47" s="53">
        <f>IF(F$10="","",INDEX(Paramètres!$B$55:$D$55,MATCH(F$10,Paramètres!$B$54:$D$54,0)))</f>
        <v/>
      </c>
      <c r="G47" s="53">
        <f>IF(G$10="","",INDEX(Paramètres!$B$55:$D$55,MATCH(G$10,Paramètres!$B$54:$D$54,0)))</f>
        <v/>
      </c>
      <c r="H47" s="53">
        <f>IF(H$10="","",INDEX(Paramètres!$B$55:$D$55,MATCH(H$10,Paramètres!$B$54:$D$54,0)))</f>
        <v/>
      </c>
      <c r="I47" s="53">
        <f>IF(I$10="","",INDEX(Paramètres!$B$55:$D$55,MATCH(I$10,Paramètres!$B$54:$D$54,0)))</f>
        <v/>
      </c>
    </row>
    <row r="48" ht="32.25" customHeight="1" s="31">
      <c r="A48" s="44">
        <f>Paramètres!A56</f>
        <v/>
      </c>
      <c r="B48" s="42" t="n"/>
      <c r="C48" s="53">
        <f>IF(C$10="","",INDEX(Paramètres!$B$56:$D$56,MATCH(C$10,Paramètres!$B$54:$D$54,0)))</f>
        <v/>
      </c>
      <c r="D48" s="53">
        <f>IF(D$10="","",INDEX(Paramètres!$B$56:$D$56,MATCH(D$10,Paramètres!$B$54:$D$54,0)))</f>
        <v/>
      </c>
      <c r="E48" s="53">
        <f>IF(E$10="","",INDEX(Paramètres!$B$56:$D$56,MATCH(E$10,Paramètres!$B$54:$D$54,0)))</f>
        <v/>
      </c>
      <c r="F48" s="53">
        <f>IF(F$10="","",INDEX(Paramètres!$B$56:$D$56,MATCH(F$10,Paramètres!$B$54:$D$54,0)))</f>
        <v/>
      </c>
      <c r="G48" s="53">
        <f>IF(G$10="","",INDEX(Paramètres!$B$56:$D$56,MATCH(G$10,Paramètres!$B$54:$D$54,0)))</f>
        <v/>
      </c>
      <c r="H48" s="53">
        <f>IF(H$10="","",INDEX(Paramètres!$B$56:$D$56,MATCH(H$10,Paramètres!$B$54:$D$54,0)))</f>
        <v/>
      </c>
      <c r="I48" s="53">
        <f>IF(I$10="","",INDEX(Paramètres!$B$56:$D$56,MATCH(I$10,Paramètres!$B$54:$D$54,0)))</f>
        <v/>
      </c>
    </row>
    <row r="49" ht="21.75" customHeight="1" s="31">
      <c r="A49" s="44">
        <f>Paramètres!A57</f>
        <v/>
      </c>
      <c r="B49" s="42" t="n"/>
      <c r="C49" s="53">
        <f>IF(C$10="","",INDEX(Paramètres!$B$57:$D$57,MATCH(C$10,Paramètres!$B$54:$D$54,0)))</f>
        <v/>
      </c>
      <c r="D49" s="53">
        <f>IF(D$10="","",INDEX(Paramètres!$B$57:$D$57,MATCH(D$10,Paramètres!$B$54:$D$54,0)))</f>
        <v/>
      </c>
      <c r="E49" s="53">
        <f>IF(E$10="","",INDEX(Paramètres!$B$57:$D$57,MATCH(E$10,Paramètres!$B$54:$D$54,0)))</f>
        <v/>
      </c>
      <c r="F49" s="53">
        <f>IF(F$10="","",INDEX(Paramètres!$B$57:$D$57,MATCH(F$10,Paramètres!$B$54:$D$54,0)))</f>
        <v/>
      </c>
      <c r="G49" s="53">
        <f>IF(G$10="","",INDEX(Paramètres!$B$57:$D$57,MATCH(G$10,Paramètres!$B$54:$D$54,0)))</f>
        <v/>
      </c>
      <c r="H49" s="53">
        <f>IF(H$10="","",INDEX(Paramètres!$B$57:$D$57,MATCH(H$10,Paramètres!$B$54:$D$54,0)))</f>
        <v/>
      </c>
      <c r="I49" s="53">
        <f>IF(I$10="","",INDEX(Paramètres!$B$57:$D$57,MATCH(I$10,Paramètres!$B$54:$D$54,0)))</f>
        <v/>
      </c>
    </row>
    <row r="50" ht="21.75" customHeight="1" s="31">
      <c r="A50" s="44">
        <f>Paramètres!A58</f>
        <v/>
      </c>
      <c r="B50" s="42" t="n"/>
      <c r="C50" s="53">
        <f>IF(C$10="","",INDEX(Paramètres!$B$58:$D$58,MATCH(C$10,Paramètres!$B$54:$D$54,0)))</f>
        <v/>
      </c>
      <c r="D50" s="53">
        <f>IF(D$10="","",INDEX(Paramètres!$B$58:$D$58,MATCH(D$10,Paramètres!$B$54:$D$54,0)))</f>
        <v/>
      </c>
      <c r="E50" s="53">
        <f>IF(E$10="","",INDEX(Paramètres!$B$58:$D$58,MATCH(E$10,Paramètres!$B$54:$D$54,0)))</f>
        <v/>
      </c>
      <c r="F50" s="53">
        <f>IF(F$10="","",INDEX(Paramètres!$B$58:$D$58,MATCH(F$10,Paramètres!$B$54:$D$54,0)))</f>
        <v/>
      </c>
      <c r="G50" s="53">
        <f>IF(G$10="","",INDEX(Paramètres!$B$58:$D$58,MATCH(G$10,Paramètres!$B$54:$D$54,0)))</f>
        <v/>
      </c>
      <c r="H50" s="53">
        <f>IF(H$10="","",INDEX(Paramètres!$B$58:$D$58,MATCH(H$10,Paramètres!$B$54:$D$54,0)))</f>
        <v/>
      </c>
      <c r="I50" s="53">
        <f>IF(I$10="","",INDEX(Paramètres!$B$58:$D$58,MATCH(I$10,Paramètres!$B$54:$D$54,0)))</f>
        <v/>
      </c>
    </row>
    <row r="51" ht="21.75" customHeight="1" s="31">
      <c r="A51" s="44">
        <f>Paramètres!A59</f>
        <v/>
      </c>
      <c r="B51" s="42" t="n"/>
      <c r="C51" s="53">
        <f>IF(C$10="","",INDEX(Paramètres!$B$59:$D$59,MATCH(C$10,Paramètres!$B$54:$D$54,0)))</f>
        <v/>
      </c>
      <c r="D51" s="53">
        <f>IF(D$10="","",INDEX(Paramètres!$B$59:$D$59,MATCH(D$10,Paramètres!$B$54:$D$54,0)))</f>
        <v/>
      </c>
      <c r="E51" s="53">
        <f>IF(E$10="","",INDEX(Paramètres!$B$59:$D$59,MATCH(E$10,Paramètres!$B$54:$D$54,0)))</f>
        <v/>
      </c>
      <c r="F51" s="53">
        <f>IF(F$10="","",INDEX(Paramètres!$B$59:$D$59,MATCH(F$10,Paramètres!$B$54:$D$54,0)))</f>
        <v/>
      </c>
      <c r="G51" s="53">
        <f>IF(G$10="","",INDEX(Paramètres!$B$59:$D$59,MATCH(G$10,Paramètres!$B$54:$D$54,0)))</f>
        <v/>
      </c>
      <c r="H51" s="53">
        <f>IF(H$10="","",INDEX(Paramètres!$B$59:$D$59,MATCH(H$10,Paramètres!$B$54:$D$54,0)))</f>
        <v/>
      </c>
      <c r="I51" s="53">
        <f>IF(I$10="","",INDEX(Paramètres!$B$59:$D$59,MATCH(I$10,Paramètres!$B$54:$D$54,0)))</f>
        <v/>
      </c>
    </row>
    <row r="52" ht="15" customHeight="1" s="31">
      <c r="A52" s="44">
        <f>Paramètres!A60</f>
        <v/>
      </c>
      <c r="B52" s="42" t="n"/>
      <c r="C52" s="53">
        <f>IF(C$10="","",INDEX(Paramètres!$B$60:$D$60,MATCH(C$10,Paramètres!$B$54:$D$54,0)))</f>
        <v/>
      </c>
      <c r="D52" s="53">
        <f>IF(D$10="","",INDEX(Paramètres!$B$60:$D$60,MATCH(D$10,Paramètres!$B$54:$D$54,0)))</f>
        <v/>
      </c>
      <c r="E52" s="53">
        <f>IF(E$10="","",INDEX(Paramètres!$B$60:$D$60,MATCH(E$10,Paramètres!$B$54:$D$54,0)))</f>
        <v/>
      </c>
      <c r="F52" s="53">
        <f>IF(F$10="","",INDEX(Paramètres!$B$60:$D$60,MATCH(F$10,Paramètres!$B$54:$D$54,0)))</f>
        <v/>
      </c>
      <c r="G52" s="53">
        <f>IF(G$10="","",INDEX(Paramètres!$B$60:$D$60,MATCH(G$10,Paramètres!$B$54:$D$54,0)))</f>
        <v/>
      </c>
      <c r="H52" s="53">
        <f>IF(H$10="","",INDEX(Paramètres!$B$60:$D$60,MATCH(H$10,Paramètres!$B$54:$D$54,0)))</f>
        <v/>
      </c>
      <c r="I52" s="53">
        <f>IF(I$10="","",INDEX(Paramètres!$B$60:$D$60,MATCH(I$10,Paramètres!$B$54:$D$54,0)))</f>
        <v/>
      </c>
    </row>
    <row r="53" ht="21.75" customHeight="1" s="31">
      <c r="A53" s="44">
        <f>Paramètres!A61</f>
        <v/>
      </c>
      <c r="B53" s="42" t="n"/>
      <c r="C53" s="53">
        <f>IF(C$10="","",INDEX(Paramètres!$B$61:$D$61,MATCH(C$10,Paramètres!$B$54:$D$54,0)))</f>
        <v/>
      </c>
      <c r="D53" s="53">
        <f>IF(D$10="","",INDEX(Paramètres!$B$61:$D$61,MATCH(D$10,Paramètres!$B$54:$D$54,0)))</f>
        <v/>
      </c>
      <c r="E53" s="53">
        <f>IF(E$10="","",INDEX(Paramètres!$B$61:$D$61,MATCH(E$10,Paramètres!$B$54:$D$54,0)))</f>
        <v/>
      </c>
      <c r="F53" s="53">
        <f>IF(F$10="","",INDEX(Paramètres!$B$61:$D$61,MATCH(F$10,Paramètres!$B$54:$D$54,0)))</f>
        <v/>
      </c>
      <c r="G53" s="53">
        <f>IF(G$10="","",INDEX(Paramètres!$B$61:$D$61,MATCH(G$10,Paramètres!$B$54:$D$54,0)))</f>
        <v/>
      </c>
      <c r="H53" s="53">
        <f>IF(H$10="","",INDEX(Paramètres!$B$61:$D$61,MATCH(H$10,Paramètres!$B$54:$D$54,0)))</f>
        <v/>
      </c>
      <c r="I53" s="53">
        <f>IF(I$10="","",INDEX(Paramètres!$B$61:$D$61,MATCH(I$10,Paramètres!$B$54:$D$54,0)))</f>
        <v/>
      </c>
    </row>
    <row r="54" ht="15" customHeight="1" s="31">
      <c r="A54" s="44">
        <f>Paramètres!A62</f>
        <v/>
      </c>
      <c r="B54" s="42" t="n"/>
      <c r="C54" s="53">
        <f>IF(C$10="","",INDEX(Paramètres!$B$62:$D$62,MATCH(C$10,Paramètres!$B$54:$D$54,0)))</f>
        <v/>
      </c>
      <c r="D54" s="53">
        <f>IF(D$10="","",INDEX(Paramètres!$B$62:$D$62,MATCH(D$10,Paramètres!$B$54:$D$54,0)))</f>
        <v/>
      </c>
      <c r="E54" s="53">
        <f>IF(E$10="","",INDEX(Paramètres!$B$62:$D$62,MATCH(E$10,Paramètres!$B$54:$D$54,0)))</f>
        <v/>
      </c>
      <c r="F54" s="53">
        <f>IF(F$10="","",INDEX(Paramètres!$B$62:$D$62,MATCH(F$10,Paramètres!$B$54:$D$54,0)))</f>
        <v/>
      </c>
      <c r="G54" s="53">
        <f>IF(G$10="","",INDEX(Paramètres!$B$62:$D$62,MATCH(G$10,Paramètres!$B$54:$D$54,0)))</f>
        <v/>
      </c>
      <c r="H54" s="53">
        <f>IF(H$10="","",INDEX(Paramètres!$B$62:$D$62,MATCH(H$10,Paramètres!$B$54:$D$54,0)))</f>
        <v/>
      </c>
      <c r="I54" s="53">
        <f>IF(I$10="","",INDEX(Paramètres!$B$62:$D$62,MATCH(I$10,Paramètres!$B$54:$D$54,0)))</f>
        <v/>
      </c>
    </row>
    <row r="55" ht="21.75" customHeight="1" s="31">
      <c r="A55" s="44">
        <f>Paramètres!A63</f>
        <v/>
      </c>
      <c r="B55" s="42" t="n"/>
      <c r="C55" s="53">
        <f>IF(C$10="","",INDEX(Paramètres!$B$63:$D$63,MATCH(C$10,Paramètres!$B$54:$D$54,0)))</f>
        <v/>
      </c>
      <c r="D55" s="53">
        <f>IF(D$10="","",INDEX(Paramètres!$B$63:$D$63,MATCH(D$10,Paramètres!$B$54:$D$54,0)))</f>
        <v/>
      </c>
      <c r="E55" s="53">
        <f>IF(E$10="","",INDEX(Paramètres!$B$63:$D$63,MATCH(E$10,Paramètres!$B$54:$D$54,0)))</f>
        <v/>
      </c>
      <c r="F55" s="53">
        <f>IF(F$10="","",INDEX(Paramètres!$B$63:$D$63,MATCH(F$10,Paramètres!$B$54:$D$54,0)))</f>
        <v/>
      </c>
      <c r="G55" s="53">
        <f>IF(G$10="","",INDEX(Paramètres!$B$63:$D$63,MATCH(G$10,Paramètres!$B$54:$D$54,0)))</f>
        <v/>
      </c>
      <c r="H55" s="53">
        <f>IF(H$10="","",INDEX(Paramètres!$B$63:$D$63,MATCH(H$10,Paramètres!$B$54:$D$54,0)))</f>
        <v/>
      </c>
      <c r="I55" s="53">
        <f>IF(I$10="","",INDEX(Paramètres!$B$63:$D$63,MATCH(I$10,Paramètres!$B$54:$D$54,0)))</f>
        <v/>
      </c>
    </row>
    <row r="56" ht="15" customHeight="1" s="31">
      <c r="A56" s="44">
        <f>Paramètres!A64</f>
        <v/>
      </c>
      <c r="B56" s="42" t="n"/>
      <c r="C56" s="53">
        <f>IF(C$10="","",INDEX(Paramètres!$B$64:$D$64,MATCH(C$10,Paramètres!$B$54:$D$54,0)))</f>
        <v/>
      </c>
      <c r="D56" s="53">
        <f>IF(D$10="","",INDEX(Paramètres!$B$64:$D$64,MATCH(D$10,Paramètres!$B$54:$D$54,0)))</f>
        <v/>
      </c>
      <c r="E56" s="53">
        <f>IF(E$10="","",INDEX(Paramètres!$B$64:$D$64,MATCH(E$10,Paramètres!$B$54:$D$54,0)))</f>
        <v/>
      </c>
      <c r="F56" s="53">
        <f>IF(F$10="","",INDEX(Paramètres!$B$64:$D$64,MATCH(F$10,Paramètres!$B$54:$D$54,0)))</f>
        <v/>
      </c>
      <c r="G56" s="53">
        <f>IF(G$10="","",INDEX(Paramètres!$B$64:$D$64,MATCH(G$10,Paramètres!$B$54:$D$54,0)))</f>
        <v/>
      </c>
      <c r="H56" s="53">
        <f>IF(H$10="","",INDEX(Paramètres!$B$64:$D$64,MATCH(H$10,Paramètres!$B$54:$D$54,0)))</f>
        <v/>
      </c>
      <c r="I56" s="53">
        <f>IF(I$10="","",INDEX(Paramètres!$B$64:$D$64,MATCH(I$10,Paramètres!$B$54:$D$54,0)))</f>
        <v/>
      </c>
    </row>
  </sheetData>
  <dataValidations count="3">
    <dataValidation sqref="C10:I10" showDropDown="0" showInputMessage="0" showErrorMessage="0" allowBlank="1" type="list" errorStyle="stop" operator="between">
      <formula1>"C1,C2,C3"</formula1>
      <formula2>0</formula2>
    </dataValidation>
    <dataValidation sqref="C12:I12" showDropDown="0" showInputMessage="0" showErrorMessage="0" allowBlank="1" type="list" errorStyle="stop" operator="between">
      <formula1>"Oui,Non"</formula1>
      <formula2>0</formula2>
    </dataValidation>
    <dataValidation sqref="C13:I13" showDropDown="0" showInputMessage="0" showErrorMessage="0" allowBlank="1" type="list" errorStyle="stop" operator="between">
      <formula1>"Nous,Restaurant"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7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30" min="1" max="1"/>
    <col width="22" customWidth="1" style="30" min="2" max="2"/>
    <col width="24" customWidth="1" style="30" min="3" max="3"/>
    <col width="60" customWidth="1" style="30" min="4" max="5"/>
  </cols>
  <sheetData>
    <row r="1" ht="17.25" customHeight="1" s="31">
      <c r="A1" s="36" t="inlineStr">
        <is>
          <t>Paramètres du calculateur</t>
        </is>
      </c>
    </row>
    <row r="2" ht="15" customHeight="1" s="31">
      <c r="A2" s="37" t="inlineStr">
        <is>
          <t>Cellules jaunes modifiables. Chaque valeur porte sa nature et sa source.</t>
        </is>
      </c>
    </row>
    <row r="4" ht="15" customHeight="1" s="31">
      <c r="A4" s="54" t="inlineStr">
        <is>
          <t>Paramètre</t>
        </is>
      </c>
      <c r="B4" s="54" t="inlineStr">
        <is>
          <t>Valeur</t>
        </is>
      </c>
      <c r="C4" s="54" t="inlineStr">
        <is>
          <t>Nature</t>
        </is>
      </c>
      <c r="D4" s="54" t="inlineStr">
        <is>
          <t>Source / justification</t>
        </is>
      </c>
    </row>
    <row r="5" ht="57" customHeight="1" s="31">
      <c r="A5" s="55" t="inlineStr">
        <is>
          <t>Couverts par serveur</t>
        </is>
      </c>
      <c r="B5" s="41" t="n">
        <v>14</v>
      </c>
      <c r="C5" s="43" t="inlineStr">
        <is>
          <t>P</t>
        </is>
      </c>
      <c r="D5" s="55" t="inlineStr">
        <is>
          <t>28/10/2026 : 14 couverts par serveur (au lieu de 7), pour garder 3 serveurs à 40 couverts, comme en S3 à 24 couverts (orientation du responsable Opérations : même effectif malgré la hausse des jauges). Repères de marché : 1 pour 8-10 en VIP, 10-12 à l'assiette (pebb.io, workstaff.app). Compensé par un menu à forte mise en place (cahier des charges du chef).</t>
        </is>
      </c>
    </row>
    <row r="6" ht="23.25" customHeight="1" s="31">
      <c r="A6" s="55" t="inlineStr">
        <is>
          <t>Couverts par membre de brigade (hors chef)</t>
        </is>
      </c>
      <c r="B6" s="41" t="n">
        <v>15</v>
      </c>
      <c r="C6" s="43" t="inlineStr">
        <is>
          <t>P</t>
        </is>
      </c>
      <c r="D6" s="55" t="inlineStr">
        <is>
          <t>28/10/2026 : 15 couverts par membre de brigade hors chef (au lieu de 10) : 3 à 40 et 35 couverts, 2 à 30 couverts. Condition : menu conçu pour la mise en place (cahier des charges du chef). Repère traiteur : 3 cuisiniers pour 50 convives (workstaff.app).</t>
        </is>
      </c>
    </row>
    <row r="7" ht="15" customHeight="1" s="31">
      <c r="A7" s="55" t="inlineStr">
        <is>
          <t>Seuil : 1 maître d'hôtel à partir de (couverts)</t>
        </is>
      </c>
      <c r="B7" s="41" t="n">
        <v>9</v>
      </c>
      <c r="C7" s="43" t="inlineStr">
        <is>
          <t>P</t>
        </is>
      </c>
      <c r="D7" s="55" t="inlineStr">
        <is>
          <t>En dessous, le winemaker et le chef tiennent la salle (pas de sommelier depuis le 29/10/2026).</t>
        </is>
      </c>
    </row>
    <row r="8" ht="15" customHeight="1" s="31">
      <c r="A8" s="55" t="inlineStr">
        <is>
          <t>Seuil : 2e maître d'hôtel à partir de</t>
        </is>
      </c>
      <c r="B8" s="41" t="n">
        <v>41</v>
      </c>
      <c r="C8" s="43" t="inlineStr">
        <is>
          <t>P</t>
        </is>
      </c>
      <c r="D8" s="55" t="inlineStr">
        <is>
          <t>Classe T4 haute.</t>
        </is>
      </c>
    </row>
    <row r="9" ht="15" customHeight="1" s="31">
      <c r="A9" s="55" t="inlineStr">
        <is>
          <t>Seuil : 1 aide sommelier à partir de</t>
        </is>
      </c>
      <c r="B9" s="41" t="n">
        <v>21</v>
      </c>
      <c r="C9" s="43" t="inlineStr">
        <is>
          <t>P</t>
        </is>
      </c>
      <c r="D9" s="55" t="inlineStr">
        <is>
          <t>Seuil de 21 couverts : pas d'aide sommelier en dessous. L'aide sommelier sert les accords vins et jus présentés par le winemaker d'AdVini.</t>
        </is>
      </c>
    </row>
    <row r="10" ht="15" customHeight="1" s="31">
      <c r="A10" s="55" t="inlineStr">
        <is>
          <t>Seuil : 2e aide sommelier à partir de</t>
        </is>
      </c>
      <c r="B10" s="41" t="n">
        <v>41</v>
      </c>
      <c r="C10" s="43" t="inlineStr">
        <is>
          <t>P</t>
        </is>
      </c>
      <c r="D10" s="55" t="n"/>
    </row>
    <row r="11" ht="23.25" customHeight="1" s="31">
      <c r="A11" s="55" t="inlineStr">
        <is>
          <t>Seuil : 2e plongeur à partir de</t>
        </is>
      </c>
      <c r="B11" s="41" t="n">
        <v>41</v>
      </c>
      <c r="C11" s="43" t="inlineStr">
        <is>
          <t>P</t>
        </is>
      </c>
      <c r="D11" s="55" t="inlineStr">
        <is>
          <t>28/10/2026 : seuil porté de 17 à 41 couverts (levier L3 : reprise de la vaisselle sale par le loueur ; H, réponse d'Options attendue). Repère : 2 personnes dès qu'un lave-vaisselle tourne (ellenskitchen.com).</t>
        </is>
      </c>
    </row>
    <row r="12" ht="15" customHeight="1" s="31">
      <c r="A12" s="55" t="inlineStr">
        <is>
          <t>Seuil : 3e plongeur à partir de</t>
        </is>
      </c>
      <c r="B12" s="41" t="n">
        <v>41</v>
      </c>
      <c r="C12" s="43" t="inlineStr">
        <is>
          <t>P</t>
        </is>
      </c>
      <c r="D12" s="55" t="n"/>
    </row>
    <row r="13" ht="15" customHeight="1" s="31">
      <c r="A13" s="55" t="inlineStr">
        <is>
          <t>Seuil : 2e responsable de production à partir de</t>
        </is>
      </c>
      <c r="B13" s="41" t="n">
        <v>41</v>
      </c>
      <c r="C13" s="43" t="inlineStr">
        <is>
          <t>P</t>
        </is>
      </c>
      <c r="D13" s="55" t="inlineStr">
        <is>
          <t>28/10/2026 : seuil porté de 31 à 41 couverts (même effectif malgré la hausse des jauges ; un seul responsable de production jusqu'à 40 couverts).</t>
        </is>
      </c>
    </row>
    <row r="14" ht="15" customHeight="1" s="31">
      <c r="A14" s="55" t="inlineStr">
        <is>
          <t>Seuil : 2e hôte d'accueil (C3) à partir de</t>
        </is>
      </c>
      <c r="B14" s="41" t="n">
        <v>41</v>
      </c>
      <c r="C14" s="43" t="inlineStr">
        <is>
          <t>P</t>
        </is>
      </c>
      <c r="D14" s="55" t="n"/>
    </row>
    <row r="15">
      <c r="A15" s="55" t="inlineStr">
        <is>
          <t>Sommelier invité payé par nous (1 = oui, 0 = non)</t>
        </is>
      </c>
      <c r="B15" s="41" t="n">
        <v>0</v>
      </c>
      <c r="C15" s="43" t="inlineStr">
        <is>
          <t>P</t>
        </is>
      </c>
      <c r="D15" s="55" t="inlineStr">
        <is>
          <t>29/10/2026, orientation du responsable Opérations : pas de sommelier. AdVini envoie un winemaker (format « wine maker dinner ») qui conçoit et présente les accords, sans être rémunéré. Pop Tables achète les vins et les vend sous sa propre licence (D-09 ; contrat M04 du Juridique). Accord avec AdVini non signé à ce jour.</t>
        </is>
      </c>
    </row>
    <row r="17" ht="15" customHeight="1" s="31">
      <c r="A17" s="56" t="inlineStr">
        <is>
          <t>Classes de taille</t>
        </is>
      </c>
    </row>
    <row r="18" ht="15" customHeight="1" s="31">
      <c r="A18" s="54" t="inlineStr">
        <is>
          <t>Classe</t>
        </is>
      </c>
      <c r="B18" s="54" t="inlineStr">
        <is>
          <t>Jusqu'à (couverts)</t>
        </is>
      </c>
      <c r="C18" s="54" t="inlineStr">
        <is>
          <t>Libellé</t>
        </is>
      </c>
      <c r="D18" s="54" t="inlineStr">
        <is>
          <t>Dans le périmètre ?</t>
        </is>
      </c>
    </row>
    <row r="19" ht="15" customHeight="1" s="31">
      <c r="A19" s="43" t="inlineStr">
        <is>
          <t>T1</t>
        </is>
      </c>
      <c r="B19" s="41" t="n">
        <v>8</v>
      </c>
      <c r="C19" s="42" t="inlineStr">
        <is>
          <t>Intime</t>
        </is>
      </c>
      <c r="D19" s="55" t="inlineStr">
        <is>
          <t>Oui</t>
        </is>
      </c>
    </row>
    <row r="20" ht="15" customHeight="1" s="31">
      <c r="A20" s="43" t="inlineStr">
        <is>
          <t>T2</t>
        </is>
      </c>
      <c r="B20" s="41" t="n">
        <v>16</v>
      </c>
      <c r="C20" s="42" t="inlineStr">
        <is>
          <t>Table</t>
        </is>
      </c>
      <c r="D20" s="55" t="inlineStr">
        <is>
          <t>Oui</t>
        </is>
      </c>
    </row>
    <row r="21" ht="15" customHeight="1" s="31">
      <c r="A21" s="43" t="inlineStr">
        <is>
          <t>T3</t>
        </is>
      </c>
      <c r="B21" s="41" t="n">
        <v>30</v>
      </c>
      <c r="C21" s="42" t="inlineStr">
        <is>
          <t>Salle</t>
        </is>
      </c>
      <c r="D21" s="55" t="inlineStr">
        <is>
          <t>Oui : cœur de l'offre</t>
        </is>
      </c>
    </row>
    <row r="22" ht="15" customHeight="1" s="31">
      <c r="A22" s="43" t="inlineStr">
        <is>
          <t>T4</t>
        </is>
      </c>
      <c r="B22" s="41" t="n">
        <v>60</v>
      </c>
      <c r="C22" s="42" t="inlineStr">
        <is>
          <t>Grand</t>
        </is>
      </c>
      <c r="D22" s="55" t="inlineStr">
        <is>
          <t>Oui, au cas par cas</t>
        </is>
      </c>
    </row>
    <row r="23" ht="15" customHeight="1" s="31">
      <c r="A23" s="43" t="inlineStr">
        <is>
          <t>T5</t>
        </is>
      </c>
      <c r="B23" s="41" t="n">
        <v>100000</v>
      </c>
      <c r="C23" s="42" t="inlineStr">
        <is>
          <t>Très grand</t>
        </is>
      </c>
      <c r="D23" s="55" t="inlineStr">
        <is>
          <t>Non à ce stade (décision Direction)</t>
        </is>
      </c>
    </row>
    <row r="26" ht="15" customHeight="1" s="31">
      <c r="A26" s="56" t="inlineStr">
        <is>
          <t>Niveaux de criticité</t>
        </is>
      </c>
    </row>
    <row r="27" ht="23.25" customHeight="1" s="31">
      <c r="A27" s="54" t="inlineStr">
        <is>
          <t>Niveau</t>
        </is>
      </c>
      <c r="B27" s="54" t="inlineStr">
        <is>
          <t>Démarrage recommandé (semaines avant J)</t>
        </is>
      </c>
      <c r="C27" s="54" t="inlineStr">
        <is>
          <t>Libellé</t>
        </is>
      </c>
      <c r="D27" s="54" t="inlineStr">
        <is>
          <t>Critères (il suffit d'en remplir un)</t>
        </is>
      </c>
    </row>
    <row r="28" ht="23.25" customHeight="1" s="31">
      <c r="A28" s="43" t="inlineStr">
        <is>
          <t>C1</t>
        </is>
      </c>
      <c r="B28" s="41" t="n">
        <v>8</v>
      </c>
      <c r="C28" s="42" t="inlineStr">
        <is>
          <t>Standard</t>
        </is>
      </c>
      <c r="D28" s="55" t="inlineStr">
        <is>
          <t>Soirée récurrente vendue à la place ; chef et lieu déjà connus ; pas de presse. Démarrage : contrats signés avant l'ouverture des ventes, à S-6 (plan des pilotes du Produit), soit S-8.</t>
        </is>
      </c>
    </row>
    <row r="29" ht="34.5" customHeight="1" s="31">
      <c r="A29" s="43" t="inlineStr">
        <is>
          <t>C2</t>
        </is>
      </c>
      <c r="B29" s="41" t="n">
        <v>10</v>
      </c>
      <c r="C29" s="42" t="inlineStr">
        <is>
          <t>Premium</t>
        </is>
      </c>
      <c r="D29" s="55" t="inlineStr">
        <is>
          <t>Client-payeur unique sous contrat ; chef étoilé ou étranger ; première collaboration avec un lieu ou un chef ; produits importés. Démarrage : lieux et chefs à S-10 (plan des pilotes du Produit).</t>
        </is>
      </c>
    </row>
    <row r="30" ht="23.25" customHeight="1" s="31">
      <c r="A30" s="43" t="inlineStr">
        <is>
          <t>C3</t>
        </is>
      </c>
      <c r="B30" s="41" t="n">
        <v>12</v>
      </c>
      <c r="C30" s="42" t="inlineStr">
        <is>
          <t>Signature</t>
        </is>
      </c>
      <c r="D30" s="55" t="inlineStr">
        <is>
          <t>Presse, influenceurs ou célébrités ; maison de luxe sous contrat cadre ; lieu atypique ; soirée de lancement. Démarrage : S-12 (P).</t>
        </is>
      </c>
    </row>
    <row r="32" ht="15" customHeight="1" s="31">
      <c r="A32" s="56" t="inlineStr">
        <is>
          <t>Rôles : heures et coûts (à renseigner à réception des devis)</t>
        </is>
      </c>
    </row>
    <row r="33" ht="15" customHeight="1" s="31">
      <c r="A33" s="54" t="inlineStr">
        <is>
          <t>Rôle</t>
        </is>
      </c>
      <c r="B33" s="54" t="inlineStr">
        <is>
          <t>Heures par personne (H)</t>
        </is>
      </c>
      <c r="C33" s="54" t="inlineStr">
        <is>
          <t>Coût horaire chargé (€) (H)</t>
        </is>
      </c>
      <c r="D33" s="54" t="inlineStr">
        <is>
          <t>Poste de salle (1 = oui)</t>
        </is>
      </c>
      <c r="E33" s="54" t="inlineStr">
        <is>
          <t>Règle de calcul</t>
        </is>
      </c>
    </row>
    <row r="34" ht="23.25" customHeight="1" s="31">
      <c r="A34" s="42" t="inlineStr">
        <is>
          <t>Chef invité</t>
        </is>
      </c>
      <c r="B34" s="57" t="n"/>
      <c r="C34" s="58" t="n"/>
      <c r="D34" s="41" t="n">
        <v>0</v>
      </c>
      <c r="E34" s="55" t="inlineStr">
        <is>
          <t>1 par événement. Son cachet n'est pas horaire : le saisir à part avec la Finance (donnée n° 2).</t>
        </is>
      </c>
    </row>
    <row r="35" ht="15" customHeight="1" s="31">
      <c r="A35" s="42" t="inlineStr">
        <is>
          <t>Brigade (second, commis)</t>
        </is>
      </c>
      <c r="B35" s="57" t="n">
        <v>9</v>
      </c>
      <c r="C35" s="58" t="n">
        <v>35</v>
      </c>
      <c r="D35" s="41" t="n">
        <v>0</v>
      </c>
      <c r="E35" s="55" t="inlineStr">
        <is>
          <t>Couverts ÷ couverts par membre de brigade, arrondi au supérieur.</t>
        </is>
      </c>
    </row>
    <row r="36" ht="15" customHeight="1" s="31">
      <c r="A36" s="42" t="inlineStr">
        <is>
          <t>Maître d'hôtel</t>
        </is>
      </c>
      <c r="B36" s="57" t="n">
        <v>8</v>
      </c>
      <c r="C36" s="58" t="n">
        <v>45</v>
      </c>
      <c r="D36" s="41" t="n">
        <v>1</v>
      </c>
      <c r="E36" s="55" t="inlineStr">
        <is>
          <t>1 à partir du seuil, 2 au-delà du second seuil.</t>
        </is>
      </c>
    </row>
    <row r="37" ht="15" customHeight="1" s="31">
      <c r="A37" s="42" t="inlineStr">
        <is>
          <t>Serveurs (base)</t>
        </is>
      </c>
      <c r="B37" s="57" t="n">
        <v>7</v>
      </c>
      <c r="C37" s="58" t="n">
        <v>35</v>
      </c>
      <c r="D37" s="41" t="n">
        <v>1</v>
      </c>
      <c r="E37" s="55" t="inlineStr">
        <is>
          <t>Couverts ÷ couverts par serveur, arrondi au supérieur.</t>
        </is>
      </c>
    </row>
    <row r="38" ht="15" customHeight="1" s="31">
      <c r="A38" s="42" t="inlineStr">
        <is>
          <t>Serveur de réserve</t>
        </is>
      </c>
      <c r="B38" s="57" t="n">
        <v>7</v>
      </c>
      <c r="C38" s="58" t="n">
        <v>35</v>
      </c>
      <c r="D38" s="41" t="n">
        <v>1</v>
      </c>
      <c r="E38" s="55" t="inlineStr">
        <is>
          <t>1 en C2 et en C3.</t>
        </is>
      </c>
    </row>
    <row r="39" ht="15" customHeight="1" s="31">
      <c r="A39" s="42" t="inlineStr">
        <is>
          <t>Serveurs pour salons supplémentaires</t>
        </is>
      </c>
      <c r="B39" s="57" t="n">
        <v>7</v>
      </c>
      <c r="C39" s="58" t="n">
        <v>35</v>
      </c>
      <c r="D39" s="41" t="n">
        <v>1</v>
      </c>
      <c r="E39" s="55" t="inlineStr">
        <is>
          <t>En C3 : 1 par salon au-delà du premier.</t>
        </is>
      </c>
    </row>
    <row r="40" ht="15" customHeight="1" s="31">
      <c r="A40" s="42" t="inlineStr">
        <is>
          <t>Sommelier invité</t>
        </is>
      </c>
      <c r="B40" s="57" t="n">
        <v>7</v>
      </c>
      <c r="C40" s="58" t="n">
        <v>60</v>
      </c>
      <c r="D40" s="41" t="n">
        <v>0</v>
      </c>
      <c r="E40" s="55" t="inlineStr">
        <is>
          <t>1 par événement si le paramètre « Sommelier invité payé par nous » vaut 1 (0 depuis le 29/10/2026 : winemaker d'AdVini, non rémunéré).</t>
        </is>
      </c>
    </row>
    <row r="41" ht="15" customHeight="1" s="31">
      <c r="A41" s="42" t="inlineStr">
        <is>
          <t>Aide sommelier</t>
        </is>
      </c>
      <c r="B41" s="57" t="n">
        <v>7</v>
      </c>
      <c r="C41" s="58" t="n">
        <v>38</v>
      </c>
      <c r="D41" s="41" t="n">
        <v>0</v>
      </c>
      <c r="E41" s="55" t="inlineStr">
        <is>
          <t>1 à partir du seuil, 2 au-delà du second seuil.</t>
        </is>
      </c>
    </row>
    <row r="42" ht="15" customHeight="1" s="31">
      <c r="A42" s="42" t="inlineStr">
        <is>
          <t>Plongeurs</t>
        </is>
      </c>
      <c r="B42" s="57" t="n">
        <v>7</v>
      </c>
      <c r="C42" s="58" t="n">
        <v>30</v>
      </c>
      <c r="D42" s="41" t="n">
        <v>0</v>
      </c>
      <c r="E42" s="55" t="inlineStr">
        <is>
          <t>1, puis 2 et 3 selon les seuils.</t>
        </is>
      </c>
    </row>
    <row r="43" ht="15" customHeight="1" s="31">
      <c r="A43" s="42" t="inlineStr">
        <is>
          <t>Responsable de production (nous)</t>
        </is>
      </c>
      <c r="B43" s="57" t="n">
        <v>10</v>
      </c>
      <c r="C43" s="58" t="n">
        <v>0</v>
      </c>
      <c r="D43" s="41" t="n">
        <v>0</v>
      </c>
      <c r="E43" s="55" t="inlineStr">
        <is>
          <t>1, puis 2 à partir du seuil.</t>
        </is>
      </c>
    </row>
    <row r="44" ht="15" customHeight="1" s="31">
      <c r="A44" s="42" t="inlineStr">
        <is>
          <t>Interlocuteur client (Ventes)</t>
        </is>
      </c>
      <c r="B44" s="57" t="n">
        <v>5</v>
      </c>
      <c r="C44" s="58" t="n">
        <v>0</v>
      </c>
      <c r="D44" s="41" t="n">
        <v>0</v>
      </c>
      <c r="E44" s="55" t="inlineStr">
        <is>
          <t>1 en C2 et en C3.</t>
        </is>
      </c>
    </row>
    <row r="45" ht="15" customHeight="1" s="31">
      <c r="A45" s="42" t="inlineStr">
        <is>
          <t>Accueil et vestiaire</t>
        </is>
      </c>
      <c r="B45" s="57" t="n"/>
      <c r="C45" s="58" t="n"/>
      <c r="D45" s="41" t="n">
        <v>0</v>
      </c>
      <c r="E45" s="55" t="inlineStr">
        <is>
          <t>En C3 : 1, puis 2 à partir du seuil.</t>
        </is>
      </c>
    </row>
    <row r="46" ht="15" customHeight="1" s="31">
      <c r="A46" s="42" t="inlineStr">
        <is>
          <t>Relations presse et invités (Marketing)</t>
        </is>
      </c>
      <c r="B46" s="57" t="n"/>
      <c r="C46" s="58" t="n"/>
      <c r="D46" s="41" t="n">
        <v>0</v>
      </c>
      <c r="E46" s="55" t="inlineStr">
        <is>
          <t>1 en C3.</t>
        </is>
      </c>
    </row>
    <row r="47" ht="15" customHeight="1" s="31">
      <c r="A47" s="42" t="inlineStr">
        <is>
          <t>Photographe (supprimé, D-08)</t>
        </is>
      </c>
      <c r="B47" s="57" t="n"/>
      <c r="C47" s="58" t="n"/>
      <c r="D47" s="41" t="n">
        <v>0</v>
      </c>
      <c r="E47" s="55" t="inlineStr">
        <is>
          <t>0 : pas de photographe par soirée (décision D-08 du 28/10/2026).</t>
        </is>
      </c>
    </row>
    <row r="48" ht="15" customHeight="1" s="31">
      <c r="A48" s="42" t="inlineStr">
        <is>
          <t>Vidéaste</t>
        </is>
      </c>
      <c r="B48" s="57" t="n"/>
      <c r="C48" s="58" t="n"/>
      <c r="D48" s="41" t="n">
        <v>0</v>
      </c>
      <c r="E48" s="55" t="inlineStr">
        <is>
          <t>1 en C3 (idem).</t>
        </is>
      </c>
    </row>
    <row r="49" ht="15" customHeight="1" s="31">
      <c r="A49" s="42" t="inlineStr">
        <is>
          <t>Logistique d'accès</t>
        </is>
      </c>
      <c r="B49" s="57" t="n"/>
      <c r="C49" s="58" t="n"/>
      <c r="D49" s="41" t="n">
        <v>0</v>
      </c>
      <c r="E49" s="55" t="inlineStr">
        <is>
          <t>1 si le lieu exige une logistique d'accès particulière (ex. bateaux).</t>
        </is>
      </c>
    </row>
    <row r="50" ht="15" customHeight="1" s="31">
      <c r="A50" s="37" t="inlineStr">
        <is>
          <t>H : heures et coûts horaires repris du modèle de la Finance (onglet « Staffing »), à remplacer par les devis. Le coût calculé sert de référence : le budget de l'équipe est l'enveloppe de la Finance (D-06), 15 ou 20 % du CA HT. Rôles C3 (accueil, presse, vidéaste, logistique) non chiffrés.</t>
        </is>
      </c>
    </row>
    <row r="53" ht="15" customHeight="1" s="31">
      <c r="A53" s="56" t="inlineStr">
        <is>
          <t>Process selon la criticité (✓ = s'applique · ✓✓ = version renforcée)</t>
        </is>
      </c>
    </row>
    <row r="54" ht="15" customHeight="1" s="31">
      <c r="A54" s="54" t="inlineStr">
        <is>
          <t>Process</t>
        </is>
      </c>
      <c r="B54" s="54" t="inlineStr">
        <is>
          <t>C1</t>
        </is>
      </c>
      <c r="C54" s="54" t="inlineStr">
        <is>
          <t>C2</t>
        </is>
      </c>
      <c r="D54" s="54" t="inlineStr">
        <is>
          <t>C3</t>
        </is>
      </c>
    </row>
    <row r="55" ht="15" customHeight="1" s="31">
      <c r="A55" s="55" t="inlineStr">
        <is>
          <t>PR-01 Qualification du lieu</t>
        </is>
      </c>
      <c r="B55" s="55" t="inlineStr">
        <is>
          <t>✓ vérification (lieu connu)</t>
        </is>
      </c>
      <c r="C55" s="55" t="inlineStr">
        <is>
          <t>✓✓ visite sur place</t>
        </is>
      </c>
      <c r="D55" s="55" t="inlineStr">
        <is>
          <t>✓✓ visite technique et répétition sur place</t>
        </is>
      </c>
    </row>
    <row r="56" ht="23.25" customHeight="1" s="31">
      <c r="A56" s="55" t="inlineStr">
        <is>
          <t>PR-02 Engagement du chef</t>
        </is>
      </c>
      <c r="B56" s="55" t="inlineStr">
        <is>
          <t>✓</t>
        </is>
      </c>
      <c r="C56" s="55" t="inlineStr">
        <is>
          <t>✓✓ chef de secours désigné par écrit</t>
        </is>
      </c>
      <c r="D56" s="55" t="inlineStr">
        <is>
          <t>✓✓ + accord écrit sur la communication autour du chef</t>
        </is>
      </c>
    </row>
    <row r="57" ht="15" customHeight="1" s="31">
      <c r="A57" s="55" t="inlineStr">
        <is>
          <t>PR-03 Fiche technique de l'événement</t>
        </is>
      </c>
      <c r="B57" s="55" t="inlineStr">
        <is>
          <t>✓</t>
        </is>
      </c>
      <c r="C57" s="55" t="inlineStr">
        <is>
          <t>✓✓ validée par le client</t>
        </is>
      </c>
      <c r="D57" s="55" t="inlineStr">
        <is>
          <t>✓✓ + liste des invités et confidentialité</t>
        </is>
      </c>
    </row>
    <row r="58" ht="15" customHeight="1" s="31">
      <c r="A58" s="55" t="inlineStr">
        <is>
          <t>PR-04 Staffing</t>
        </is>
      </c>
      <c r="B58" s="55" t="inlineStr">
        <is>
          <t>✓</t>
        </is>
      </c>
      <c r="C58" s="55" t="inlineStr">
        <is>
          <t>✓✓ + 1 personne de réserve</t>
        </is>
      </c>
      <c r="D58" s="55" t="inlineStr">
        <is>
          <t>✓✓ + accueil, presse, images</t>
        </is>
      </c>
    </row>
    <row r="59" ht="23.25" customHeight="1" s="31">
      <c r="A59" s="55" t="inlineStr">
        <is>
          <t>PR-05 Achats et approvisionnement</t>
        </is>
      </c>
      <c r="B59" s="55" t="inlineStr">
        <is>
          <t>✓</t>
        </is>
      </c>
      <c r="C59" s="55" t="inlineStr">
        <is>
          <t>✓✓ fournisseur de secours identifié</t>
        </is>
      </c>
      <c r="D59" s="55" t="inlineStr">
        <is>
          <t>✓✓ + importations anticipées</t>
        </is>
      </c>
    </row>
    <row r="60" ht="15" customHeight="1" s="31">
      <c r="A60" s="55" t="inlineStr">
        <is>
          <t>PR-06 Hygiène et allergènes</t>
        </is>
      </c>
      <c r="B60" s="55" t="inlineStr">
        <is>
          <t>✓</t>
        </is>
      </c>
      <c r="C60" s="55" t="inlineStr">
        <is>
          <t>✓</t>
        </is>
      </c>
      <c r="D60" s="55" t="inlineStr">
        <is>
          <t>✓</t>
        </is>
      </c>
    </row>
    <row r="61" ht="23.25" customHeight="1" s="31">
      <c r="A61" s="55" t="inlineStr">
        <is>
          <t>PR-07 Déroulé du jour J</t>
        </is>
      </c>
      <c r="B61" s="55" t="inlineStr">
        <is>
          <t>✓</t>
        </is>
      </c>
      <c r="C61" s="55" t="inlineStr">
        <is>
          <t>✓✓ déroulé partagé avec le client</t>
        </is>
      </c>
      <c r="D61" s="55" t="inlineStr">
        <is>
          <t>✓✓ + dégustation du menu à l'avance et répétition</t>
        </is>
      </c>
    </row>
    <row r="62" ht="15" customHeight="1" s="31">
      <c r="A62" s="55" t="inlineStr">
        <is>
          <t>PR-08 Restitution du lieu</t>
        </is>
      </c>
      <c r="B62" s="55" t="inlineStr">
        <is>
          <t>✓</t>
        </is>
      </c>
      <c r="C62" s="55" t="inlineStr">
        <is>
          <t>✓</t>
        </is>
      </c>
      <c r="D62" s="55" t="inlineStr">
        <is>
          <t>✓</t>
        </is>
      </c>
    </row>
    <row r="63" ht="15" customHeight="1" s="31">
      <c r="A63" s="55" t="inlineStr">
        <is>
          <t>PR-09 Incident et plan B</t>
        </is>
      </c>
      <c r="B63" s="55" t="inlineStr">
        <is>
          <t>✓</t>
        </is>
      </c>
      <c r="C63" s="55" t="inlineStr">
        <is>
          <t>✓✓</t>
        </is>
      </c>
      <c r="D63" s="55" t="inlineStr">
        <is>
          <t>✓✓ + plan de communication de crise</t>
        </is>
      </c>
    </row>
    <row r="64" ht="15" customHeight="1" s="31">
      <c r="A64" s="55" t="inlineStr">
        <is>
          <t>PR-10 Bilan</t>
        </is>
      </c>
      <c r="B64" s="55" t="inlineStr">
        <is>
          <t>✓</t>
        </is>
      </c>
      <c r="C64" s="55" t="inlineStr">
        <is>
          <t>✓ + retour du client</t>
        </is>
      </c>
      <c r="D64" s="55" t="inlineStr">
        <is>
          <t>✓ + revue de presse</t>
        </is>
      </c>
    </row>
    <row r="66" ht="15" customHeight="1" s="31">
      <c r="A66" s="56" t="inlineStr">
        <is>
          <t>Sources des repères (consultées par moteur de recherche le 28/10/2026, pages non ouvertes depuis l'environnement de travail)</t>
        </is>
      </c>
    </row>
    <row r="67" ht="15" customHeight="1" s="31">
      <c r="A67" s="59" t="inlineStr">
        <is>
          <t>pebb.io — https://pebb.io/articles/best-way-manage-catering-staff-large-scale-events</t>
        </is>
      </c>
    </row>
    <row r="68" ht="15" customHeight="1" s="31">
      <c r="A68" s="59" t="inlineStr">
        <is>
          <t>workstaff.app — https://workstaff.app/blog/how-to-calculate-staffing-needs-for-caterers</t>
        </is>
      </c>
    </row>
    <row r="69" ht="15" customHeight="1" s="31">
      <c r="A69" s="59" t="inlineStr">
        <is>
          <t>Modèles de business plan — https://modelesdebusinessplan.com/blogs/infos/combien-serveurs-50-couverts</t>
        </is>
      </c>
    </row>
    <row r="70" ht="15" customHeight="1" s="31">
      <c r="A70" s="59" t="inlineStr">
        <is>
          <t>Université d'Ottawa — https://www.uottawa.ca/notre-universite/reservations/services-traiteur-bar</t>
        </is>
      </c>
    </row>
    <row r="71" ht="15" customHeight="1" s="31">
      <c r="A71" s="59" t="inlineStr">
        <is>
          <t>ellenskitchen.com — https://ellenskitchen.com/bigpots/plan/wedding2.html</t>
        </is>
      </c>
    </row>
    <row r="72" ht="15" customHeight="1" s="31">
      <c r="A72" s="59" t="inlineStr">
        <is>
          <t>Formats d'événements : 5 PRODUIT/2026 1028 Pop Tables - Offre.md et Pop Tables - Pricing.md (28/10/2026) ; décisions D-05 et D-22 (jauges) ; 3 MARKETING/new project/9 Premier événement/2026 1028 Premier événement - Trois options.md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2026-10-28T08:18:11Z</dcterms:created>
  <dcterms:modified xmlns:dcterms="http://purl.org/dc/terms/" xmlns:xsi="http://www.w3.org/2001/XMLSchema-instance" xsi:type="dcterms:W3CDTF">2026-10-29T08:13:19Z</dcterms:modified>
  <cp:revision>0</cp:revision>
</cp:coreProperties>
</file>