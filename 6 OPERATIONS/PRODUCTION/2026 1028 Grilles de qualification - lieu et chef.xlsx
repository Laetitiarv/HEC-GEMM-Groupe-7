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Lieu" sheetId="2" state="visible" r:id="rId4"/>
    <sheet name="Chef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<sst xmlns="http://schemas.openxmlformats.org/spreadsheetml/2006/main" count="128" uniqueCount="79">
  <si>
    <t xml:space="preserve">Grilles de qualification — lieu et chef</t>
  </si>
  <si>
    <t xml:space="preserve">28/10/2026 · 6 OPERATIONS/PRODUCTION · Document de travail du pôle Opérations : critères proposés, à préciser avec l'expérience des pilotes.</t>
  </si>
  <si>
    <t xml:space="preserve">Comment s'en servir</t>
  </si>
  <si>
    <t xml:space="preserve">1. Dupliquer l'onglet « Lieu » ou « Chef » pour chaque candidat (clic droit sur l'onglet, Déplacer ou copier, Créer une copie).</t>
  </si>
  <si>
    <t xml:space="preserve">2. Remplir uniquement les cellules jaunes. Les critères éliminatoires se renseignent par Oui, Non ou À vérifier ; les autres critères se notent de 1 (faible) à 5 (excellent).</t>
  </si>
  <si>
    <t xml:space="preserve">3. Le verdict se calcule : « On exclut » si un critère éliminatoire est à Non ou si la note est trop basse ; « À vérifier » si une information manque ; « On poursuit » sinon.</t>
  </si>
  <si>
    <t xml:space="preserve">4. Lieu : les Ventes remplissent les critères marqués « Ventes » au premier contact ; les Opérations remplissent la partie technique pendant la visite. À terme, l'assistant de production remplit la grille seul (orientation du 28/10/2026).</t>
  </si>
  <si>
    <t xml:space="preserve">Règles reprises des orientations du 28/10/2026 (responsable Opérations)</t>
  </si>
  <si>
    <t xml:space="preserve">Vaisselle : toujours louée chez Options, y compris dans un restaurant (on ne touche pas à sa vaisselle). Lieu insolite : location de matériel de cuisine probable ; le surcoût doit être chiffré, signalé à la Finance et compensé (prix, coût du lieu, format ou partenaire), sinon le lieu reste « À vérifier ».</t>
  </si>
  <si>
    <t xml:space="preserve">Chef : ce qui compte d'abord est l'identité et la rareté ; un parcours dans une grande maison est un plus, pas une condition (un profil atypique convient). Pas de labo pour les soirées foodies : le menu doit pouvoir être produit dans la cuisine du lieu.</t>
  </si>
  <si>
    <t xml:space="preserve">Seuils (P) : note ≥ 70 % = on poursuit ; de 50 à 70 % = à vérifier ; &lt; 50 % = on exclut. Poids et seuils modifiables dans chaque onglet.</t>
  </si>
  <si>
    <t xml:space="preserve">Grille d'audit d'un lieu</t>
  </si>
  <si>
    <t xml:space="preserve">Lieu (désignation, sans données personnelles)</t>
  </si>
  <si>
    <t xml:space="preserve">Exemple : restaurant candidat n° 1</t>
  </si>
  <si>
    <t xml:space="preserve">Type de lieu</t>
  </si>
  <si>
    <t xml:space="preserve">Restaurant</t>
  </si>
  <si>
    <t xml:space="preserve">Soir de fermeture visé</t>
  </si>
  <si>
    <t xml:space="preserve">Rempli par</t>
  </si>
  <si>
    <t xml:space="preserve">Ventes + Opérations</t>
  </si>
  <si>
    <t xml:space="preserve">A. Critères éliminatoires</t>
  </si>
  <si>
    <t xml:space="preserve">Oui / Non / À vérifier</t>
  </si>
  <si>
    <t xml:space="preserve">Qui</t>
  </si>
  <si>
    <t xml:space="preserve">Commentaire</t>
  </si>
  <si>
    <t xml:space="preserve">Cuisine complète en état de marche (ou installable par location pour un lieu insolite)</t>
  </si>
  <si>
    <t xml:space="preserve">Opérations</t>
  </si>
  <si>
    <t xml:space="preserve">Au moins 24 places assises (capacité visée : 24 à 35 couverts)</t>
  </si>
  <si>
    <t xml:space="preserve">Ventes</t>
  </si>
  <si>
    <t xml:space="preserve">Capacité d'accueil du public autorisée au moins égale à la jauge (Juridique 1.6)</t>
  </si>
  <si>
    <t xml:space="preserve">Licence de débit de boissons, ou montage pour l'alcool validé par le Juridique (§ 2)</t>
  </si>
  <si>
    <t xml:space="preserve">Disponible le soir de fermeture visé</t>
  </si>
  <si>
    <t xml:space="preserve">Livraisons possibles ce jour-là (produits, vins, matériel Options)</t>
  </si>
  <si>
    <t xml:space="preserve">Lieu libéré avant la réouverture</t>
  </si>
  <si>
    <t xml:space="preserve">B. Critères notés</t>
  </si>
  <si>
    <t xml:space="preserve">Note (1 à 5)</t>
  </si>
  <si>
    <t xml:space="preserve">Poids</t>
  </si>
  <si>
    <t xml:space="preserve">Prestige ou caractère insolite (attente du Marketing)</t>
  </si>
  <si>
    <t xml:space="preserve">Histoire à raconter à la communauté</t>
  </si>
  <si>
    <t xml:space="preserve">Cuisine adaptée à l'envoi : feux, fours, passe</t>
  </si>
  <si>
    <t xml:space="preserve">Cuisine adaptée à la mise en place sur place (pas de labo pour les soirées foodies)</t>
  </si>
  <si>
    <t xml:space="preserve">Froid positif et négatif disponible</t>
  </si>
  <si>
    <t xml:space="preserve">Plonge : lave-vaisselle, espace</t>
  </si>
  <si>
    <t xml:space="preserve">Salle : 24 à 35 couverts, confort, acoustique</t>
  </si>
  <si>
    <t xml:space="preserve">Accès des invités, vestiaire, toilettes</t>
  </si>
  <si>
    <t xml:space="preserve">Accès des livraisons et stockage</t>
  </si>
  <si>
    <t xml:space="preserve">Coût de mise à disposition</t>
  </si>
  <si>
    <t xml:space="preserve">Souplesse du propriétaire : dates, règles d'usage</t>
  </si>
  <si>
    <t xml:space="preserve">C. Lieu insolite : matériel de cuisine</t>
  </si>
  <si>
    <t xml:space="preserve">Matériel de cuisine à louer ?</t>
  </si>
  <si>
    <t xml:space="preserve">Surcoût estimé (€ HT, devis Options)</t>
  </si>
  <si>
    <t xml:space="preserve">Compensation prévue</t>
  </si>
  <si>
    <t xml:space="preserve">Finance informée ?</t>
  </si>
  <si>
    <t xml:space="preserve">Seuil « on poursuit »</t>
  </si>
  <si>
    <t xml:space="preserve">Seuil « on exclut » (en dessous)</t>
  </si>
  <si>
    <t xml:space="preserve">Note pondérée</t>
  </si>
  <si>
    <t xml:space="preserve">Critères renseignés</t>
  </si>
  <si>
    <t xml:space="preserve">VERDICT</t>
  </si>
  <si>
    <t xml:space="preserve">Alerte matériel de cuisine</t>
  </si>
  <si>
    <t xml:space="preserve">Fiche de faisabilité d'un chef</t>
  </si>
  <si>
    <t xml:space="preserve">Chef (désignation)</t>
  </si>
  <si>
    <t xml:space="preserve">Exemple : chef candidat n° 1</t>
  </si>
  <si>
    <t xml:space="preserve">Profil</t>
  </si>
  <si>
    <t xml:space="preserve">Second en transition</t>
  </si>
  <si>
    <t xml:space="preserve">Niveau pour le barème de défraiement (Finance)</t>
  </si>
  <si>
    <t xml:space="preserve">Montant</t>
  </si>
  <si>
    <t xml:space="preserve">Identité culinaire forte et racontable</t>
  </si>
  <si>
    <t xml:space="preserve">Rareté : cuisine absente de Paris, chef sorti de son restaurant, ou offre différente de son travail habituel</t>
  </si>
  <si>
    <t xml:space="preserve">Disponible aux dates visées (soirs de fermeture des lieux)</t>
  </si>
  <si>
    <t xml:space="preserve">Accord écrit de la maison d'origine s'il est second (« Sans objet » sinon) (Juridique 3.2)</t>
  </si>
  <si>
    <t xml:space="preserve">Accepte de produire dans la cuisine du lieu, sans labo (soirées foodies)</t>
  </si>
  <si>
    <t xml:space="preserve">Force de l'identité et de la personnalité</t>
  </si>
  <si>
    <t xml:space="preserve">Rareté perçue par la communauté</t>
  </si>
  <si>
    <t xml:space="preserve">Parcours dans une grande maison (un plus, pas une condition)</t>
  </si>
  <si>
    <t xml:space="preserve">Histoire pour la communauté (Marketing)</t>
  </si>
  <si>
    <t xml:space="preserve">Envie de s'émanciper, de tester sa cuisine</t>
  </si>
  <si>
    <t xml:space="preserve">Capacité à diriger une brigade qu'il ne connaît pas</t>
  </si>
  <si>
    <t xml:space="preserve">Menu compatible avec le plafond de 35 % de coût matières</t>
  </si>
  <si>
    <t xml:space="preserve">Menu réalisable sans labo, dans la cuisine du lieu</t>
  </si>
  <si>
    <t xml:space="preserve">Présence en salle : présenter son menu, échanger avec les convives</t>
  </si>
  <si>
    <t xml:space="preserve">Défraiement compatible avec le barème de son niveau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</si>
</sst>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€&quot;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23.85" hidden="false" customHeight="false" outlineLevel="0" collapsed="false">
      <c r="A6" s="3" t="s">
        <v>4</v>
      </c>
    </row>
    <row r="7" customFormat="false" ht="23.85" hidden="false" customHeight="false" outlineLevel="0" collapsed="false">
      <c r="A7" s="3" t="s">
        <v>5</v>
      </c>
    </row>
    <row r="8" customFormat="false" ht="23.8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4" t="s">
        <v>7</v>
      </c>
    </row>
    <row r="11" customFormat="false" ht="23.85" hidden="false" customHeight="false" outlineLevel="0" collapsed="false">
      <c r="A11" s="3" t="s">
        <v>8</v>
      </c>
    </row>
    <row r="12" customFormat="false" ht="23.8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5" t="s">
        <v>11</v>
      </c>
    </row>
    <row r="3" customFormat="false" ht="23.85" hidden="false" customHeight="false" outlineLevel="0" collapsed="false">
      <c r="A3" s="6" t="s">
        <v>12</v>
      </c>
      <c r="B3" s="7" t="s">
        <v>13</v>
      </c>
    </row>
    <row r="4" customFormat="false" ht="15" hidden="false" customHeight="false" outlineLevel="0" collapsed="false">
      <c r="A4" s="6" t="s">
        <v>14</v>
      </c>
      <c r="B4" s="7" t="s">
        <v>15</v>
      </c>
    </row>
    <row r="5" customFormat="false" ht="15" hidden="false" customHeight="false" outlineLevel="0" collapsed="false">
      <c r="A5" s="6" t="s">
        <v>16</v>
      </c>
      <c r="B5" s="7"/>
    </row>
    <row r="6" customFormat="false" ht="15" hidden="false" customHeight="false" outlineLevel="0" collapsed="false">
      <c r="A6" s="6" t="s">
        <v>17</v>
      </c>
      <c r="B6" s="7" t="s">
        <v>18</v>
      </c>
    </row>
    <row r="8" customFormat="false" ht="23.85" hidden="false" customHeight="false" outlineLevel="0" collapsed="false">
      <c r="A8" s="8" t="s">
        <v>19</v>
      </c>
      <c r="B8" s="9" t="s">
        <v>20</v>
      </c>
      <c r="C8" s="9" t="s">
        <v>21</v>
      </c>
      <c r="D8" s="9" t="s">
        <v>22</v>
      </c>
    </row>
    <row r="9" customFormat="false" ht="23.85" hidden="false" customHeight="false" outlineLevel="0" collapsed="false">
      <c r="A9" s="10" t="s">
        <v>23</v>
      </c>
      <c r="B9" s="7"/>
      <c r="C9" s="11" t="s">
        <v>24</v>
      </c>
      <c r="D9" s="12"/>
    </row>
    <row r="10" customFormat="false" ht="15" hidden="false" customHeight="false" outlineLevel="0" collapsed="false">
      <c r="A10" s="10" t="s">
        <v>25</v>
      </c>
      <c r="B10" s="7"/>
      <c r="C10" s="11" t="s">
        <v>26</v>
      </c>
      <c r="D10" s="12"/>
    </row>
    <row r="11" customFormat="false" ht="23.85" hidden="false" customHeight="false" outlineLevel="0" collapsed="false">
      <c r="A11" s="10" t="s">
        <v>27</v>
      </c>
      <c r="B11" s="7"/>
      <c r="C11" s="11" t="s">
        <v>24</v>
      </c>
      <c r="D11" s="12"/>
    </row>
    <row r="12" customFormat="false" ht="23.85" hidden="false" customHeight="false" outlineLevel="0" collapsed="false">
      <c r="A12" s="10" t="s">
        <v>28</v>
      </c>
      <c r="B12" s="7"/>
      <c r="C12" s="11" t="s">
        <v>26</v>
      </c>
      <c r="D12" s="12"/>
    </row>
    <row r="13" customFormat="false" ht="15" hidden="false" customHeight="false" outlineLevel="0" collapsed="false">
      <c r="A13" s="10" t="s">
        <v>29</v>
      </c>
      <c r="B13" s="7"/>
      <c r="C13" s="11" t="s">
        <v>26</v>
      </c>
      <c r="D13" s="12"/>
    </row>
    <row r="14" customFormat="false" ht="15" hidden="false" customHeight="false" outlineLevel="0" collapsed="false">
      <c r="A14" s="10" t="s">
        <v>30</v>
      </c>
      <c r="B14" s="7"/>
      <c r="C14" s="11" t="s">
        <v>24</v>
      </c>
      <c r="D14" s="12"/>
    </row>
    <row r="15" customFormat="false" ht="15" hidden="false" customHeight="false" outlineLevel="0" collapsed="false">
      <c r="A15" s="10" t="s">
        <v>31</v>
      </c>
      <c r="B15" s="7"/>
      <c r="C15" s="11" t="s">
        <v>26</v>
      </c>
      <c r="D15" s="12"/>
    </row>
    <row r="17" customFormat="false" ht="15" hidden="false" customHeight="false" outlineLevel="0" collapsed="false">
      <c r="A17" s="8" t="s">
        <v>32</v>
      </c>
      <c r="B17" s="9" t="s">
        <v>33</v>
      </c>
      <c r="C17" s="9" t="s">
        <v>21</v>
      </c>
      <c r="D17" s="9" t="s">
        <v>34</v>
      </c>
      <c r="E17" s="9" t="s">
        <v>22</v>
      </c>
    </row>
    <row r="18" customFormat="false" ht="15" hidden="false" customHeight="false" outlineLevel="0" collapsed="false">
      <c r="A18" s="10" t="s">
        <v>35</v>
      </c>
      <c r="B18" s="7"/>
      <c r="C18" s="11" t="s">
        <v>26</v>
      </c>
      <c r="D18" s="7" t="n">
        <v>3</v>
      </c>
      <c r="E18" s="12"/>
    </row>
    <row r="19" customFormat="false" ht="15" hidden="false" customHeight="false" outlineLevel="0" collapsed="false">
      <c r="A19" s="10" t="s">
        <v>36</v>
      </c>
      <c r="B19" s="7"/>
      <c r="C19" s="11" t="s">
        <v>26</v>
      </c>
      <c r="D19" s="7" t="n">
        <v>2</v>
      </c>
      <c r="E19" s="12"/>
    </row>
    <row r="20" customFormat="false" ht="15" hidden="false" customHeight="false" outlineLevel="0" collapsed="false">
      <c r="A20" s="10" t="s">
        <v>37</v>
      </c>
      <c r="B20" s="7"/>
      <c r="C20" s="11" t="s">
        <v>24</v>
      </c>
      <c r="D20" s="7" t="n">
        <v>3</v>
      </c>
      <c r="E20" s="12"/>
    </row>
    <row r="21" customFormat="false" ht="23.85" hidden="false" customHeight="false" outlineLevel="0" collapsed="false">
      <c r="A21" s="10" t="s">
        <v>38</v>
      </c>
      <c r="B21" s="7"/>
      <c r="C21" s="11" t="s">
        <v>24</v>
      </c>
      <c r="D21" s="7" t="n">
        <v>3</v>
      </c>
      <c r="E21" s="12"/>
    </row>
    <row r="22" customFormat="false" ht="15" hidden="false" customHeight="false" outlineLevel="0" collapsed="false">
      <c r="A22" s="10" t="s">
        <v>39</v>
      </c>
      <c r="B22" s="7"/>
      <c r="C22" s="11" t="s">
        <v>24</v>
      </c>
      <c r="D22" s="7" t="n">
        <v>2</v>
      </c>
      <c r="E22" s="12"/>
    </row>
    <row r="23" customFormat="false" ht="15" hidden="false" customHeight="false" outlineLevel="0" collapsed="false">
      <c r="A23" s="10" t="s">
        <v>40</v>
      </c>
      <c r="B23" s="7"/>
      <c r="C23" s="11" t="s">
        <v>24</v>
      </c>
      <c r="D23" s="7" t="n">
        <v>2</v>
      </c>
      <c r="E23" s="12"/>
    </row>
    <row r="24" customFormat="false" ht="15" hidden="false" customHeight="false" outlineLevel="0" collapsed="false">
      <c r="A24" s="10" t="s">
        <v>41</v>
      </c>
      <c r="B24" s="7"/>
      <c r="C24" s="11" t="s">
        <v>24</v>
      </c>
      <c r="D24" s="7" t="n">
        <v>2</v>
      </c>
      <c r="E24" s="12"/>
    </row>
    <row r="25" customFormat="false" ht="15" hidden="false" customHeight="false" outlineLevel="0" collapsed="false">
      <c r="A25" s="10" t="s">
        <v>42</v>
      </c>
      <c r="B25" s="7"/>
      <c r="C25" s="11" t="s">
        <v>24</v>
      </c>
      <c r="D25" s="7" t="n">
        <v>1</v>
      </c>
      <c r="E25" s="12"/>
    </row>
    <row r="26" customFormat="false" ht="15" hidden="false" customHeight="false" outlineLevel="0" collapsed="false">
      <c r="A26" s="10" t="s">
        <v>43</v>
      </c>
      <c r="B26" s="7"/>
      <c r="C26" s="11" t="s">
        <v>24</v>
      </c>
      <c r="D26" s="7" t="n">
        <v>1</v>
      </c>
      <c r="E26" s="12"/>
    </row>
    <row r="27" customFormat="false" ht="15" hidden="false" customHeight="false" outlineLevel="0" collapsed="false">
      <c r="A27" s="10" t="s">
        <v>44</v>
      </c>
      <c r="B27" s="7"/>
      <c r="C27" s="11" t="s">
        <v>26</v>
      </c>
      <c r="D27" s="7" t="n">
        <v>3</v>
      </c>
      <c r="E27" s="12"/>
    </row>
    <row r="28" customFormat="false" ht="15" hidden="false" customHeight="false" outlineLevel="0" collapsed="false">
      <c r="A28" s="10" t="s">
        <v>45</v>
      </c>
      <c r="B28" s="7"/>
      <c r="C28" s="11" t="s">
        <v>26</v>
      </c>
      <c r="D28" s="7" t="n">
        <v>2</v>
      </c>
      <c r="E28" s="12"/>
    </row>
    <row r="30" customFormat="false" ht="15" hidden="false" customHeight="false" outlineLevel="0" collapsed="false">
      <c r="A30" s="8" t="s">
        <v>46</v>
      </c>
      <c r="B30" s="13"/>
      <c r="C30" s="13"/>
    </row>
    <row r="31" customFormat="false" ht="15" hidden="false" customHeight="false" outlineLevel="0" collapsed="false">
      <c r="A31" s="14" t="s">
        <v>47</v>
      </c>
      <c r="B31" s="7"/>
    </row>
    <row r="32" customFormat="false" ht="15" hidden="false" customHeight="false" outlineLevel="0" collapsed="false">
      <c r="A32" s="14" t="s">
        <v>48</v>
      </c>
      <c r="B32" s="15"/>
    </row>
    <row r="33" customFormat="false" ht="15" hidden="false" customHeight="false" outlineLevel="0" collapsed="false">
      <c r="A33" s="14" t="s">
        <v>49</v>
      </c>
      <c r="B33" s="7"/>
    </row>
    <row r="34" customFormat="false" ht="15" hidden="false" customHeight="false" outlineLevel="0" collapsed="false">
      <c r="A34" s="14" t="s">
        <v>50</v>
      </c>
      <c r="B34" s="7"/>
    </row>
    <row r="36" customFormat="false" ht="15" hidden="false" customHeight="false" outlineLevel="0" collapsed="false">
      <c r="A36" s="6" t="s">
        <v>51</v>
      </c>
      <c r="B36" s="16" t="n">
        <v>0.7</v>
      </c>
    </row>
    <row r="37" customFormat="false" ht="15" hidden="false" customHeight="false" outlineLevel="0" collapsed="false">
      <c r="A37" s="6" t="s">
        <v>52</v>
      </c>
      <c r="B37" s="16" t="n">
        <v>0.5</v>
      </c>
    </row>
    <row r="38" customFormat="false" ht="15" hidden="false" customHeight="false" outlineLevel="0" collapsed="false">
      <c r="A38" s="6" t="s">
        <v>53</v>
      </c>
      <c r="B38" s="17" t="str">
        <f aca="false">IF(COUNT(B18:B28)=0,"",SUMPRODUCT(B18:B28,D18:D28)/(5*SUMPRODUCT((B18:B28&lt;&gt;"")*D18:D28)))</f>
        <v/>
      </c>
    </row>
    <row r="39" customFormat="false" ht="15" hidden="false" customHeight="false" outlineLevel="0" collapsed="false">
      <c r="A39" s="6" t="s">
        <v>54</v>
      </c>
      <c r="B39" s="11" t="str">
        <f aca="false">COUNTA(B9:B15)+COUNT(B18:B28)&amp;" / 18"</f>
        <v>0 / 18</v>
      </c>
    </row>
    <row r="40" customFormat="false" ht="15" hidden="false" customHeight="false" outlineLevel="0" collapsed="false">
      <c r="A40" s="18" t="s">
        <v>55</v>
      </c>
      <c r="B40" s="19" t="str">
        <f aca="false">IF(COUNTIF(B9:B15,"Non")&gt;0,"On exclut",IF(AND(B38&lt;&gt;"",B38&lt;B37),"On exclut",IF(OR(COUNTIF(B9:B15,"Oui")+COUNTIF(B9:B15,"Sans objet")&lt;7,COUNT(B18:B28)&lt;11,AND($B$4="Lieu insolite",OR($B$31="",AND($B$31="Oui",OR($B$32="",$B$33="",$B$33="Aucune",$B$34&lt;&gt;"Oui")))),B38&lt;B36),"À vérifier","On poursuit")))</f>
        <v>À vérifier</v>
      </c>
    </row>
    <row r="41" customFormat="false" ht="15" hidden="false" customHeight="false" outlineLevel="0" collapsed="false">
      <c r="A41" s="6" t="s">
        <v>56</v>
      </c>
      <c r="B41" s="10" t="str">
        <f aca="false">IF(AND($B$4="Lieu insolite",OR($B$31="",AND($B$31="Oui",OR($B$32="",$B$33="",$B$33="Aucune",$B$34&lt;&gt;"Oui")))),"Lieu insolite : chiffrer le matériel de cuisine, prévoir une compensation et informer la Finance","")</f>
        <v/>
      </c>
      <c r="C41" s="10"/>
      <c r="D41" s="10"/>
      <c r="E41" s="10"/>
    </row>
  </sheetData>
  <mergeCells count="1">
    <mergeCell ref="B41:E41"/>
  </mergeCells>
  <conditionalFormatting sqref="B40">
    <cfRule type="expression" priority="2" aboveAverage="0" equalAverage="0" bottom="0" percent="0" rank="0" text="" dxfId="0">
      <formula>B40="On poursuit"</formula>
    </cfRule>
    <cfRule type="expression" priority="3" aboveAverage="0" equalAverage="0" bottom="0" percent="0" rank="0" text="" dxfId="1">
      <formula>B40="À vérifier"</formula>
    </cfRule>
    <cfRule type="expression" priority="4" aboveAverage="0" equalAverage="0" bottom="0" percent="0" rank="0" text="" dxfId="2">
      <formula>B40="On exclut"</formula>
    </cfRule>
  </conditionalFormatting>
  <dataValidations count="6">
    <dataValidation allowBlank="false" errorStyle="stop" operator="between" showDropDown="false" showErrorMessage="false" showInputMessage="false" sqref="B4" type="list">
      <formula1>"Restaurant,Lieu insolite"</formula1>
      <formula2>0</formula2>
    </dataValidation>
    <dataValidation allowBlank="false" errorStyle="stop" operator="between" showDropDown="false" showErrorMessage="false" showInputMessage="false" sqref="B6" type="list">
      <formula1>"Ventes,Opérations,Ventes + Opérations,Assistant de production"</formula1>
      <formula2>0</formula2>
    </dataValidation>
    <dataValidation allowBlank="false" errorStyle="stop" operator="between" showDropDown="false" showErrorMessage="false" showInputMessage="false" sqref="B9:B15" type="list">
      <formula1>"Oui,Non,À vérifier,Sans objet"</formula1>
      <formula2>0</formula2>
    </dataValidation>
    <dataValidation allowBlank="false" errorStyle="stop" operator="between" showDropDown="false" showErrorMessage="false" showInputMessage="false" sqref="B18:B28" type="whole">
      <formula1>1</formula1>
      <formula2>5</formula2>
    </dataValidation>
    <dataValidation allowBlank="false" errorStyle="stop" operator="between" showDropDown="false" showErrorMessage="false" showInputMessage="false" sqref="B31 B34" type="list">
      <formula1>"Oui,Non"</formula1>
      <formula2>0</formula2>
    </dataValidation>
    <dataValidation allowBlank="false" errorStyle="stop" operator="between" showDropDown="false" showErrorMessage="false" showInputMessage="false" sqref="B33" type="list">
      <formula1>"Prix plus élevé,Lieu moins cher,Format adapté,Partenaire,Aucune"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5" t="s">
        <v>57</v>
      </c>
    </row>
    <row r="3" customFormat="false" ht="23.85" hidden="false" customHeight="false" outlineLevel="0" collapsed="false">
      <c r="A3" s="6" t="s">
        <v>58</v>
      </c>
      <c r="B3" s="7" t="s">
        <v>59</v>
      </c>
    </row>
    <row r="4" customFormat="false" ht="15" hidden="false" customHeight="false" outlineLevel="0" collapsed="false">
      <c r="A4" s="6" t="s">
        <v>60</v>
      </c>
      <c r="B4" s="7" t="s">
        <v>61</v>
      </c>
    </row>
    <row r="5" customFormat="false" ht="15" hidden="false" customHeight="false" outlineLevel="0" collapsed="false">
      <c r="A5" s="6" t="s">
        <v>62</v>
      </c>
      <c r="B5" s="7" t="s">
        <v>63</v>
      </c>
    </row>
    <row r="6" customFormat="false" ht="15" hidden="false" customHeight="false" outlineLevel="0" collapsed="false">
      <c r="A6" s="6" t="s">
        <v>17</v>
      </c>
      <c r="B6" s="7" t="s">
        <v>18</v>
      </c>
    </row>
    <row r="8" customFormat="false" ht="23.85" hidden="false" customHeight="false" outlineLevel="0" collapsed="false">
      <c r="A8" s="8" t="s">
        <v>19</v>
      </c>
      <c r="B8" s="9" t="s">
        <v>20</v>
      </c>
      <c r="C8" s="9" t="s">
        <v>21</v>
      </c>
      <c r="D8" s="9" t="s">
        <v>22</v>
      </c>
    </row>
    <row r="9" customFormat="false" ht="15" hidden="false" customHeight="false" outlineLevel="0" collapsed="false">
      <c r="A9" s="10" t="s">
        <v>64</v>
      </c>
      <c r="B9" s="7"/>
      <c r="C9" s="11" t="s">
        <v>26</v>
      </c>
      <c r="D9" s="12"/>
    </row>
    <row r="10" customFormat="false" ht="23.85" hidden="false" customHeight="false" outlineLevel="0" collapsed="false">
      <c r="A10" s="10" t="s">
        <v>65</v>
      </c>
      <c r="B10" s="7"/>
      <c r="C10" s="11" t="s">
        <v>26</v>
      </c>
      <c r="D10" s="12"/>
    </row>
    <row r="11" customFormat="false" ht="15" hidden="false" customHeight="false" outlineLevel="0" collapsed="false">
      <c r="A11" s="10" t="s">
        <v>66</v>
      </c>
      <c r="B11" s="7"/>
      <c r="C11" s="11" t="s">
        <v>26</v>
      </c>
      <c r="D11" s="12"/>
    </row>
    <row r="12" customFormat="false" ht="23.85" hidden="false" customHeight="false" outlineLevel="0" collapsed="false">
      <c r="A12" s="10" t="s">
        <v>67</v>
      </c>
      <c r="B12" s="7"/>
      <c r="C12" s="11" t="s">
        <v>26</v>
      </c>
      <c r="D12" s="12"/>
    </row>
    <row r="13" customFormat="false" ht="15" hidden="false" customHeight="false" outlineLevel="0" collapsed="false">
      <c r="A13" s="10" t="s">
        <v>68</v>
      </c>
      <c r="B13" s="7"/>
      <c r="C13" s="11" t="s">
        <v>24</v>
      </c>
      <c r="D13" s="12"/>
    </row>
    <row r="15" customFormat="false" ht="15" hidden="false" customHeight="false" outlineLevel="0" collapsed="false">
      <c r="A15" s="8" t="s">
        <v>32</v>
      </c>
      <c r="B15" s="9" t="s">
        <v>33</v>
      </c>
      <c r="C15" s="9" t="s">
        <v>21</v>
      </c>
      <c r="D15" s="9" t="s">
        <v>34</v>
      </c>
      <c r="E15" s="9" t="s">
        <v>22</v>
      </c>
    </row>
    <row r="16" customFormat="false" ht="15" hidden="false" customHeight="false" outlineLevel="0" collapsed="false">
      <c r="A16" s="10" t="s">
        <v>69</v>
      </c>
      <c r="B16" s="7"/>
      <c r="C16" s="11" t="s">
        <v>26</v>
      </c>
      <c r="D16" s="7" t="n">
        <v>3</v>
      </c>
      <c r="E16" s="12"/>
    </row>
    <row r="17" customFormat="false" ht="15" hidden="false" customHeight="false" outlineLevel="0" collapsed="false">
      <c r="A17" s="10" t="s">
        <v>70</v>
      </c>
      <c r="B17" s="7"/>
      <c r="C17" s="11" t="s">
        <v>26</v>
      </c>
      <c r="D17" s="7" t="n">
        <v>3</v>
      </c>
      <c r="E17" s="12"/>
    </row>
    <row r="18" customFormat="false" ht="15" hidden="false" customHeight="false" outlineLevel="0" collapsed="false">
      <c r="A18" s="10" t="s">
        <v>71</v>
      </c>
      <c r="B18" s="7"/>
      <c r="C18" s="11" t="s">
        <v>26</v>
      </c>
      <c r="D18" s="7" t="n">
        <v>1</v>
      </c>
      <c r="E18" s="12"/>
    </row>
    <row r="19" customFormat="false" ht="15" hidden="false" customHeight="false" outlineLevel="0" collapsed="false">
      <c r="A19" s="10" t="s">
        <v>72</v>
      </c>
      <c r="B19" s="7"/>
      <c r="C19" s="11" t="s">
        <v>26</v>
      </c>
      <c r="D19" s="7" t="n">
        <v>2</v>
      </c>
      <c r="E19" s="12"/>
    </row>
    <row r="20" customFormat="false" ht="15" hidden="false" customHeight="false" outlineLevel="0" collapsed="false">
      <c r="A20" s="10" t="s">
        <v>73</v>
      </c>
      <c r="B20" s="7"/>
      <c r="C20" s="11" t="s">
        <v>26</v>
      </c>
      <c r="D20" s="7" t="n">
        <v>2</v>
      </c>
      <c r="E20" s="12"/>
    </row>
    <row r="21" customFormat="false" ht="15" hidden="false" customHeight="false" outlineLevel="0" collapsed="false">
      <c r="A21" s="10" t="s">
        <v>74</v>
      </c>
      <c r="B21" s="7"/>
      <c r="C21" s="11" t="s">
        <v>24</v>
      </c>
      <c r="D21" s="7" t="n">
        <v>2</v>
      </c>
      <c r="E21" s="12"/>
    </row>
    <row r="22" customFormat="false" ht="15" hidden="false" customHeight="false" outlineLevel="0" collapsed="false">
      <c r="A22" s="10" t="s">
        <v>75</v>
      </c>
      <c r="B22" s="7"/>
      <c r="C22" s="11" t="s">
        <v>24</v>
      </c>
      <c r="D22" s="7" t="n">
        <v>2</v>
      </c>
      <c r="E22" s="12"/>
    </row>
    <row r="23" customFormat="false" ht="15" hidden="false" customHeight="false" outlineLevel="0" collapsed="false">
      <c r="A23" s="10" t="s">
        <v>76</v>
      </c>
      <c r="B23" s="7"/>
      <c r="C23" s="11" t="s">
        <v>24</v>
      </c>
      <c r="D23" s="7" t="n">
        <v>2</v>
      </c>
      <c r="E23" s="12"/>
    </row>
    <row r="24" customFormat="false" ht="15" hidden="false" customHeight="false" outlineLevel="0" collapsed="false">
      <c r="A24" s="10" t="s">
        <v>77</v>
      </c>
      <c r="B24" s="7"/>
      <c r="C24" s="11" t="s">
        <v>26</v>
      </c>
      <c r="D24" s="7" t="n">
        <v>1</v>
      </c>
      <c r="E24" s="12"/>
    </row>
    <row r="25" customFormat="false" ht="15" hidden="false" customHeight="false" outlineLevel="0" collapsed="false">
      <c r="A25" s="10" t="s">
        <v>78</v>
      </c>
      <c r="B25" s="7"/>
      <c r="C25" s="11" t="s">
        <v>26</v>
      </c>
      <c r="D25" s="7" t="n">
        <v>2</v>
      </c>
      <c r="E25" s="12"/>
    </row>
    <row r="27" customFormat="false" ht="15" hidden="false" customHeight="false" outlineLevel="0" collapsed="false">
      <c r="A27" s="6" t="s">
        <v>51</v>
      </c>
      <c r="B27" s="16" t="n">
        <v>0.7</v>
      </c>
    </row>
    <row r="28" customFormat="false" ht="15" hidden="false" customHeight="false" outlineLevel="0" collapsed="false">
      <c r="A28" s="6" t="s">
        <v>52</v>
      </c>
      <c r="B28" s="16" t="n">
        <v>0.5</v>
      </c>
    </row>
    <row r="29" customFormat="false" ht="15" hidden="false" customHeight="false" outlineLevel="0" collapsed="false">
      <c r="A29" s="6" t="s">
        <v>53</v>
      </c>
      <c r="B29" s="17" t="str">
        <f aca="false">IF(COUNT(B16:B25)=0,"",SUMPRODUCT(B16:B25,D16:D25)/(5*SUMPRODUCT((B16:B25&lt;&gt;"")*D16:D25)))</f>
        <v/>
      </c>
    </row>
    <row r="30" customFormat="false" ht="15" hidden="false" customHeight="false" outlineLevel="0" collapsed="false">
      <c r="A30" s="6" t="s">
        <v>54</v>
      </c>
      <c r="B30" s="11" t="str">
        <f aca="false">COUNTA(B9:B13)+COUNT(B16:B25)&amp;" / 15"</f>
        <v>0 / 15</v>
      </c>
    </row>
    <row r="31" customFormat="false" ht="15" hidden="false" customHeight="false" outlineLevel="0" collapsed="false">
      <c r="A31" s="18" t="s">
        <v>55</v>
      </c>
      <c r="B31" s="19" t="str">
        <f aca="false">IF(COUNTIF(B9:B13,"Non")&gt;0,"On exclut",IF(AND(B29&lt;&gt;"",B29&lt;B28),"On exclut",IF(OR(COUNTIF(B9:B13,"Oui")+COUNTIF(B9:B13,"Sans objet")&lt;5,COUNT(B16:B25)&lt;10,FALSE(),B29&lt;B27),"À vérifier","On poursuit")))</f>
        <v>À vérifier</v>
      </c>
    </row>
  </sheetData>
  <conditionalFormatting sqref="B31">
    <cfRule type="expression" priority="2" aboveAverage="0" equalAverage="0" bottom="0" percent="0" rank="0" text="" dxfId="0">
      <formula>B31="On poursuit"</formula>
    </cfRule>
    <cfRule type="expression" priority="3" aboveAverage="0" equalAverage="0" bottom="0" percent="0" rank="0" text="" dxfId="1">
      <formula>B31="À vérifier"</formula>
    </cfRule>
    <cfRule type="expression" priority="4" aboveAverage="0" equalAverage="0" bottom="0" percent="0" rank="0" text="" dxfId="2">
      <formula>B31="On exclut"</formula>
    </cfRule>
  </conditionalFormatting>
  <dataValidations count="5">
    <dataValidation allowBlank="false" errorStyle="stop" operator="between" showDropDown="false" showErrorMessage="false" showInputMessage="false" sqref="B9:B13" type="list">
      <formula1>"Oui,Non,À vérifier,Sans objet"</formula1>
      <formula2>0</formula2>
    </dataValidation>
    <dataValidation allowBlank="false" errorStyle="stop" operator="between" showDropDown="false" showErrorMessage="false" showInputMessage="false" sqref="B16:B25" type="whole">
      <formula1>1</formula1>
      <formula2>5</formula2>
    </dataValidation>
    <dataValidation allowBlank="false" errorStyle="stop" operator="between" showDropDown="false" showErrorMessage="false" showInputMessage="false" sqref="B4" type="list">
      <formula1>"Second en transition,Chef confirmé,Chef étoilé ou très demandé,Profil atypique"</formula1>
      <formula2>0</formula2>
    </dataValidation>
    <dataValidation allowBlank="false" errorStyle="stop" operator="between" showDropDown="false" showErrorMessage="false" showInputMessage="false" sqref="B5" type="list">
      <formula1>"Montant,Confirmé,Étoilé ou très demandé"</formula1>
      <formula2>0</formula2>
    </dataValidation>
    <dataValidation allowBlank="false" errorStyle="stop" operator="between" showDropDown="false" showErrorMessage="false" showInputMessage="false" sqref="B6" type="list">
      <formula1>"Ventes,Opérations,Ventes + Opérations"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2026-10-28T09:52:17Z</dcterms:created>
  <dc:creator>openpyxl</dc:creator>
  <dc:description/>
  <dc:language>en-US</dc:language>
  <cp:lastModifiedBy/>
  <dcterms:modified xsi:type="dcterms:W3CDTF">2026-10-28T09:52:17Z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