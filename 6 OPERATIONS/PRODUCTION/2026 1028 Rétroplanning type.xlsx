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Événement (exemple)" sheetId="2" state="visible" r:id="rId2"/>
    <sheet xmlns:r="http://schemas.openxmlformats.org/officeDocument/2006/relationships" name="Jalo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H : date fictive pour l'exemple, aucune date de pilote n'est arrêtée.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21" min="1" max="1"/>
  </cols>
  <sheetData>
    <row r="1" ht="17.35" customHeight="1" s="22">
      <c r="A1" s="23" t="inlineStr">
        <is>
          <t>Rétroplanning type d'un événement — Pop Tables</t>
        </is>
      </c>
    </row>
    <row r="2" ht="23.85" customHeight="1" s="22">
      <c r="A2" s="24" t="inlineStr">
        <is>
          <t>28/10/2026 · 6 OPERATIONS/PRODUCTION · Document de travail du pôle Opérations : propositions, rien n'est décidé (voir REGISTRE DES DECISIONS).</t>
        </is>
      </c>
    </row>
    <row r="3" ht="15" customHeight="1" s="22">
      <c r="A3" s="25" t="n"/>
    </row>
    <row r="4" ht="15" customHeight="1" s="22">
      <c r="A4" s="26" t="inlineStr">
        <is>
          <t>À quoi il sert</t>
        </is>
      </c>
    </row>
    <row r="5" ht="23.85" customHeight="1" s="22">
      <c r="A5" s="25" t="inlineStr">
        <is>
          <t>À partir de la date de l'événement (J) et de son niveau de criticité (C1, C2, C3), il calcule la date de chaque jalon, son responsable et le process concerné (voir « 2026 1028 Fiches process PR-01 à PR-10 »). Il signale les jalons en retard et un délai de préparation insuffisant.</t>
        </is>
      </c>
    </row>
    <row r="6" ht="15" customHeight="1" s="22">
      <c r="A6" s="25" t="n"/>
    </row>
    <row r="7" ht="15" customHeight="1" s="22">
      <c r="A7" s="26" t="inlineStr">
        <is>
          <t>Comment s'en servir</t>
        </is>
      </c>
    </row>
    <row r="8" ht="15" customHeight="1" s="22">
      <c r="A8" s="25" t="inlineStr">
        <is>
          <t>1. Dupliquer l'onglet « Événement (exemple) » pour chaque événement (clic droit sur l'onglet, puis Déplacer ou copier, en cochant Créer une copie).</t>
        </is>
      </c>
    </row>
    <row r="9" ht="15" customHeight="1" s="22">
      <c r="A9" s="25" t="inlineStr">
        <is>
          <t>2. Saisir uniquement les cellules jaunes : nom, date J, criticité. Le reste se calcule.</t>
        </is>
      </c>
    </row>
    <row r="10" ht="15" customHeight="1" s="22">
      <c r="A10" s="25" t="inlineStr">
        <is>
          <t>3. Mettre à jour la colonne Statut au fil de l'eau. Une ligne passe en rouge si sa date est dépassée sans être « Fait ».</t>
        </is>
      </c>
    </row>
    <row r="11" ht="15" customHeight="1" s="22">
      <c r="A11" s="25" t="inlineStr">
        <is>
          <t>4. Les décalages (en jours avant ou après J) se modifient dans l'onglet « Jalons ». Une case vide signifie que le jalon ne s'applique pas à ce niveau.</t>
        </is>
      </c>
    </row>
    <row r="12" ht="15" customHeight="1" s="22">
      <c r="A12" s="25" t="n"/>
    </row>
    <row r="13" ht="15" customHeight="1" s="22">
      <c r="A13" s="26" t="inlineStr">
        <is>
          <t>Fondements</t>
        </is>
      </c>
    </row>
    <row r="14" ht="35.05" customHeight="1" s="22">
      <c r="A14" s="25" t="inlineStr">
        <is>
          <t>Les jalons reprennent le plan des deux soirées pilotes du Produit (lieux et chefs à S-10, contrats à S-8, ventes à S-6, menu figé à S-3, seuil de confirmation à J-14, bilan à S+1), l'option de lancement du Marketing (invitation envoyée environ trois semaines avant) et les fiches process du pôle Opérations. Les autres décalages sont des propositions (P).</t>
        </is>
      </c>
    </row>
    <row r="15" ht="15" customHeight="1" s="22">
      <c r="A15" s="25" t="inlineStr">
        <is>
          <t>Codes couleur : texte bleu sur fond jaune = saisie · texte noir = calcul · texte vert = lien vers un autre onglet · fond rouge = jalon en retard.</t>
        </is>
      </c>
    </row>
    <row r="16" ht="15" customHeight="1" s="22">
      <c r="A16" s="25" t="inlineStr">
        <is>
          <t>L'exemple porte sur une date fictive (H) : aucune date de pilote n'est arrêtée.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21" min="1" max="1"/>
    <col width="50" customWidth="1" style="21" min="2" max="2"/>
    <col width="13" customWidth="1" style="21" min="3" max="3"/>
    <col width="20" customWidth="1" style="21" min="4" max="4"/>
    <col width="10" customWidth="1" style="21" min="5" max="5"/>
    <col width="12" customWidth="1" style="21" min="6" max="6"/>
    <col width="11" customWidth="1" style="21" min="7" max="7"/>
    <col width="10" customWidth="1" style="21" min="8" max="8"/>
    <col width="12" customWidth="1" style="21" min="9" max="9"/>
    <col width="30" customWidth="1" style="21" min="10" max="10"/>
  </cols>
  <sheetData>
    <row r="1" ht="17.35" customHeight="1" s="22">
      <c r="A1" s="27" t="inlineStr">
        <is>
          <t>Rétroplanning de l'événement</t>
        </is>
      </c>
    </row>
    <row r="2"/>
    <row r="3" ht="23.85" customHeight="1" s="22">
      <c r="A3" s="28" t="inlineStr">
        <is>
          <t>Nom de l'événement</t>
        </is>
      </c>
      <c r="B3" s="29" t="n"/>
      <c r="C3" s="30" t="inlineStr">
        <is>
          <t>Pilote 1 — Premier soir</t>
        </is>
      </c>
    </row>
    <row r="4" ht="15" customHeight="1" s="22">
      <c r="A4" s="28" t="inlineStr">
        <is>
          <t>Date de l'événement (J)</t>
        </is>
      </c>
      <c r="B4" s="29" t="n"/>
      <c r="C4" s="31" t="n">
        <v>46405</v>
      </c>
    </row>
    <row r="5" ht="15" customHeight="1" s="22">
      <c r="A5" s="28" t="inlineStr">
        <is>
          <t>Criticité (C1, C2, C3)</t>
        </is>
      </c>
      <c r="B5" s="29" t="n"/>
      <c r="C5" s="30" t="inlineStr">
        <is>
          <t>C2</t>
        </is>
      </c>
    </row>
    <row r="6"/>
    <row r="7" ht="15" customHeight="1" s="22">
      <c r="A7" s="28" t="inlineStr">
        <is>
          <t>Démarrage recommandé</t>
        </is>
      </c>
      <c r="B7" s="29" t="n"/>
      <c r="C7" s="32">
        <f>IF(C5="","",C4-7*INDEX(Jalons!$E$31:$G$31,MATCH(C5,Jalons!$E$30:$G$30,0)))</f>
        <v/>
      </c>
    </row>
    <row r="8" ht="15" customHeight="1" s="22">
      <c r="A8" s="28" t="inlineStr">
        <is>
          <t>Alerte de délai</t>
        </is>
      </c>
      <c r="B8" s="29" t="n"/>
      <c r="C8" s="33">
        <f>IF(C7="","",IF(TODAY()&gt;C7,"Délai inférieur au délai recommandé : à arbitrer","Délai suffisant"))</f>
        <v/>
      </c>
      <c r="D8" s="34" t="n"/>
      <c r="E8" s="34" t="n"/>
      <c r="F8" s="35" t="n"/>
    </row>
    <row r="9"/>
    <row r="10" ht="23.85" customHeight="1" s="22">
      <c r="A10" s="36" t="inlineStr">
        <is>
          <t>N°</t>
        </is>
      </c>
      <c r="B10" s="36" t="inlineStr">
        <is>
          <t>Jalon</t>
        </is>
      </c>
      <c r="C10" s="36" t="inlineStr">
        <is>
          <t>Process</t>
        </is>
      </c>
      <c r="D10" s="36" t="inlineStr">
        <is>
          <t>Responsable</t>
        </is>
      </c>
      <c r="E10" s="36" t="inlineStr">
        <is>
          <t>Décalage (jours)</t>
        </is>
      </c>
      <c r="F10" s="36" t="inlineStr">
        <is>
          <t>Date</t>
        </is>
      </c>
      <c r="G10" s="36" t="inlineStr">
        <is>
          <t>Jour</t>
        </is>
      </c>
      <c r="H10" s="36" t="inlineStr">
        <is>
          <t>Jours restants</t>
        </is>
      </c>
      <c r="I10" s="36" t="inlineStr">
        <is>
          <t>Statut</t>
        </is>
      </c>
      <c r="J10" s="36" t="inlineStr">
        <is>
          <t>Commentaire</t>
        </is>
      </c>
    </row>
    <row r="11" ht="15" customHeight="1" s="22">
      <c r="A11" s="37">
        <f>Jalons!A5</f>
        <v/>
      </c>
      <c r="B11" s="38">
        <f>Jalons!B5</f>
        <v/>
      </c>
      <c r="C11" s="37">
        <f>Jalons!C5</f>
        <v/>
      </c>
      <c r="D11" s="38">
        <f>Jalons!D5</f>
        <v/>
      </c>
      <c r="E11" s="33">
        <f>IF($C$5="","",IF(INDEX(Jalons!$E5:$G5,MATCH($C$5,Jalons!$E$4:$G$4,0))="","",INDEX(Jalons!$E5:$G5,MATCH($C$5,Jalons!$E$4:$G$4,0))))</f>
        <v/>
      </c>
      <c r="F11" s="32">
        <f>IF(OR($C$4="",E11=""),"Sans objet",$C$4+E11)</f>
        <v/>
      </c>
      <c r="G11" s="33">
        <f>IF(ISNUMBER(F11),CHOOSE(WEEKDAY(F11,2),"lundi","mardi","mercredi","jeudi","vendredi","samedi","dimanche"),"")</f>
        <v/>
      </c>
      <c r="H11" s="39">
        <f>IF(ISNUMBER(F11),F11-TODAY(),"")</f>
        <v/>
      </c>
      <c r="I11" s="30" t="inlineStr">
        <is>
          <t>À faire</t>
        </is>
      </c>
      <c r="J11" s="40" t="n"/>
    </row>
    <row r="12" ht="15" customHeight="1" s="22">
      <c r="A12" s="37">
        <f>Jalons!A6</f>
        <v/>
      </c>
      <c r="B12" s="38">
        <f>Jalons!B6</f>
        <v/>
      </c>
      <c r="C12" s="37">
        <f>Jalons!C6</f>
        <v/>
      </c>
      <c r="D12" s="38">
        <f>Jalons!D6</f>
        <v/>
      </c>
      <c r="E12" s="33">
        <f>IF($C$5="","",IF(INDEX(Jalons!$E6:$G6,MATCH($C$5,Jalons!$E$4:$G$4,0))="","",INDEX(Jalons!$E6:$G6,MATCH($C$5,Jalons!$E$4:$G$4,0))))</f>
        <v/>
      </c>
      <c r="F12" s="32">
        <f>IF(OR($C$4="",E12=""),"Sans objet",$C$4+E12)</f>
        <v/>
      </c>
      <c r="G12" s="33">
        <f>IF(ISNUMBER(F12),CHOOSE(WEEKDAY(F12,2),"lundi","mardi","mercredi","jeudi","vendredi","samedi","dimanche"),"")</f>
        <v/>
      </c>
      <c r="H12" s="39">
        <f>IF(ISNUMBER(F12),F12-TODAY(),"")</f>
        <v/>
      </c>
      <c r="I12" s="30" t="n"/>
      <c r="J12" s="40" t="n"/>
    </row>
    <row r="13" ht="15" customHeight="1" s="22">
      <c r="A13" s="37">
        <f>Jalons!A7</f>
        <v/>
      </c>
      <c r="B13" s="38">
        <f>Jalons!B7</f>
        <v/>
      </c>
      <c r="C13" s="37">
        <f>Jalons!C7</f>
        <v/>
      </c>
      <c r="D13" s="38">
        <f>Jalons!D7</f>
        <v/>
      </c>
      <c r="E13" s="33">
        <f>IF($C$5="","",IF(INDEX(Jalons!$E7:$G7,MATCH($C$5,Jalons!$E$4:$G$4,0))="","",INDEX(Jalons!$E7:$G7,MATCH($C$5,Jalons!$E$4:$G$4,0))))</f>
        <v/>
      </c>
      <c r="F13" s="32">
        <f>IF(OR($C$4="",E13=""),"Sans objet",$C$4+E13)</f>
        <v/>
      </c>
      <c r="G13" s="33">
        <f>IF(ISNUMBER(F13),CHOOSE(WEEKDAY(F13,2),"lundi","mardi","mercredi","jeudi","vendredi","samedi","dimanche"),"")</f>
        <v/>
      </c>
      <c r="H13" s="39">
        <f>IF(ISNUMBER(F13),F13-TODAY(),"")</f>
        <v/>
      </c>
      <c r="I13" s="30" t="n"/>
      <c r="J13" s="40" t="n"/>
    </row>
    <row r="14" ht="15" customHeight="1" s="22">
      <c r="A14" s="37">
        <f>Jalons!A8</f>
        <v/>
      </c>
      <c r="B14" s="38">
        <f>Jalons!B8</f>
        <v/>
      </c>
      <c r="C14" s="37">
        <f>Jalons!C8</f>
        <v/>
      </c>
      <c r="D14" s="38">
        <f>Jalons!D8</f>
        <v/>
      </c>
      <c r="E14" s="33">
        <f>IF($C$5="","",IF(INDEX(Jalons!$E8:$G8,MATCH($C$5,Jalons!$E$4:$G$4,0))="","",INDEX(Jalons!$E8:$G8,MATCH($C$5,Jalons!$E$4:$G$4,0))))</f>
        <v/>
      </c>
      <c r="F14" s="32">
        <f>IF(OR($C$4="",E14=""),"Sans objet",$C$4+E14)</f>
        <v/>
      </c>
      <c r="G14" s="33">
        <f>IF(ISNUMBER(F14),CHOOSE(WEEKDAY(F14,2),"lundi","mardi","mercredi","jeudi","vendredi","samedi","dimanche"),"")</f>
        <v/>
      </c>
      <c r="H14" s="39">
        <f>IF(ISNUMBER(F14),F14-TODAY(),"")</f>
        <v/>
      </c>
      <c r="I14" s="30" t="n"/>
      <c r="J14" s="40" t="n"/>
    </row>
    <row r="15" ht="23.85" customHeight="1" s="22">
      <c r="A15" s="37">
        <f>Jalons!A9</f>
        <v/>
      </c>
      <c r="B15" s="38">
        <f>Jalons!B9</f>
        <v/>
      </c>
      <c r="C15" s="37">
        <f>Jalons!C9</f>
        <v/>
      </c>
      <c r="D15" s="38">
        <f>Jalons!D9</f>
        <v/>
      </c>
      <c r="E15" s="33">
        <f>IF($C$5="","",IF(INDEX(Jalons!$E9:$G9,MATCH($C$5,Jalons!$E$4:$G$4,0))="","",INDEX(Jalons!$E9:$G9,MATCH($C$5,Jalons!$E$4:$G$4,0))))</f>
        <v/>
      </c>
      <c r="F15" s="32">
        <f>IF(OR($C$4="",E15=""),"Sans objet",$C$4+E15)</f>
        <v/>
      </c>
      <c r="G15" s="33">
        <f>IF(ISNUMBER(F15),CHOOSE(WEEKDAY(F15,2),"lundi","mardi","mercredi","jeudi","vendredi","samedi","dimanche"),"")</f>
        <v/>
      </c>
      <c r="H15" s="39">
        <f>IF(ISNUMBER(F15),F15-TODAY(),"")</f>
        <v/>
      </c>
      <c r="I15" s="30" t="n"/>
      <c r="J15" s="40" t="n"/>
    </row>
    <row r="16" ht="15" customHeight="1" s="22">
      <c r="A16" s="37">
        <f>Jalons!A10</f>
        <v/>
      </c>
      <c r="B16" s="38">
        <f>Jalons!B10</f>
        <v/>
      </c>
      <c r="C16" s="37">
        <f>Jalons!C10</f>
        <v/>
      </c>
      <c r="D16" s="38">
        <f>Jalons!D10</f>
        <v/>
      </c>
      <c r="E16" s="33">
        <f>IF($C$5="","",IF(INDEX(Jalons!$E10:$G10,MATCH($C$5,Jalons!$E$4:$G$4,0))="","",INDEX(Jalons!$E10:$G10,MATCH($C$5,Jalons!$E$4:$G$4,0))))</f>
        <v/>
      </c>
      <c r="F16" s="32">
        <f>IF(OR($C$4="",E16=""),"Sans objet",$C$4+E16)</f>
        <v/>
      </c>
      <c r="G16" s="33">
        <f>IF(ISNUMBER(F16),CHOOSE(WEEKDAY(F16,2),"lundi","mardi","mercredi","jeudi","vendredi","samedi","dimanche"),"")</f>
        <v/>
      </c>
      <c r="H16" s="39">
        <f>IF(ISNUMBER(F16),F16-TODAY(),"")</f>
        <v/>
      </c>
      <c r="I16" s="30" t="n"/>
      <c r="J16" s="40" t="n"/>
    </row>
    <row r="17" ht="15" customHeight="1" s="22">
      <c r="A17" s="37">
        <f>Jalons!A11</f>
        <v/>
      </c>
      <c r="B17" s="38">
        <f>Jalons!B11</f>
        <v/>
      </c>
      <c r="C17" s="37">
        <f>Jalons!C11</f>
        <v/>
      </c>
      <c r="D17" s="38">
        <f>Jalons!D11</f>
        <v/>
      </c>
      <c r="E17" s="33">
        <f>IF($C$5="","",IF(INDEX(Jalons!$E11:$G11,MATCH($C$5,Jalons!$E$4:$G$4,0))="","",INDEX(Jalons!$E11:$G11,MATCH($C$5,Jalons!$E$4:$G$4,0))))</f>
        <v/>
      </c>
      <c r="F17" s="32">
        <f>IF(OR($C$4="",E17=""),"Sans objet",$C$4+E17)</f>
        <v/>
      </c>
      <c r="G17" s="33">
        <f>IF(ISNUMBER(F17),CHOOSE(WEEKDAY(F17,2),"lundi","mardi","mercredi","jeudi","vendredi","samedi","dimanche"),"")</f>
        <v/>
      </c>
      <c r="H17" s="39">
        <f>IF(ISNUMBER(F17),F17-TODAY(),"")</f>
        <v/>
      </c>
      <c r="I17" s="30" t="n"/>
      <c r="J17" s="40" t="n"/>
    </row>
    <row r="18" ht="15" customHeight="1" s="22">
      <c r="A18" s="37">
        <f>Jalons!A12</f>
        <v/>
      </c>
      <c r="B18" s="38">
        <f>Jalons!B12</f>
        <v/>
      </c>
      <c r="C18" s="37">
        <f>Jalons!C12</f>
        <v/>
      </c>
      <c r="D18" s="38">
        <f>Jalons!D12</f>
        <v/>
      </c>
      <c r="E18" s="33">
        <f>IF($C$5="","",IF(INDEX(Jalons!$E12:$G12,MATCH($C$5,Jalons!$E$4:$G$4,0))="","",INDEX(Jalons!$E12:$G12,MATCH($C$5,Jalons!$E$4:$G$4,0))))</f>
        <v/>
      </c>
      <c r="F18" s="32">
        <f>IF(OR($C$4="",E18=""),"Sans objet",$C$4+E18)</f>
        <v/>
      </c>
      <c r="G18" s="33">
        <f>IF(ISNUMBER(F18),CHOOSE(WEEKDAY(F18,2),"lundi","mardi","mercredi","jeudi","vendredi","samedi","dimanche"),"")</f>
        <v/>
      </c>
      <c r="H18" s="39">
        <f>IF(ISNUMBER(F18),F18-TODAY(),"")</f>
        <v/>
      </c>
      <c r="I18" s="30" t="n"/>
      <c r="J18" s="40" t="n"/>
    </row>
    <row r="19" ht="15" customHeight="1" s="22">
      <c r="A19" s="37">
        <f>Jalons!A13</f>
        <v/>
      </c>
      <c r="B19" s="38">
        <f>Jalons!B13</f>
        <v/>
      </c>
      <c r="C19" s="37">
        <f>Jalons!C13</f>
        <v/>
      </c>
      <c r="D19" s="38">
        <f>Jalons!D13</f>
        <v/>
      </c>
      <c r="E19" s="33">
        <f>IF($C$5="","",IF(INDEX(Jalons!$E13:$G13,MATCH($C$5,Jalons!$E$4:$G$4,0))="","",INDEX(Jalons!$E13:$G13,MATCH($C$5,Jalons!$E$4:$G$4,0))))</f>
        <v/>
      </c>
      <c r="F19" s="32">
        <f>IF(OR($C$4="",E19=""),"Sans objet",$C$4+E19)</f>
        <v/>
      </c>
      <c r="G19" s="33">
        <f>IF(ISNUMBER(F19),CHOOSE(WEEKDAY(F19,2),"lundi","mardi","mercredi","jeudi","vendredi","samedi","dimanche"),"")</f>
        <v/>
      </c>
      <c r="H19" s="39">
        <f>IF(ISNUMBER(F19),F19-TODAY(),"")</f>
        <v/>
      </c>
      <c r="I19" s="30" t="n"/>
      <c r="J19" s="40" t="n"/>
    </row>
    <row r="20" ht="15" customHeight="1" s="22">
      <c r="A20" s="37">
        <f>Jalons!A14</f>
        <v/>
      </c>
      <c r="B20" s="38">
        <f>Jalons!B14</f>
        <v/>
      </c>
      <c r="C20" s="37">
        <f>Jalons!C14</f>
        <v/>
      </c>
      <c r="D20" s="38">
        <f>Jalons!D14</f>
        <v/>
      </c>
      <c r="E20" s="33">
        <f>IF($C$5="","",IF(INDEX(Jalons!$E14:$G14,MATCH($C$5,Jalons!$E$4:$G$4,0))="","",INDEX(Jalons!$E14:$G14,MATCH($C$5,Jalons!$E$4:$G$4,0))))</f>
        <v/>
      </c>
      <c r="F20" s="32">
        <f>IF(OR($C$4="",E20=""),"Sans objet",$C$4+E20)</f>
        <v/>
      </c>
      <c r="G20" s="33">
        <f>IF(ISNUMBER(F20),CHOOSE(WEEKDAY(F20,2),"lundi","mardi","mercredi","jeudi","vendredi","samedi","dimanche"),"")</f>
        <v/>
      </c>
      <c r="H20" s="39">
        <f>IF(ISNUMBER(F20),F20-TODAY(),"")</f>
        <v/>
      </c>
      <c r="I20" s="30" t="n"/>
      <c r="J20" s="40" t="n"/>
    </row>
    <row r="21" ht="15" customHeight="1" s="22">
      <c r="A21" s="37">
        <f>Jalons!A15</f>
        <v/>
      </c>
      <c r="B21" s="38">
        <f>Jalons!B15</f>
        <v/>
      </c>
      <c r="C21" s="37">
        <f>Jalons!C15</f>
        <v/>
      </c>
      <c r="D21" s="38">
        <f>Jalons!D15</f>
        <v/>
      </c>
      <c r="E21" s="33">
        <f>IF($C$5="","",IF(INDEX(Jalons!$E15:$G15,MATCH($C$5,Jalons!$E$4:$G$4,0))="","",INDEX(Jalons!$E15:$G15,MATCH($C$5,Jalons!$E$4:$G$4,0))))</f>
        <v/>
      </c>
      <c r="F21" s="32">
        <f>IF(OR($C$4="",E21=""),"Sans objet",$C$4+E21)</f>
        <v/>
      </c>
      <c r="G21" s="33">
        <f>IF(ISNUMBER(F21),CHOOSE(WEEKDAY(F21,2),"lundi","mardi","mercredi","jeudi","vendredi","samedi","dimanche"),"")</f>
        <v/>
      </c>
      <c r="H21" s="39">
        <f>IF(ISNUMBER(F21),F21-TODAY(),"")</f>
        <v/>
      </c>
      <c r="I21" s="30" t="n"/>
      <c r="J21" s="40" t="n"/>
    </row>
    <row r="22" ht="15" customHeight="1" s="22">
      <c r="A22" s="37">
        <f>Jalons!A16</f>
        <v/>
      </c>
      <c r="B22" s="38">
        <f>Jalons!B16</f>
        <v/>
      </c>
      <c r="C22" s="37">
        <f>Jalons!C16</f>
        <v/>
      </c>
      <c r="D22" s="38">
        <f>Jalons!D16</f>
        <v/>
      </c>
      <c r="E22" s="33">
        <f>IF($C$5="","",IF(INDEX(Jalons!$E16:$G16,MATCH($C$5,Jalons!$E$4:$G$4,0))="","",INDEX(Jalons!$E16:$G16,MATCH($C$5,Jalons!$E$4:$G$4,0))))</f>
        <v/>
      </c>
      <c r="F22" s="32">
        <f>IF(OR($C$4="",E22=""),"Sans objet",$C$4+E22)</f>
        <v/>
      </c>
      <c r="G22" s="33">
        <f>IF(ISNUMBER(F22),CHOOSE(WEEKDAY(F22,2),"lundi","mardi","mercredi","jeudi","vendredi","samedi","dimanche"),"")</f>
        <v/>
      </c>
      <c r="H22" s="39">
        <f>IF(ISNUMBER(F22),F22-TODAY(),"")</f>
        <v/>
      </c>
      <c r="I22" s="30" t="n"/>
      <c r="J22" s="40" t="n"/>
    </row>
    <row r="23" ht="23.85" customHeight="1" s="22">
      <c r="A23" s="37">
        <f>Jalons!A17</f>
        <v/>
      </c>
      <c r="B23" s="38">
        <f>Jalons!B17</f>
        <v/>
      </c>
      <c r="C23" s="37">
        <f>Jalons!C17</f>
        <v/>
      </c>
      <c r="D23" s="38">
        <f>Jalons!D17</f>
        <v/>
      </c>
      <c r="E23" s="33">
        <f>IF($C$5="","",IF(INDEX(Jalons!$E17:$G17,MATCH($C$5,Jalons!$E$4:$G$4,0))="","",INDEX(Jalons!$E17:$G17,MATCH($C$5,Jalons!$E$4:$G$4,0))))</f>
        <v/>
      </c>
      <c r="F23" s="32">
        <f>IF(OR($C$4="",E23=""),"Sans objet",$C$4+E23)</f>
        <v/>
      </c>
      <c r="G23" s="33">
        <f>IF(ISNUMBER(F23),CHOOSE(WEEKDAY(F23,2),"lundi","mardi","mercredi","jeudi","vendredi","samedi","dimanche"),"")</f>
        <v/>
      </c>
      <c r="H23" s="39">
        <f>IF(ISNUMBER(F23),F23-TODAY(),"")</f>
        <v/>
      </c>
      <c r="I23" s="30" t="n"/>
      <c r="J23" s="40" t="n"/>
    </row>
    <row r="24" ht="15" customHeight="1" s="22">
      <c r="A24" s="37">
        <f>Jalons!A18</f>
        <v/>
      </c>
      <c r="B24" s="38">
        <f>Jalons!B18</f>
        <v/>
      </c>
      <c r="C24" s="37">
        <f>Jalons!C18</f>
        <v/>
      </c>
      <c r="D24" s="38">
        <f>Jalons!D18</f>
        <v/>
      </c>
      <c r="E24" s="33">
        <f>IF($C$5="","",IF(INDEX(Jalons!$E18:$G18,MATCH($C$5,Jalons!$E$4:$G$4,0))="","",INDEX(Jalons!$E18:$G18,MATCH($C$5,Jalons!$E$4:$G$4,0))))</f>
        <v/>
      </c>
      <c r="F24" s="32">
        <f>IF(OR($C$4="",E24=""),"Sans objet",$C$4+E24)</f>
        <v/>
      </c>
      <c r="G24" s="33">
        <f>IF(ISNUMBER(F24),CHOOSE(WEEKDAY(F24,2),"lundi","mardi","mercredi","jeudi","vendredi","samedi","dimanche"),"")</f>
        <v/>
      </c>
      <c r="H24" s="39">
        <f>IF(ISNUMBER(F24),F24-TODAY(),"")</f>
        <v/>
      </c>
      <c r="I24" s="30" t="n"/>
      <c r="J24" s="40" t="n"/>
    </row>
    <row r="25" ht="15" customHeight="1" s="22">
      <c r="A25" s="37">
        <f>Jalons!A19</f>
        <v/>
      </c>
      <c r="B25" s="38">
        <f>Jalons!B19</f>
        <v/>
      </c>
      <c r="C25" s="37">
        <f>Jalons!C19</f>
        <v/>
      </c>
      <c r="D25" s="38">
        <f>Jalons!D19</f>
        <v/>
      </c>
      <c r="E25" s="33">
        <f>IF($C$5="","",IF(INDEX(Jalons!$E19:$G19,MATCH($C$5,Jalons!$E$4:$G$4,0))="","",INDEX(Jalons!$E19:$G19,MATCH($C$5,Jalons!$E$4:$G$4,0))))</f>
        <v/>
      </c>
      <c r="F25" s="32">
        <f>IF(OR($C$4="",E25=""),"Sans objet",$C$4+E25)</f>
        <v/>
      </c>
      <c r="G25" s="33">
        <f>IF(ISNUMBER(F25),CHOOSE(WEEKDAY(F25,2),"lundi","mardi","mercredi","jeudi","vendredi","samedi","dimanche"),"")</f>
        <v/>
      </c>
      <c r="H25" s="39">
        <f>IF(ISNUMBER(F25),F25-TODAY(),"")</f>
        <v/>
      </c>
      <c r="I25" s="30" t="n"/>
      <c r="J25" s="40" t="n"/>
    </row>
    <row r="26" ht="15" customHeight="1" s="22">
      <c r="A26" s="37">
        <f>Jalons!A20</f>
        <v/>
      </c>
      <c r="B26" s="38">
        <f>Jalons!B20</f>
        <v/>
      </c>
      <c r="C26" s="37">
        <f>Jalons!C20</f>
        <v/>
      </c>
      <c r="D26" s="38">
        <f>Jalons!D20</f>
        <v/>
      </c>
      <c r="E26" s="33">
        <f>IF($C$5="","",IF(INDEX(Jalons!$E20:$G20,MATCH($C$5,Jalons!$E$4:$G$4,0))="","",INDEX(Jalons!$E20:$G20,MATCH($C$5,Jalons!$E$4:$G$4,0))))</f>
        <v/>
      </c>
      <c r="F26" s="32">
        <f>IF(OR($C$4="",E26=""),"Sans objet",$C$4+E26)</f>
        <v/>
      </c>
      <c r="G26" s="33">
        <f>IF(ISNUMBER(F26),CHOOSE(WEEKDAY(F26,2),"lundi","mardi","mercredi","jeudi","vendredi","samedi","dimanche"),"")</f>
        <v/>
      </c>
      <c r="H26" s="39">
        <f>IF(ISNUMBER(F26),F26-TODAY(),"")</f>
        <v/>
      </c>
      <c r="I26" s="30" t="n"/>
      <c r="J26" s="40" t="n"/>
    </row>
    <row r="27" ht="15" customHeight="1" s="22">
      <c r="A27" s="37">
        <f>Jalons!A21</f>
        <v/>
      </c>
      <c r="B27" s="38">
        <f>Jalons!B21</f>
        <v/>
      </c>
      <c r="C27" s="37">
        <f>Jalons!C21</f>
        <v/>
      </c>
      <c r="D27" s="38">
        <f>Jalons!D21</f>
        <v/>
      </c>
      <c r="E27" s="33">
        <f>IF($C$5="","",IF(INDEX(Jalons!$E21:$G21,MATCH($C$5,Jalons!$E$4:$G$4,0))="","",INDEX(Jalons!$E21:$G21,MATCH($C$5,Jalons!$E$4:$G$4,0))))</f>
        <v/>
      </c>
      <c r="F27" s="32">
        <f>IF(OR($C$4="",E27=""),"Sans objet",$C$4+E27)</f>
        <v/>
      </c>
      <c r="G27" s="33">
        <f>IF(ISNUMBER(F27),CHOOSE(WEEKDAY(F27,2),"lundi","mardi","mercredi","jeudi","vendredi","samedi","dimanche"),"")</f>
        <v/>
      </c>
      <c r="H27" s="39">
        <f>IF(ISNUMBER(F27),F27-TODAY(),"")</f>
        <v/>
      </c>
      <c r="I27" s="30" t="n"/>
      <c r="J27" s="40" t="n"/>
    </row>
    <row r="28" ht="15" customHeight="1" s="22">
      <c r="A28" s="37">
        <f>Jalons!A22</f>
        <v/>
      </c>
      <c r="B28" s="38">
        <f>Jalons!B22</f>
        <v/>
      </c>
      <c r="C28" s="37">
        <f>Jalons!C22</f>
        <v/>
      </c>
      <c r="D28" s="38">
        <f>Jalons!D22</f>
        <v/>
      </c>
      <c r="E28" s="33">
        <f>IF($C$5="","",IF(INDEX(Jalons!$E22:$G22,MATCH($C$5,Jalons!$E$4:$G$4,0))="","",INDEX(Jalons!$E22:$G22,MATCH($C$5,Jalons!$E$4:$G$4,0))))</f>
        <v/>
      </c>
      <c r="F28" s="32">
        <f>IF(OR($C$4="",E28=""),"Sans objet",$C$4+E28)</f>
        <v/>
      </c>
      <c r="G28" s="33">
        <f>IF(ISNUMBER(F28),CHOOSE(WEEKDAY(F28,2),"lundi","mardi","mercredi","jeudi","vendredi","samedi","dimanche"),"")</f>
        <v/>
      </c>
      <c r="H28" s="39">
        <f>IF(ISNUMBER(F28),F28-TODAY(),"")</f>
        <v/>
      </c>
      <c r="I28" s="30" t="n"/>
      <c r="J28" s="40" t="n"/>
    </row>
    <row r="29" ht="15" customHeight="1" s="22">
      <c r="A29" s="37">
        <f>Jalons!A23</f>
        <v/>
      </c>
      <c r="B29" s="38">
        <f>Jalons!B23</f>
        <v/>
      </c>
      <c r="C29" s="37">
        <f>Jalons!C23</f>
        <v/>
      </c>
      <c r="D29" s="38">
        <f>Jalons!D23</f>
        <v/>
      </c>
      <c r="E29" s="33">
        <f>IF($C$5="","",IF(INDEX(Jalons!$E23:$G23,MATCH($C$5,Jalons!$E$4:$G$4,0))="","",INDEX(Jalons!$E23:$G23,MATCH($C$5,Jalons!$E$4:$G$4,0))))</f>
        <v/>
      </c>
      <c r="F29" s="32">
        <f>IF(OR($C$4="",E29=""),"Sans objet",$C$4+E29)</f>
        <v/>
      </c>
      <c r="G29" s="33">
        <f>IF(ISNUMBER(F29),CHOOSE(WEEKDAY(F29,2),"lundi","mardi","mercredi","jeudi","vendredi","samedi","dimanche"),"")</f>
        <v/>
      </c>
      <c r="H29" s="39">
        <f>IF(ISNUMBER(F29),F29-TODAY(),"")</f>
        <v/>
      </c>
      <c r="I29" s="30" t="n"/>
      <c r="J29" s="40" t="n"/>
    </row>
    <row r="30" ht="15" customHeight="1" s="22">
      <c r="A30" s="37">
        <f>Jalons!A24</f>
        <v/>
      </c>
      <c r="B30" s="38">
        <f>Jalons!B24</f>
        <v/>
      </c>
      <c r="C30" s="37">
        <f>Jalons!C24</f>
        <v/>
      </c>
      <c r="D30" s="38">
        <f>Jalons!D24</f>
        <v/>
      </c>
      <c r="E30" s="33">
        <f>IF($C$5="","",IF(INDEX(Jalons!$E24:$G24,MATCH($C$5,Jalons!$E$4:$G$4,0))="","",INDEX(Jalons!$E24:$G24,MATCH($C$5,Jalons!$E$4:$G$4,0))))</f>
        <v/>
      </c>
      <c r="F30" s="32">
        <f>IF(OR($C$4="",E30=""),"Sans objet",$C$4+E30)</f>
        <v/>
      </c>
      <c r="G30" s="33">
        <f>IF(ISNUMBER(F30),CHOOSE(WEEKDAY(F30,2),"lundi","mardi","mercredi","jeudi","vendredi","samedi","dimanche"),"")</f>
        <v/>
      </c>
      <c r="H30" s="39">
        <f>IF(ISNUMBER(F30),F30-TODAY(),"")</f>
        <v/>
      </c>
      <c r="I30" s="30" t="n"/>
      <c r="J30" s="40" t="n"/>
    </row>
    <row r="31" ht="15" customHeight="1" s="22">
      <c r="A31" s="37">
        <f>Jalons!A25</f>
        <v/>
      </c>
      <c r="B31" s="38">
        <f>Jalons!B25</f>
        <v/>
      </c>
      <c r="C31" s="37">
        <f>Jalons!C25</f>
        <v/>
      </c>
      <c r="D31" s="38">
        <f>Jalons!D25</f>
        <v/>
      </c>
      <c r="E31" s="33">
        <f>IF($C$5="","",IF(INDEX(Jalons!$E25:$G25,MATCH($C$5,Jalons!$E$4:$G$4,0))="","",INDEX(Jalons!$E25:$G25,MATCH($C$5,Jalons!$E$4:$G$4,0))))</f>
        <v/>
      </c>
      <c r="F31" s="32">
        <f>IF(OR($C$4="",E31=""),"Sans objet",$C$4+E31)</f>
        <v/>
      </c>
      <c r="G31" s="33">
        <f>IF(ISNUMBER(F31),CHOOSE(WEEKDAY(F31,2),"lundi","mardi","mercredi","jeudi","vendredi","samedi","dimanche"),"")</f>
        <v/>
      </c>
      <c r="H31" s="39">
        <f>IF(ISNUMBER(F31),F31-TODAY(),"")</f>
        <v/>
      </c>
      <c r="I31" s="30" t="n"/>
      <c r="J31" s="40" t="n"/>
    </row>
    <row r="32" ht="23.85" customHeight="1" s="22">
      <c r="A32" s="37">
        <f>Jalons!A26</f>
        <v/>
      </c>
      <c r="B32" s="38">
        <f>Jalons!B26</f>
        <v/>
      </c>
      <c r="C32" s="37">
        <f>Jalons!C26</f>
        <v/>
      </c>
      <c r="D32" s="38">
        <f>Jalons!D26</f>
        <v/>
      </c>
      <c r="E32" s="33">
        <f>IF($C$5="","",IF(INDEX(Jalons!$E26:$G26,MATCH($C$5,Jalons!$E$4:$G$4,0))="","",INDEX(Jalons!$E26:$G26,MATCH($C$5,Jalons!$E$4:$G$4,0))))</f>
        <v/>
      </c>
      <c r="F32" s="32">
        <f>IF(OR($C$4="",E32=""),"Sans objet",$C$4+E32)</f>
        <v/>
      </c>
      <c r="G32" s="33">
        <f>IF(ISNUMBER(F32),CHOOSE(WEEKDAY(F32,2),"lundi","mardi","mercredi","jeudi","vendredi","samedi","dimanche"),"")</f>
        <v/>
      </c>
      <c r="H32" s="39">
        <f>IF(ISNUMBER(F32),F32-TODAY(),"")</f>
        <v/>
      </c>
      <c r="I32" s="30" t="n"/>
      <c r="J32" s="40" t="n"/>
    </row>
    <row r="33" ht="15" customHeight="1" s="22">
      <c r="A33" s="37">
        <f>Jalons!A27</f>
        <v/>
      </c>
      <c r="B33" s="38">
        <f>Jalons!B27</f>
        <v/>
      </c>
      <c r="C33" s="37">
        <f>Jalons!C27</f>
        <v/>
      </c>
      <c r="D33" s="38">
        <f>Jalons!D27</f>
        <v/>
      </c>
      <c r="E33" s="33">
        <f>IF($C$5="","",IF(INDEX(Jalons!$E27:$G27,MATCH($C$5,Jalons!$E$4:$G$4,0))="","",INDEX(Jalons!$E27:$G27,MATCH($C$5,Jalons!$E$4:$G$4,0))))</f>
        <v/>
      </c>
      <c r="F33" s="32">
        <f>IF(OR($C$4="",E33=""),"Sans objet",$C$4+E33)</f>
        <v/>
      </c>
      <c r="G33" s="33">
        <f>IF(ISNUMBER(F33),CHOOSE(WEEKDAY(F33,2),"lundi","mardi","mercredi","jeudi","vendredi","samedi","dimanche"),"")</f>
        <v/>
      </c>
      <c r="H33" s="39">
        <f>IF(ISNUMBER(F33),F33-TODAY(),"")</f>
        <v/>
      </c>
      <c r="I33" s="30" t="n"/>
      <c r="J33" s="40" t="n"/>
    </row>
    <row r="34" ht="23.85" customHeight="1" s="22">
      <c r="A34" s="37">
        <f>Jalons!A28</f>
        <v/>
      </c>
      <c r="B34" s="38">
        <f>Jalons!B28</f>
        <v/>
      </c>
      <c r="C34" s="37">
        <f>Jalons!C28</f>
        <v/>
      </c>
      <c r="D34" s="38">
        <f>Jalons!D28</f>
        <v/>
      </c>
      <c r="E34" s="33">
        <f>IF($C$5="","",IF(INDEX(Jalons!$E28:$G28,MATCH($C$5,Jalons!$E$4:$G$4,0))="","",INDEX(Jalons!$E28:$G28,MATCH($C$5,Jalons!$E$4:$G$4,0))))</f>
        <v/>
      </c>
      <c r="F34" s="32">
        <f>IF(OR($C$4="",E34=""),"Sans objet",$C$4+E34)</f>
        <v/>
      </c>
      <c r="G34" s="33">
        <f>IF(ISNUMBER(F34),CHOOSE(WEEKDAY(F34,2),"lundi","mardi","mercredi","jeudi","vendredi","samedi","dimanche"),"")</f>
        <v/>
      </c>
      <c r="H34" s="39">
        <f>IF(ISNUMBER(F34),F34-TODAY(),"")</f>
        <v/>
      </c>
      <c r="I34" s="30" t="n"/>
      <c r="J34" s="40" t="n"/>
    </row>
  </sheetData>
  <mergeCells count="1">
    <mergeCell ref="C8:F8"/>
  </mergeCells>
  <conditionalFormatting sqref="A11:J34">
    <cfRule type="expression" rank="0" priority="2" equalAverage="0" aboveAverage="0" dxfId="0" text="" percent="0" bottom="0">
      <formula>AND(ISNUMBER($F11),$F11&lt;TODAY(),$I11&lt;&gt;"Fait",$I11&lt;&gt;"Sans objet")</formula>
    </cfRule>
    <cfRule type="expression" rank="0" priority="3" equalAverage="0" aboveAverage="0" dxfId="1" text="" percent="0" bottom="0">
      <formula>$I11="Fait"</formula>
    </cfRule>
    <cfRule type="expression" rank="0" priority="4" equalAverage="0" aboveAverage="0" dxfId="2" text="" percent="0" bottom="0">
      <formula>$F11="Sans objet"</formula>
    </cfRule>
  </conditionalFormatting>
  <dataValidations count="2">
    <dataValidation sqref="C5" showDropDown="0" showInputMessage="0" showErrorMessage="0" allowBlank="0" type="list" errorStyle="stop" operator="between">
      <formula1>"C1,C2,C3"</formula1>
      <formula2>0</formula2>
    </dataValidation>
    <dataValidation sqref="I11:I34" showDropDown="0" showInputMessage="0" showErrorMessage="0" allowBlank="0" type="list" errorStyle="stop" operator="between">
      <formula1>"À faire,En cours,Fait,Sans objet"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52" customWidth="1" style="21" min="2" max="2"/>
    <col width="13" customWidth="1" style="21" min="3" max="3"/>
    <col width="20" customWidth="1" style="21" min="4" max="4"/>
    <col width="8" customWidth="1" style="21" min="5" max="7"/>
    <col width="9" customWidth="1" style="21" min="8" max="8"/>
    <col width="60" customWidth="1" style="21" min="9" max="9"/>
  </cols>
  <sheetData>
    <row r="1" ht="17.35" customHeight="1" s="22">
      <c r="A1" s="27" t="inlineStr">
        <is>
          <t>Jalons et décalages par niveau de criticité</t>
        </is>
      </c>
    </row>
    <row r="2" ht="15" customHeight="1" s="22">
      <c r="A2" s="41" t="inlineStr">
        <is>
          <t>Décalage en jours par rapport au jour J (négatif = avant). Case vide = sans objet à ce niveau. Cellules jaunes modifiables.</t>
        </is>
      </c>
    </row>
    <row r="3"/>
    <row r="4" ht="15" customHeight="1" s="22">
      <c r="A4" s="36" t="inlineStr">
        <is>
          <t>N°</t>
        </is>
      </c>
      <c r="B4" s="36" t="inlineStr">
        <is>
          <t>Jalon</t>
        </is>
      </c>
      <c r="C4" s="36" t="inlineStr">
        <is>
          <t>Process</t>
        </is>
      </c>
      <c r="D4" s="36" t="inlineStr">
        <is>
          <t>Responsable</t>
        </is>
      </c>
      <c r="E4" s="36" t="inlineStr">
        <is>
          <t>C1</t>
        </is>
      </c>
      <c r="F4" s="36" t="inlineStr">
        <is>
          <t>C2</t>
        </is>
      </c>
      <c r="G4" s="36" t="inlineStr">
        <is>
          <t>C3</t>
        </is>
      </c>
      <c r="H4" s="36" t="inlineStr">
        <is>
          <t>Nature</t>
        </is>
      </c>
      <c r="I4" s="36" t="inlineStr">
        <is>
          <t>Fondement</t>
        </is>
      </c>
    </row>
    <row r="5" ht="23.85" customHeight="1" s="22">
      <c r="A5" s="33" t="n">
        <v>1</v>
      </c>
      <c r="B5" s="42" t="inlineStr">
        <is>
          <t>Ouverture du dossier, catégorie fixée, fiche technique v1</t>
        </is>
      </c>
      <c r="C5" s="42" t="inlineStr">
        <is>
          <t>PR-03</t>
        </is>
      </c>
      <c r="D5" s="42" t="inlineStr">
        <is>
          <t>Opérations</t>
        </is>
      </c>
      <c r="E5" s="30" t="n">
        <v>-56</v>
      </c>
      <c r="F5" s="30" t="n">
        <v>-70</v>
      </c>
      <c r="G5" s="30" t="n">
        <v>-84</v>
      </c>
      <c r="H5" s="42" t="inlineStr">
        <is>
          <t>P / F</t>
        </is>
      </c>
      <c r="I5" s="42" t="inlineStr">
        <is>
          <t>Plan des pilotes du Produit : lieux et chefs à S-10 (C2) ; C1 : 2 semaines avant les ventes ; C3 : 2 semaines de plus</t>
        </is>
      </c>
    </row>
    <row r="6" ht="15" customHeight="1" s="22">
      <c r="A6" s="33" t="n">
        <v>2</v>
      </c>
      <c r="B6" s="42" t="inlineStr">
        <is>
          <t>Lieu qualifié (fiche du lieu)</t>
        </is>
      </c>
      <c r="C6" s="42" t="inlineStr">
        <is>
          <t>PR-01</t>
        </is>
      </c>
      <c r="D6" s="42" t="inlineStr">
        <is>
          <t>Ventes + Opérations</t>
        </is>
      </c>
      <c r="E6" s="30" t="n">
        <v>-56</v>
      </c>
      <c r="F6" s="30" t="n">
        <v>-70</v>
      </c>
      <c r="G6" s="30" t="n">
        <v>-84</v>
      </c>
      <c r="H6" s="42" t="inlineStr">
        <is>
          <t>P / F</t>
        </is>
      </c>
      <c r="I6" s="42" t="inlineStr">
        <is>
          <t>Plan des pilotes du Produit : S-10</t>
        </is>
      </c>
    </row>
    <row r="7" ht="15" customHeight="1" s="22">
      <c r="A7" s="33" t="n">
        <v>3</v>
      </c>
      <c r="B7" s="42" t="inlineStr">
        <is>
          <t>Chef engagé, chef de secours identifié</t>
        </is>
      </c>
      <c r="C7" s="42" t="inlineStr">
        <is>
          <t>PR-02</t>
        </is>
      </c>
      <c r="D7" s="42" t="inlineStr">
        <is>
          <t>Ventes + Opérations</t>
        </is>
      </c>
      <c r="E7" s="30" t="n">
        <v>-56</v>
      </c>
      <c r="F7" s="30" t="n">
        <v>-70</v>
      </c>
      <c r="G7" s="30" t="n">
        <v>-84</v>
      </c>
      <c r="H7" s="42" t="inlineStr">
        <is>
          <t>P / F</t>
        </is>
      </c>
      <c r="I7" s="42" t="inlineStr">
        <is>
          <t>Plan des pilotes du Produit : S-10</t>
        </is>
      </c>
    </row>
    <row r="8" ht="15" customHeight="1" s="22">
      <c r="A8" s="33" t="n">
        <v>4</v>
      </c>
      <c r="B8" s="42" t="inlineStr">
        <is>
          <t>Devis de staffing et de fournisseurs reçus</t>
        </is>
      </c>
      <c r="C8" s="42" t="inlineStr">
        <is>
          <t>PR-04, PR-05</t>
        </is>
      </c>
      <c r="D8" s="42" t="inlineStr">
        <is>
          <t>Opérations</t>
        </is>
      </c>
      <c r="E8" s="30" t="n">
        <v>-49</v>
      </c>
      <c r="F8" s="30" t="n">
        <v>-63</v>
      </c>
      <c r="G8" s="30" t="n">
        <v>-70</v>
      </c>
      <c r="H8" s="42" t="inlineStr">
        <is>
          <t>P</t>
        </is>
      </c>
      <c r="I8" s="42" t="n"/>
    </row>
    <row r="9" ht="23.85" customHeight="1" s="22">
      <c r="A9" s="33" t="n">
        <v>5</v>
      </c>
      <c r="B9" s="42" t="inlineStr">
        <is>
          <t>Contrats du lieu et du chef signés ; assurance ; licence de Pop Tables déclarée (D-09) avant toute commande de vin ; contrat M04 avec AdVini signé ; plan de maîtrise sanitaire en place</t>
        </is>
      </c>
      <c r="C9" s="42" t="inlineStr">
        <is>
          <t>PR-02</t>
        </is>
      </c>
      <c r="D9" s="42" t="inlineStr">
        <is>
          <t>Juridique</t>
        </is>
      </c>
      <c r="E9" s="30" t="n">
        <v>-49</v>
      </c>
      <c r="F9" s="30" t="n">
        <v>-56</v>
      </c>
      <c r="G9" s="30" t="n">
        <v>-63</v>
      </c>
      <c r="H9" s="42" t="inlineStr">
        <is>
          <t>P / F</t>
        </is>
      </c>
      <c r="I9" s="42" t="inlineStr">
        <is>
          <t>Plan des pilotes du Produit : contrats à S-8, signés avant l'ouverture des ventes</t>
        </is>
      </c>
    </row>
    <row r="10" ht="15" customHeight="1" s="22">
      <c r="A10" s="33" t="n">
        <v>6</v>
      </c>
      <c r="B10" s="42" t="inlineStr">
        <is>
          <t>Budget réel validé</t>
        </is>
      </c>
      <c r="C10" s="42" t="inlineStr">
        <is>
          <t>PR-10</t>
        </is>
      </c>
      <c r="D10" s="42" t="inlineStr">
        <is>
          <t>Finance</t>
        </is>
      </c>
      <c r="E10" s="30" t="n">
        <v>-45</v>
      </c>
      <c r="F10" s="30" t="n">
        <v>-49</v>
      </c>
      <c r="G10" s="30" t="n">
        <v>-56</v>
      </c>
      <c r="H10" s="42" t="inlineStr">
        <is>
          <t>P</t>
        </is>
      </c>
      <c r="I10" s="42" t="n"/>
    </row>
    <row r="11" ht="15" customHeight="1" s="22">
      <c r="A11" s="33" t="n">
        <v>7</v>
      </c>
      <c r="B11" s="42" t="inlineStr">
        <is>
          <t>Ouverture des ventes (offre A) ou signature du client (offre B)</t>
        </is>
      </c>
      <c r="C11" s="42" t="inlineStr">
        <is>
          <t>—</t>
        </is>
      </c>
      <c r="D11" s="42" t="inlineStr">
        <is>
          <t>Marketing / Ventes</t>
        </is>
      </c>
      <c r="E11" s="30" t="n">
        <v>-42</v>
      </c>
      <c r="F11" s="30" t="n">
        <v>-42</v>
      </c>
      <c r="G11" s="30" t="n">
        <v>-42</v>
      </c>
      <c r="H11" s="42" t="inlineStr">
        <is>
          <t>F</t>
        </is>
      </c>
      <c r="I11" s="42" t="inlineStr">
        <is>
          <t>Plan des pilotes du Produit : ventes à S-6</t>
        </is>
      </c>
    </row>
    <row r="12" ht="15" customHeight="1" s="22">
      <c r="A12" s="33" t="n">
        <v>8</v>
      </c>
      <c r="B12" s="42" t="inlineStr">
        <is>
          <t>Produits rares ou importés commandés</t>
        </is>
      </c>
      <c r="C12" s="42" t="inlineStr">
        <is>
          <t>PR-05</t>
        </is>
      </c>
      <c r="D12" s="42" t="inlineStr">
        <is>
          <t>Opérations</t>
        </is>
      </c>
      <c r="E12" s="30" t="n"/>
      <c r="F12" s="30" t="n">
        <v>-35</v>
      </c>
      <c r="G12" s="30" t="n">
        <v>-42</v>
      </c>
      <c r="H12" s="42" t="inlineStr">
        <is>
          <t>P</t>
        </is>
      </c>
      <c r="I12" s="42" t="n"/>
    </row>
    <row r="13" ht="15" customHeight="1" s="22">
      <c r="A13" s="33" t="n">
        <v>9</v>
      </c>
      <c r="B13" s="42" t="inlineStr">
        <is>
          <t>Menu et accords figés, fiche technique v2</t>
        </is>
      </c>
      <c r="C13" s="42" t="inlineStr">
        <is>
          <t>PR-03</t>
        </is>
      </c>
      <c r="D13" s="42" t="inlineStr">
        <is>
          <t>Chef + Opérations</t>
        </is>
      </c>
      <c r="E13" s="30" t="n">
        <v>-21</v>
      </c>
      <c r="F13" s="30" t="n">
        <v>-21</v>
      </c>
      <c r="G13" s="30" t="n">
        <v>-28</v>
      </c>
      <c r="H13" s="42" t="inlineStr">
        <is>
          <t>F / P</t>
        </is>
      </c>
      <c r="I13" s="42" t="inlineStr">
        <is>
          <t>Plan des pilotes du Produit : S-3</t>
        </is>
      </c>
    </row>
    <row r="14" ht="15" customHeight="1" s="22">
      <c r="A14" s="33" t="n">
        <v>10</v>
      </c>
      <c r="B14" s="42" t="inlineStr">
        <is>
          <t>Dégustation du menu</t>
        </is>
      </c>
      <c r="C14" s="42" t="inlineStr">
        <is>
          <t>PR-07</t>
        </is>
      </c>
      <c r="D14" s="42" t="inlineStr">
        <is>
          <t>Chef + Direction</t>
        </is>
      </c>
      <c r="E14" s="30" t="n"/>
      <c r="F14" s="30" t="n"/>
      <c r="G14" s="30" t="n">
        <v>-21</v>
      </c>
      <c r="H14" s="42" t="inlineStr">
        <is>
          <t>P</t>
        </is>
      </c>
      <c r="I14" s="42" t="n"/>
    </row>
    <row r="15" ht="23.85" customHeight="1" s="22">
      <c r="A15" s="33" t="n">
        <v>11</v>
      </c>
      <c r="B15" s="42" t="inlineStr">
        <is>
          <t>Invitations envoyées (soirée signature)</t>
        </is>
      </c>
      <c r="C15" s="42" t="inlineStr">
        <is>
          <t>—</t>
        </is>
      </c>
      <c r="D15" s="42" t="inlineStr">
        <is>
          <t>Marketing</t>
        </is>
      </c>
      <c r="E15" s="30" t="n"/>
      <c r="F15" s="30" t="n"/>
      <c r="G15" s="30" t="n">
        <v>-21</v>
      </c>
      <c r="H15" s="42" t="inlineStr">
        <is>
          <t>F</t>
        </is>
      </c>
      <c r="I15" s="42" t="inlineStr">
        <is>
          <t>Premier événement, Marketing : invitation envoyée environ trois semaines avant</t>
        </is>
      </c>
    </row>
    <row r="16" ht="15" customHeight="1" s="22">
      <c r="A16" s="33" t="n">
        <v>12</v>
      </c>
      <c r="B16" s="42" t="inlineStr">
        <is>
          <t>Équipe réservée</t>
        </is>
      </c>
      <c r="C16" s="42" t="inlineStr">
        <is>
          <t>PR-04</t>
        </is>
      </c>
      <c r="D16" s="42" t="inlineStr">
        <is>
          <t>Opérations</t>
        </is>
      </c>
      <c r="E16" s="30" t="n">
        <v>-21</v>
      </c>
      <c r="F16" s="30" t="n">
        <v>-21</v>
      </c>
      <c r="G16" s="30" t="n">
        <v>-28</v>
      </c>
      <c r="H16" s="42" t="inlineStr">
        <is>
          <t>P</t>
        </is>
      </c>
      <c r="I16" s="42" t="n"/>
    </row>
    <row r="17" ht="15" customHeight="1" s="22">
      <c r="A17" s="33" t="n">
        <v>13</v>
      </c>
      <c r="B17" s="42" t="inlineStr">
        <is>
          <t>Seuil de confirmation (offre A) : environ 70 % des sièges vendus</t>
        </is>
      </c>
      <c r="C17" s="42" t="inlineStr">
        <is>
          <t>—</t>
        </is>
      </c>
      <c r="D17" s="42" t="inlineStr">
        <is>
          <t>Produit + Finance</t>
        </is>
      </c>
      <c r="E17" s="30" t="n">
        <v>-14</v>
      </c>
      <c r="F17" s="30" t="n">
        <v>-14</v>
      </c>
      <c r="G17" s="30" t="n">
        <v>-14</v>
      </c>
      <c r="H17" s="42" t="inlineStr">
        <is>
          <t>F</t>
        </is>
      </c>
      <c r="I17" s="42" t="inlineStr">
        <is>
          <t>Plan des pilotes du Produit : J-14</t>
        </is>
      </c>
    </row>
    <row r="18" ht="15" customHeight="1" s="22">
      <c r="A18" s="33" t="n">
        <v>14</v>
      </c>
      <c r="B18" s="42" t="inlineStr">
        <is>
          <t>Liste des convives, allergies, plan de table</t>
        </is>
      </c>
      <c r="C18" s="42" t="inlineStr">
        <is>
          <t>PR-06</t>
        </is>
      </c>
      <c r="D18" s="42" t="inlineStr">
        <is>
          <t>Opérations</t>
        </is>
      </c>
      <c r="E18" s="30" t="n">
        <v>-7</v>
      </c>
      <c r="F18" s="30" t="n">
        <v>-7</v>
      </c>
      <c r="G18" s="30" t="n">
        <v>-10</v>
      </c>
      <c r="H18" s="42" t="inlineStr">
        <is>
          <t>P</t>
        </is>
      </c>
      <c r="I18" s="42" t="n"/>
    </row>
    <row r="19" ht="15" customHeight="1" s="22">
      <c r="A19" s="33" t="n">
        <v>15</v>
      </c>
      <c r="B19" s="42" t="inlineStr">
        <is>
          <t>Produits frais commandés ; matériel et transport confirmés</t>
        </is>
      </c>
      <c r="C19" s="42" t="inlineStr">
        <is>
          <t>PR-05</t>
        </is>
      </c>
      <c r="D19" s="42" t="inlineStr">
        <is>
          <t>Opérations</t>
        </is>
      </c>
      <c r="E19" s="30" t="n">
        <v>-7</v>
      </c>
      <c r="F19" s="30" t="n">
        <v>-7</v>
      </c>
      <c r="G19" s="30" t="n">
        <v>-10</v>
      </c>
      <c r="H19" s="42" t="inlineStr">
        <is>
          <t>P</t>
        </is>
      </c>
      <c r="I19" s="42" t="n"/>
    </row>
    <row r="20" ht="15" customHeight="1" s="22">
      <c r="A20" s="33" t="n">
        <v>16</v>
      </c>
      <c r="B20" s="42" t="inlineStr">
        <is>
          <t>Fiche technique finale diffusée à l'équipe</t>
        </is>
      </c>
      <c r="C20" s="42" t="inlineStr">
        <is>
          <t>PR-03</t>
        </is>
      </c>
      <c r="D20" s="42" t="inlineStr">
        <is>
          <t>Opérations</t>
        </is>
      </c>
      <c r="E20" s="30" t="n">
        <v>-3</v>
      </c>
      <c r="F20" s="30" t="n">
        <v>-3</v>
      </c>
      <c r="G20" s="30" t="n">
        <v>-5</v>
      </c>
      <c r="H20" s="42" t="inlineStr">
        <is>
          <t>P</t>
        </is>
      </c>
      <c r="I20" s="42" t="n"/>
    </row>
    <row r="21" ht="15" customHeight="1" s="22">
      <c r="A21" s="33" t="n">
        <v>17</v>
      </c>
      <c r="B21" s="42" t="inlineStr">
        <is>
          <t>Confirmation de chaque intervenant</t>
        </is>
      </c>
      <c r="C21" s="42" t="inlineStr">
        <is>
          <t>PR-04</t>
        </is>
      </c>
      <c r="D21" s="42" t="inlineStr">
        <is>
          <t>Opérations</t>
        </is>
      </c>
      <c r="E21" s="30" t="n">
        <v>-2</v>
      </c>
      <c r="F21" s="30" t="n">
        <v>-2</v>
      </c>
      <c r="G21" s="30" t="n">
        <v>-2</v>
      </c>
      <c r="H21" s="42" t="inlineStr">
        <is>
          <t>P</t>
        </is>
      </c>
      <c r="I21" s="42" t="n"/>
    </row>
    <row r="22" ht="15" customHeight="1" s="22">
      <c r="A22" s="33" t="n">
        <v>18</v>
      </c>
      <c r="B22" s="42" t="inlineStr">
        <is>
          <t>Répétition sur place</t>
        </is>
      </c>
      <c r="C22" s="42" t="inlineStr">
        <is>
          <t>PR-07</t>
        </is>
      </c>
      <c r="D22" s="42" t="inlineStr">
        <is>
          <t>Opérations</t>
        </is>
      </c>
      <c r="E22" s="30" t="n"/>
      <c r="F22" s="30" t="n"/>
      <c r="G22" s="30" t="n">
        <v>-2</v>
      </c>
      <c r="H22" s="42" t="inlineStr">
        <is>
          <t>P</t>
        </is>
      </c>
      <c r="I22" s="42" t="n"/>
    </row>
    <row r="23" ht="15" customHeight="1" s="22">
      <c r="A23" s="33" t="n">
        <v>19</v>
      </c>
      <c r="B23" s="42" t="inlineStr">
        <is>
          <t>Arrivée du chef venu de loin ; réception des produits</t>
        </is>
      </c>
      <c r="C23" s="42" t="inlineStr">
        <is>
          <t>PR-02, PR-05</t>
        </is>
      </c>
      <c r="D23" s="42" t="inlineStr">
        <is>
          <t>Opérations</t>
        </is>
      </c>
      <c r="E23" s="30" t="n">
        <v>-1</v>
      </c>
      <c r="F23" s="30" t="n">
        <v>-1</v>
      </c>
      <c r="G23" s="30" t="n">
        <v>-1</v>
      </c>
      <c r="H23" s="42" t="inlineStr">
        <is>
          <t>P</t>
        </is>
      </c>
      <c r="I23" s="42" t="n"/>
    </row>
    <row r="24" ht="15" customHeight="1" s="22">
      <c r="A24" s="33" t="n">
        <v>20</v>
      </c>
      <c r="B24" s="42" t="inlineStr">
        <is>
          <t>Jour J</t>
        </is>
      </c>
      <c r="C24" s="42" t="inlineStr">
        <is>
          <t>PR-07</t>
        </is>
      </c>
      <c r="D24" s="42" t="inlineStr">
        <is>
          <t>Tous</t>
        </is>
      </c>
      <c r="E24" s="30" t="n">
        <v>0</v>
      </c>
      <c r="F24" s="30" t="n">
        <v>0</v>
      </c>
      <c r="G24" s="30" t="n">
        <v>0</v>
      </c>
      <c r="H24" s="42" t="inlineStr">
        <is>
          <t>—</t>
        </is>
      </c>
      <c r="I24" s="42" t="n"/>
    </row>
    <row r="25" ht="15" customHeight="1" s="22">
      <c r="A25" s="33" t="n">
        <v>21</v>
      </c>
      <c r="B25" s="42" t="inlineStr">
        <is>
          <t>Restitution du lieu, état des lieux de sortie (avant réouverture)</t>
        </is>
      </c>
      <c r="C25" s="42" t="inlineStr">
        <is>
          <t>PR-08</t>
        </is>
      </c>
      <c r="D25" s="42" t="inlineStr">
        <is>
          <t>Opérations</t>
        </is>
      </c>
      <c r="E25" s="30" t="n">
        <v>0</v>
      </c>
      <c r="F25" s="30" t="n">
        <v>0</v>
      </c>
      <c r="G25" s="30" t="n">
        <v>0</v>
      </c>
      <c r="H25" s="42" t="inlineStr">
        <is>
          <t>P</t>
        </is>
      </c>
      <c r="I25" s="42" t="n"/>
    </row>
    <row r="26" ht="23.85" customHeight="1" s="22">
      <c r="A26" s="33" t="n">
        <v>22</v>
      </c>
      <c r="B26" s="42" t="inlineStr">
        <is>
          <t>Questionnaire de satisfaction ; retours du chef, du lieu et de l'équipe</t>
        </is>
      </c>
      <c r="C26" s="42" t="inlineStr">
        <is>
          <t>PR-10</t>
        </is>
      </c>
      <c r="D26" s="42" t="inlineStr">
        <is>
          <t>Opérations</t>
        </is>
      </c>
      <c r="E26" s="30" t="n">
        <v>1</v>
      </c>
      <c r="F26" s="30" t="n">
        <v>1</v>
      </c>
      <c r="G26" s="30" t="n">
        <v>1</v>
      </c>
      <c r="H26" s="42" t="inlineStr">
        <is>
          <t>F</t>
        </is>
      </c>
      <c r="I26" s="42" t="inlineStr">
        <is>
          <t>Plan des pilotes du Produit : questionnaire envoyé le lendemain</t>
        </is>
      </c>
    </row>
    <row r="27" ht="15" customHeight="1" s="22">
      <c r="A27" s="33" t="n">
        <v>23</v>
      </c>
      <c r="B27" s="42" t="inlineStr">
        <is>
          <t>Bilan chiffré : coût réel et coût prévu</t>
        </is>
      </c>
      <c r="C27" s="42" t="inlineStr">
        <is>
          <t>PR-10</t>
        </is>
      </c>
      <c r="D27" s="42" t="inlineStr">
        <is>
          <t>Opérations + Finance</t>
        </is>
      </c>
      <c r="E27" s="30" t="n">
        <v>7</v>
      </c>
      <c r="F27" s="30" t="n">
        <v>7</v>
      </c>
      <c r="G27" s="30" t="n">
        <v>7</v>
      </c>
      <c r="H27" s="42" t="inlineStr">
        <is>
          <t>F</t>
        </is>
      </c>
      <c r="I27" s="42" t="inlineStr">
        <is>
          <t>Plan des pilotes du Produit : bilan à S+1</t>
        </is>
      </c>
    </row>
    <row r="28" ht="15" customHeight="1" s="22">
      <c r="A28" s="33" t="n">
        <v>24</v>
      </c>
      <c r="B28" s="42" t="inlineStr">
        <is>
          <t>Notation des prestataires ; mise à jour du calculateur de staffing</t>
        </is>
      </c>
      <c r="C28" s="42" t="inlineStr">
        <is>
          <t>PR-10</t>
        </is>
      </c>
      <c r="D28" s="42" t="inlineStr">
        <is>
          <t>Opérations</t>
        </is>
      </c>
      <c r="E28" s="30" t="n">
        <v>7</v>
      </c>
      <c r="F28" s="30" t="n">
        <v>7</v>
      </c>
      <c r="G28" s="30" t="n">
        <v>7</v>
      </c>
      <c r="H28" s="42" t="inlineStr">
        <is>
          <t>P</t>
        </is>
      </c>
      <c r="I28" s="42" t="n"/>
    </row>
    <row r="29"/>
    <row r="30" ht="15" customHeight="1" s="22">
      <c r="A30" s="43" t="inlineStr">
        <is>
          <t>Démarrage recommandé (semaines avant J)</t>
        </is>
      </c>
      <c r="D30" s="36" t="inlineStr">
        <is>
          <t>Niveau</t>
        </is>
      </c>
      <c r="E30" s="36" t="inlineStr">
        <is>
          <t>C1</t>
        </is>
      </c>
      <c r="F30" s="36" t="inlineStr">
        <is>
          <t>C2</t>
        </is>
      </c>
      <c r="G30" s="36" t="inlineStr">
        <is>
          <t>C3</t>
        </is>
      </c>
    </row>
    <row r="31" ht="15" customHeight="1" s="22">
      <c r="D31" s="28" t="inlineStr">
        <is>
          <t>Semaines</t>
        </is>
      </c>
      <c r="E31" s="39">
        <f>-MIN(E5:E28)/7</f>
        <v/>
      </c>
      <c r="F31" s="39">
        <f>-MIN(F5:F28)/7</f>
        <v/>
      </c>
      <c r="G31" s="39">
        <f>-MIN(G5:G28)/7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2026-10-28T08:44:25Z</dcterms:created>
  <dcterms:modified xmlns:dcterms="http://purl.org/dc/terms/" xmlns:xsi="http://www.w3.org/2001/XMLSchema-instance" xsi:type="dcterms:W3CDTF">2026-10-29T08:16:19Z</dcterms:modified>
  <cp:revision>0</cp:revision>
</cp:coreProperties>
</file>