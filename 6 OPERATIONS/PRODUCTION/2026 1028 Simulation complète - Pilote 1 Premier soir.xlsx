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Simulation" sheetId="2" state="visible" r:id="rId4"/>
    <sheet name="Hypothèses" sheetId="3" state="visible" r:id="rId5"/>
    <sheet name="Déroulé J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<sst xmlns="http://schemas.openxmlformats.org/spreadsheetml/2006/main" count="311" uniqueCount="222">
  <si>
    <t xml:space="preserve">Simulation complète du Pilote 1 — « Premier soir »</t>
  </si>
  <si>
    <t xml:space="preserve">28/10/2026 · 6 OPERATIONS/PRODUCTION · Document de travail du pôle Opérations : propositions et hypothèses, rien n'est décidé (voir REGISTRE DES DECISIONS).</t>
  </si>
  <si>
    <t xml:space="preserve">À quoi elle sert</t>
  </si>
  <si>
    <t xml:space="preserve">Chiffrer une soirée de bout en bout — recettes, chaque poste de coût, personnel, matériel, temps des fondateurs — et voir ce que change le passage de 24 à 30 ou 35 couverts, puis le passage du pilote (fondateurs présents) au régime récurrent (un assistant de production). C'est le livrable « simulation complète d'une réservation » du plan de travail (action 19) et la réponse à la question de la Finance « combien coûte une réservation complète ? ».</t>
  </si>
  <si>
    <t xml:space="preserve">Onglets</t>
  </si>
  <si>
    <t xml:space="preserve">« Hypothèses » : toutes les valeurs d'entrée (cellules jaunes), chacune avec sa nature et sa source. « Simulation » : quatre configurations côte à côte, tout est calculé. « Déroulé J » : qui fait quoi, heure par heure, le jour de la soirée.</t>
  </si>
  <si>
    <t xml:space="preserve">Lecture</t>
  </si>
  <si>
    <t xml:space="preserve">Nature des valeurs (voir RULES) : F = fait sourcé · P = proposition · H = hypothèse à remplacer par un devis. Les montants sont HT sauf mention TTC. La plupart des coûts reprennent les hypothèses de la Finance (modèle Prévisions, 27-28/10/2026) pour rester comparables ; les écarts sont signalés.</t>
  </si>
  <si>
    <t xml:space="preserve">Codes couleur : texte bleu sur fond jaune = saisie · noir = calcul · vert = lien vers un autre onglet · fond rouge = règle non respectée (plafond matières, coefficient vin, marge négative).</t>
  </si>
  <si>
    <t xml:space="preserve">Limite importante : la location de vaisselle (Options) n'est pas chiffrée faute de tarif public ; le nombre de pièces à louer est calculé pour la demande de devis. Tant que le prix unitaire reste à 0, le coût total est sous-estimé.</t>
  </si>
  <si>
    <t xml:space="preserve">Simulation d'une soirée « Premier soir »</t>
  </si>
  <si>
    <t xml:space="preserve">Une colonne par configuration. Saisir uniquement les lignes 5 à 7 (jaune). Montants HT.</t>
  </si>
  <si>
    <t xml:space="preserve">Configuration</t>
  </si>
  <si>
    <t xml:space="preserve">Pilote 1 — 24 couverts</t>
  </si>
  <si>
    <t xml:space="preserve">Récurrent — 24 couverts</t>
  </si>
  <si>
    <t xml:space="preserve">Récurrent — 30 couverts</t>
  </si>
  <si>
    <t xml:space="preserve">Récurrent — 35 couverts</t>
  </si>
  <si>
    <t xml:space="preserve">Couverts</t>
  </si>
  <si>
    <t xml:space="preserve">Criticité (C1, C2, C3)</t>
  </si>
  <si>
    <t xml:space="preserve">C2</t>
  </si>
  <si>
    <t xml:space="preserve">C1</t>
  </si>
  <si>
    <t xml:space="preserve">Régime (Pilote / Récurrent)</t>
  </si>
  <si>
    <t xml:space="preserve">Pilote</t>
  </si>
  <si>
    <t xml:space="preserve">Récurrent</t>
  </si>
  <si>
    <t xml:space="preserve">1. Recettes</t>
  </si>
  <si>
    <t xml:space="preserve">Convives payants</t>
  </si>
  <si>
    <t xml:space="preserve">Prix HT par convive</t>
  </si>
  <si>
    <t xml:space="preserve">Chiffre d'affaires HT</t>
  </si>
  <si>
    <t xml:space="preserve">dont part menu</t>
  </si>
  <si>
    <t xml:space="preserve">dont part accords</t>
  </si>
  <si>
    <t xml:space="preserve">2. Personnel (effectifs)</t>
  </si>
  <si>
    <t xml:space="preserve">Brigade (second, commis)</t>
  </si>
  <si>
    <t xml:space="preserve">Maître d'hôtel</t>
  </si>
  <si>
    <t xml:space="preserve">Serveurs</t>
  </si>
  <si>
    <t xml:space="preserve">Serveur de réserve</t>
  </si>
  <si>
    <t xml:space="preserve">Sommelier invité</t>
  </si>
  <si>
    <t xml:space="preserve">Aide sommelier</t>
  </si>
  <si>
    <t xml:space="preserve">Plongeurs</t>
  </si>
  <si>
    <t xml:space="preserve">Production : fondateurs (pilote) ou assistant (récurrent)</t>
  </si>
  <si>
    <t xml:space="preserve">Pilote : responsable de production + interlocuteur client</t>
  </si>
  <si>
    <t xml:space="preserve">Total, hors chef</t>
  </si>
  <si>
    <t xml:space="preserve">3. Coûts de la soirée</t>
  </si>
  <si>
    <t xml:space="preserve">Lieu</t>
  </si>
  <si>
    <t xml:space="preserve">Chef (cachet et défraiement)</t>
  </si>
  <si>
    <t xml:space="preserve">Matières du menu</t>
  </si>
  <si>
    <t xml:space="preserve">Vins et jus d'accord</t>
  </si>
  <si>
    <t xml:space="preserve">Équipe payée (brigade, salle, sommellerie, plonge)</t>
  </si>
  <si>
    <t xml:space="preserve">Assistant de production (récurrent)</t>
  </si>
  <si>
    <t xml:space="preserve">Pilote : fondateurs non rémunérés</t>
  </si>
  <si>
    <t xml:space="preserve">Labo</t>
  </si>
  <si>
    <t xml:space="preserve">Location de vaisselle (Options)</t>
  </si>
  <si>
    <t xml:space="preserve">Non chiffrée tant que le prix par pièce est à 0</t>
  </si>
  <si>
    <t xml:space="preserve">Ménage, assurance, décor, photographe</t>
  </si>
  <si>
    <t xml:space="preserve">Frais de paiement et commission</t>
  </si>
  <si>
    <t xml:space="preserve">Total des coûts</t>
  </si>
  <si>
    <t xml:space="preserve">4. Résultat</t>
  </si>
  <si>
    <t xml:space="preserve">Marge de la soirée</t>
  </si>
  <si>
    <t xml:space="preserve">Taux de marge</t>
  </si>
  <si>
    <t xml:space="preserve">Personnel payé (équipe + assistant) en % du CA</t>
  </si>
  <si>
    <t xml:space="preserve">Prix plancher TTC par convive (marge nulle)</t>
  </si>
  <si>
    <t xml:space="preserve">Remplissage d'équilibre au prix affiché</t>
  </si>
  <si>
    <t xml:space="preserve">Au-delà de 100 % : impossible au prix affiché</t>
  </si>
  <si>
    <t xml:space="preserve">5. Contrôles des règles du 28/10/2026</t>
  </si>
  <si>
    <t xml:space="preserve">Coût matières en % du prix HT du menu</t>
  </si>
  <si>
    <t xml:space="preserve">Plafond : 35 %</t>
  </si>
  <si>
    <t xml:space="preserve">Coût matières maximum par convive</t>
  </si>
  <si>
    <t xml:space="preserve">Coefficient réel sur les accords</t>
  </si>
  <si>
    <t xml:space="preserve">Minimum : ×4</t>
  </si>
  <si>
    <t xml:space="preserve">Coût maximum des accords par convive</t>
  </si>
  <si>
    <t xml:space="preserve">Marge si le coût des accords respecte le ×4</t>
  </si>
  <si>
    <t xml:space="preserve">Prix d'achat maximum d'une bouteille de 75 cl</t>
  </si>
  <si>
    <t xml:space="preserve">Si tous les accords sont des vins</t>
  </si>
  <si>
    <t xml:space="preserve">6. Pour la demande de devis et le temps des fondateurs</t>
  </si>
  <si>
    <t xml:space="preserve">Pièces de vaisselle à louer (assiettes, verres, couverts)</t>
  </si>
  <si>
    <t xml:space="preserve">Assiettes = services ; verres = accords + eau ; hors casse</t>
  </si>
  <si>
    <t xml:space="preserve">Heures des fondateurs non rémunérées</t>
  </si>
  <si>
    <t xml:space="preserve">Hypothèses de la simulation</t>
  </si>
  <si>
    <t xml:space="preserve">Cellules jaunes modifiables. Fin = modèle Prévisions de la Finance (2 FINANCE/PREVISIONS), onglets « Prix et marges » et « Staffing ».</t>
  </si>
  <si>
    <t xml:space="preserve">Paramètre</t>
  </si>
  <si>
    <t xml:space="preserve">Valeur</t>
  </si>
  <si>
    <t xml:space="preserve">Unité</t>
  </si>
  <si>
    <t xml:space="preserve">Nature</t>
  </si>
  <si>
    <t xml:space="preserve">Source / justification</t>
  </si>
  <si>
    <t xml:space="preserve">Prix et recettes</t>
  </si>
  <si>
    <t xml:space="preserve">Prix affiché par convive</t>
  </si>
  <si>
    <t xml:space="preserve">€ TTC</t>
  </si>
  <si>
    <t xml:space="preserve">P</t>
  </si>
  <si>
    <t xml:space="preserve">5 PRODUIT/Fou d'un soir le pricing.md : « Premier soir » 290 €</t>
  </si>
  <si>
    <t xml:space="preserve">Taux de TVA moyen</t>
  </si>
  <si>
    <t xml:space="preserve">%</t>
  </si>
  <si>
    <t xml:space="preserve">H</t>
  </si>
  <si>
    <t xml:space="preserve">Fin, Prix et marges ligne 12 (taux mixte restauration et alcool, à faire confirmer par un expert-comptable)</t>
  </si>
  <si>
    <t xml:space="preserve">Taux de remplissage</t>
  </si>
  <si>
    <t xml:space="preserve">% des couverts</t>
  </si>
  <si>
    <t xml:space="preserve">Fin, ligne 8</t>
  </si>
  <si>
    <t xml:space="preserve">Part du prix HT affectée au menu (le reste : accords)</t>
  </si>
  <si>
    <t xml:space="preserve">Hypothèse des Opérations pour appliquer séparément le plafond matières et le coefficient vin ; à valider avec le Produit</t>
  </si>
  <si>
    <t xml:space="preserve">Frais de paiement</t>
  </si>
  <si>
    <t xml:space="preserve">% du CA</t>
  </si>
  <si>
    <t xml:space="preserve">Fin, ligne 30</t>
  </si>
  <si>
    <t xml:space="preserve">Commission d'apporteur (concierges)</t>
  </si>
  <si>
    <t xml:space="preserve">Fin, ligne 31 (Premier soir)</t>
  </si>
  <si>
    <t xml:space="preserve">Matières et vins</t>
  </si>
  <si>
    <t xml:space="preserve">Plafond du coût matières du menu</t>
  </si>
  <si>
    <t xml:space="preserve">% du prix HT du menu</t>
  </si>
  <si>
    <t xml:space="preserve">Responsable Opérations, 28/10/2026 : « rester en dessous de 35 % grand max ». Produits d'exception compris</t>
  </si>
  <si>
    <t xml:space="preserve">Coût matières estimé par convive</t>
  </si>
  <si>
    <t xml:space="preserve">€ HT</t>
  </si>
  <si>
    <t xml:space="preserve">Fin, ligne 23 ; à remplacer par le coût réel du menu du chef</t>
  </si>
  <si>
    <t xml:space="preserve">Coefficient minimum sur les vins (prix de vente / coût)</t>
  </si>
  <si>
    <t xml:space="preserve">×</t>
  </si>
  <si>
    <t xml:space="preserve">Responsable Opérations, 28/10/2026 : « x4 minimum » ; un coefficient de 4 équivaut à un coût de 25 % du prix</t>
  </si>
  <si>
    <t xml:space="preserve">Coût des vins et jus d'accord estimé par convive</t>
  </si>
  <si>
    <t xml:space="preserve">Fin, ligne 24 ; à remplacer par les prix du catalogue du partenaire vin (AdVini)</t>
  </si>
  <si>
    <t xml:space="preserve">Nombre de services (plats)</t>
  </si>
  <si>
    <t xml:space="preserve">plats</t>
  </si>
  <si>
    <t xml:space="preserve">Offre du Produit : « Premier soir », 6 services</t>
  </si>
  <si>
    <t xml:space="preserve">Nombre d'accords (verres) par convive</t>
  </si>
  <si>
    <t xml:space="preserve">verres</t>
  </si>
  <si>
    <t xml:space="preserve">Offre du Produit : 4 accords</t>
  </si>
  <si>
    <t xml:space="preserve">Volume servi par accord</t>
  </si>
  <si>
    <t xml:space="preserve">cl</t>
  </si>
  <si>
    <t xml:space="preserve">Usage courant, à confirmer avec le sommelier</t>
  </si>
  <si>
    <t xml:space="preserve">Lieu, chef, labo</t>
  </si>
  <si>
    <t xml:space="preserve">Mise à disposition du lieu</t>
  </si>
  <si>
    <t xml:space="preserve">Fin, ligne 19 (à confirmer par les Ventes, donnée n° 1)</t>
  </si>
  <si>
    <t xml:space="preserve">Chef : cachet et forfait de défraiement</t>
  </si>
  <si>
    <t xml:space="preserve">Fin, ligne 20. Orientation du 28/10 : forfait de défraiement plafonné selon le niveau du chef, pas un remboursement intégral ; barème à définir avec la Finance</t>
  </si>
  <si>
    <t xml:space="preserve">Labo de production</t>
  </si>
  <si>
    <t xml:space="preserve">Orientation du 28/10 : pas de labo pour les soirées foodies (réservé aux événements privés et B2B) ; mise en place dans la cuisine du lieu le jour J</t>
  </si>
  <si>
    <t xml:space="preserve">Personnel (règles du calculateur de staffing, heures et taux de la Finance)</t>
  </si>
  <si>
    <t xml:space="preserve">Couverts par serveur</t>
  </si>
  <si>
    <t xml:space="preserve">couverts</t>
  </si>
  <si>
    <t xml:space="preserve">Calculateur de staffing (Opérations)</t>
  </si>
  <si>
    <t xml:space="preserve">Couverts par membre de brigade</t>
  </si>
  <si>
    <t xml:space="preserve">Calculateur de staffing</t>
  </si>
  <si>
    <t xml:space="preserve">Heures : brigade</t>
  </si>
  <si>
    <t xml:space="preserve">h</t>
  </si>
  <si>
    <t xml:space="preserve">Fin retient 9 h ; porté à 11 h car, sans labo, la mise en place se fait sur place le jour J (déroulé PR-07 : arrivée vers 14 h, fin vers 1 h)</t>
  </si>
  <si>
    <t xml:space="preserve">Coût horaire : brigade</t>
  </si>
  <si>
    <t xml:space="preserve">€/h</t>
  </si>
  <si>
    <t xml:space="preserve">Fin, Staffing</t>
  </si>
  <si>
    <t xml:space="preserve">Heures : maître d'hôtel</t>
  </si>
  <si>
    <t xml:space="preserve">Coût horaire : maître d'hôtel</t>
  </si>
  <si>
    <t xml:space="preserve">Heures : serveurs, sommellerie, plonge</t>
  </si>
  <si>
    <t xml:space="preserve">Coût horaire : serveur</t>
  </si>
  <si>
    <t xml:space="preserve">Coût horaire : sommelier invité</t>
  </si>
  <si>
    <t xml:space="preserve">Coût horaire : aide sommelier</t>
  </si>
  <si>
    <t xml:space="preserve">Coût horaire : plonge</t>
  </si>
  <si>
    <t xml:space="preserve">Assistant de production (régime récurrent) : heures le jour J</t>
  </si>
  <si>
    <t xml:space="preserve">Orientation du 28/10 : après les pilotes, un seul assistant de production ; présent de l'arrivée de la brigade à la restitution du lieu</t>
  </si>
  <si>
    <t xml:space="preserve">Assistant de production : heures de préparation par soirée</t>
  </si>
  <si>
    <t xml:space="preserve">Rétroplanning type : fiche technique, staffing, achats, convocations, bilan. À mesurer pendant les pilotes</t>
  </si>
  <si>
    <t xml:space="preserve">Coût horaire chargé : assistant de production</t>
  </si>
  <si>
    <t xml:space="preserve">Aligné sur le coût d'un extra (Fin) ; statut et salaire à définir avec la Finance et le Juridique</t>
  </si>
  <si>
    <t xml:space="preserve">Fondateurs au pilote : heures par personne (préparation et jour J)</t>
  </si>
  <si>
    <t xml:space="preserve">Pilote : responsable de production et interlocuteur client, non rémunérés (Fin) ; heures à mesurer</t>
  </si>
  <si>
    <t xml:space="preserve">Location de matériel (Options)</t>
  </si>
  <si>
    <t xml:space="preserve">Prix de location par pièce (assiette, verre, couvert)</t>
  </si>
  <si>
    <t xml:space="preserve">Aucun tarif public (catalogues Options : gammes Standard à Excellence, sans prix). À obtenir par devis</t>
  </si>
  <si>
    <t xml:space="preserve">Forfait livraison et reprise</t>
  </si>
  <si>
    <t xml:space="preserve">À obtenir par devis ; livraison et reprise un jour de fermeture</t>
  </si>
  <si>
    <t xml:space="preserve">Couverts (fourchette, couteau, cuillère) par service</t>
  </si>
  <si>
    <t xml:space="preserve">pièces</t>
  </si>
  <si>
    <t xml:space="preserve">Moyenne, à préciser avec le chef</t>
  </si>
  <si>
    <t xml:space="preserve">Autres coûts de la soirée</t>
  </si>
  <si>
    <t xml:space="preserve">Ménage et remise en état</t>
  </si>
  <si>
    <t xml:space="preserve">Fin, ligne 27</t>
  </si>
  <si>
    <t xml:space="preserve">Assurance de la soirée</t>
  </si>
  <si>
    <t xml:space="preserve">Fin, ligne 28</t>
  </si>
  <si>
    <t xml:space="preserve">Décor, souvenir numéroté, petit matériel</t>
  </si>
  <si>
    <t xml:space="preserve">Fin, ligne 29</t>
  </si>
  <si>
    <t xml:space="preserve">Photographe</t>
  </si>
  <si>
    <t xml:space="preserve">Fin, ligne 33</t>
  </si>
  <si>
    <t xml:space="preserve">Déroulé du jour J — dîner à 20 h, mise en place sur place (sans labo)</t>
  </si>
  <si>
    <t xml:space="preserve">Trame PR-07 (fiches process), précisée pour une soirée foodies. Horaires indicatifs (P), à ajuster avec le chef.</t>
  </si>
  <si>
    <t xml:space="preserve">Heure</t>
  </si>
  <si>
    <t xml:space="preserve">Étape</t>
  </si>
  <si>
    <t xml:space="preserve">Responsable</t>
  </si>
  <si>
    <t xml:space="preserve">Présents</t>
  </si>
  <si>
    <t xml:space="preserve">9 h 00</t>
  </si>
  <si>
    <t xml:space="preserve">Ouverture du lieu, état des lieux d'entrée photographié, réception des produits frais (contrôle des températures)</t>
  </si>
  <si>
    <t xml:space="preserve">Production (fondateur ou assistant)</t>
  </si>
  <si>
    <t xml:space="preserve">Production</t>
  </si>
  <si>
    <t xml:space="preserve">10 h 00</t>
  </si>
  <si>
    <t xml:space="preserve">Livraison et contrôle du matériel loué (Options) ; mise en froid des vins et jus</t>
  </si>
  <si>
    <t xml:space="preserve">14 h 00</t>
  </si>
  <si>
    <t xml:space="preserve">Arrivée du chef et de la brigade ; mise en place sur place, dans la cuisine du lieu</t>
  </si>
  <si>
    <t xml:space="preserve">Chef</t>
  </si>
  <si>
    <t xml:space="preserve">Chef, brigade, production</t>
  </si>
  <si>
    <t xml:space="preserve">17 h 00</t>
  </si>
  <si>
    <t xml:space="preserve">Arrivée de la plonge ; premier lavage des ustensiles de mise en place</t>
  </si>
  <si>
    <t xml:space="preserve">+ plonge</t>
  </si>
  <si>
    <t xml:space="preserve">18 h 00</t>
  </si>
  <si>
    <t xml:space="preserve">Arrivée de la salle et de la sommellerie ; dressage des tables ; fiches des vins apprises (éléments de langage du partenaire vin)</t>
  </si>
  <si>
    <t xml:space="preserve">Maître d'hôtel, sommelier invité</t>
  </si>
  <si>
    <t xml:space="preserve">+ salle, sommellerie</t>
  </si>
  <si>
    <t xml:space="preserve">19 h 00</t>
  </si>
  <si>
    <t xml:space="preserve">Briefing de toute l'équipe : menu, accords, allergies par table, consignes sur l'alcool</t>
  </si>
  <si>
    <t xml:space="preserve">Production, chef, maître d'hôtel</t>
  </si>
  <si>
    <t xml:space="preserve">Toute l'équipe</t>
  </si>
  <si>
    <t xml:space="preserve">19 h 30</t>
  </si>
  <si>
    <t xml:space="preserve">Accueil prêt, vestiaire ouvert</t>
  </si>
  <si>
    <t xml:space="preserve">20 h 00</t>
  </si>
  <si>
    <t xml:space="preserve">Arrivée des invités ; apéritif</t>
  </si>
  <si>
    <t xml:space="preserve">20 h 30</t>
  </si>
  <si>
    <t xml:space="preserve">Passage à table ; le chef présente son menu</t>
  </si>
  <si>
    <t xml:space="preserve">20 h 30 à 23 h 00</t>
  </si>
  <si>
    <t xml:space="preserve">Service des 6 plats et des 4 accords ; la cuisine du lieu sert surtout à l'envoi</t>
  </si>
  <si>
    <t xml:space="preserve">Chef, maître d'hôtel, sommelier</t>
  </si>
  <si>
    <t xml:space="preserve">23 h 00</t>
  </si>
  <si>
    <t xml:space="preserve">Dessert ; le chef passe en salle</t>
  </si>
  <si>
    <t xml:space="preserve">23 h 30</t>
  </si>
  <si>
    <t xml:space="preserve">Départ des invités ; souvenir numéroté remis</t>
  </si>
  <si>
    <t xml:space="preserve">Salle</t>
  </si>
  <si>
    <t xml:space="preserve">23 h 30 à 1 h 00</t>
  </si>
  <si>
    <t xml:space="preserve">Plonge, rangement, tri des déchets, frigos vidés, matériel loué conditionné pour la reprise</t>
  </si>
  <si>
    <t xml:space="preserve">Brigade, plonge, production</t>
  </si>
  <si>
    <t xml:space="preserve">1 h 00</t>
  </si>
  <si>
    <t xml:space="preserve">État des lieux de sortie photographié ; remise des clés</t>
  </si>
  <si>
    <t xml:space="preserve">Lendemain</t>
  </si>
  <si>
    <t xml:space="preserve">Reprise du matériel loué ; questionnaire de satisfaction envoyé ; retours du chef et du lieu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</si>
</sst>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#,##0.0&quot; €&quot;"/>
    <numFmt numFmtId="167" formatCode="#,##0&quot; €&quot;;\-#,##0&quot; €&quot;;\-"/>
    <numFmt numFmtId="168" formatCode="0.0%;\-0.0%;\-"/>
    <numFmt numFmtId="169" formatCode="#,##0&quot; €&quot;"/>
    <numFmt numFmtId="170" formatCode="0.0\×"/>
    <numFmt numFmtId="171" formatCode="#,##0"/>
    <numFmt numFmtId="172" formatCode="#,##0.00&quot; €&quot;;\-#,##0.00&quot; €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2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46.2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3.8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35.05" hidden="false" customHeight="false" outlineLevel="0" collapsed="false">
      <c r="A11" s="3" t="s">
        <v>7</v>
      </c>
    </row>
    <row r="12" customFormat="false" ht="23.85" hidden="false" customHeight="false" outlineLevel="0" collapsed="false">
      <c r="A12" s="3" t="s">
        <v>8</v>
      </c>
    </row>
    <row r="13" customFormat="false" ht="23.8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6" min="3" style="0" width="17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6" t="s">
        <v>11</v>
      </c>
    </row>
    <row r="4" customFormat="false" ht="23.85" hidden="false" customHeight="false" outlineLevel="0" collapsed="false">
      <c r="A4" s="7" t="s">
        <v>12</v>
      </c>
      <c r="B4" s="7"/>
      <c r="C4" s="8" t="s">
        <v>13</v>
      </c>
      <c r="D4" s="8" t="s">
        <v>14</v>
      </c>
      <c r="E4" s="8" t="s">
        <v>15</v>
      </c>
      <c r="F4" s="8" t="s">
        <v>16</v>
      </c>
    </row>
    <row r="5" customFormat="false" ht="15" hidden="false" customHeight="false" outlineLevel="0" collapsed="false">
      <c r="A5" s="9" t="s">
        <v>17</v>
      </c>
      <c r="B5" s="10"/>
      <c r="C5" s="11" t="n">
        <v>24</v>
      </c>
      <c r="D5" s="11" t="n">
        <v>24</v>
      </c>
      <c r="E5" s="11" t="n">
        <v>30</v>
      </c>
      <c r="F5" s="11" t="n">
        <v>35</v>
      </c>
    </row>
    <row r="6" customFormat="false" ht="15" hidden="false" customHeight="false" outlineLevel="0" collapsed="false">
      <c r="A6" s="9" t="s">
        <v>18</v>
      </c>
      <c r="B6" s="10"/>
      <c r="C6" s="11" t="s">
        <v>19</v>
      </c>
      <c r="D6" s="11" t="s">
        <v>20</v>
      </c>
      <c r="E6" s="11" t="s">
        <v>20</v>
      </c>
      <c r="F6" s="11" t="s">
        <v>20</v>
      </c>
    </row>
    <row r="7" customFormat="false" ht="15" hidden="false" customHeight="false" outlineLevel="0" collapsed="false">
      <c r="A7" s="9" t="s">
        <v>21</v>
      </c>
      <c r="B7" s="10"/>
      <c r="C7" s="11" t="s">
        <v>22</v>
      </c>
      <c r="D7" s="11" t="s">
        <v>23</v>
      </c>
      <c r="E7" s="11" t="s">
        <v>23</v>
      </c>
      <c r="F7" s="11" t="s">
        <v>23</v>
      </c>
    </row>
    <row r="9" customFormat="false" ht="15" hidden="false" customHeight="false" outlineLevel="0" collapsed="false">
      <c r="A9" s="7" t="s">
        <v>24</v>
      </c>
      <c r="B9" s="12"/>
      <c r="C9" s="12"/>
      <c r="D9" s="12"/>
      <c r="E9" s="12"/>
      <c r="F9" s="12"/>
    </row>
    <row r="10" customFormat="false" ht="15" hidden="false" customHeight="false" outlineLevel="0" collapsed="false">
      <c r="A10" s="10" t="s">
        <v>25</v>
      </c>
      <c r="B10" s="13"/>
      <c r="C10" s="14" t="n">
        <f aca="false">ROUND(C5*Hypothèses!$B$8,0)</f>
        <v>19</v>
      </c>
      <c r="D10" s="14" t="n">
        <f aca="false">ROUND(D5*Hypothèses!$B$8,0)</f>
        <v>19</v>
      </c>
      <c r="E10" s="14" t="n">
        <f aca="false">ROUND(E5*Hypothèses!$B$8,0)</f>
        <v>24</v>
      </c>
      <c r="F10" s="14" t="n">
        <f aca="false">ROUND(F5*Hypothèses!$B$8,0)</f>
        <v>28</v>
      </c>
    </row>
    <row r="11" customFormat="false" ht="15" hidden="false" customHeight="false" outlineLevel="0" collapsed="false">
      <c r="A11" s="10" t="s">
        <v>26</v>
      </c>
      <c r="B11" s="13"/>
      <c r="C11" s="15" t="n">
        <f aca="false">Hypothèses!$B$6/(1+Hypothèses!$B$7)</f>
        <v>258.928571428571</v>
      </c>
      <c r="D11" s="15" t="n">
        <f aca="false">Hypothèses!$B$6/(1+Hypothèses!$B$7)</f>
        <v>258.928571428571</v>
      </c>
      <c r="E11" s="15" t="n">
        <f aca="false">Hypothèses!$B$6/(1+Hypothèses!$B$7)</f>
        <v>258.928571428571</v>
      </c>
      <c r="F11" s="15" t="n">
        <f aca="false">Hypothèses!$B$6/(1+Hypothèses!$B$7)</f>
        <v>258.928571428571</v>
      </c>
    </row>
    <row r="12" customFormat="false" ht="15" hidden="false" customHeight="false" outlineLevel="0" collapsed="false">
      <c r="A12" s="16" t="s">
        <v>27</v>
      </c>
      <c r="B12" s="17"/>
      <c r="C12" s="18" t="n">
        <f aca="false">C10*C11</f>
        <v>4919.64285714286</v>
      </c>
      <c r="D12" s="18" t="n">
        <f aca="false">D10*D11</f>
        <v>4919.64285714286</v>
      </c>
      <c r="E12" s="18" t="n">
        <f aca="false">E10*E11</f>
        <v>6214.28571428571</v>
      </c>
      <c r="F12" s="18" t="n">
        <f aca="false">F10*F11</f>
        <v>7250</v>
      </c>
    </row>
    <row r="13" customFormat="false" ht="15" hidden="false" customHeight="false" outlineLevel="0" collapsed="false">
      <c r="A13" s="10" t="s">
        <v>28</v>
      </c>
      <c r="B13" s="13"/>
      <c r="C13" s="19" t="n">
        <f aca="false">C12*Hypothèses!$B$9</f>
        <v>3443.75</v>
      </c>
      <c r="D13" s="19" t="n">
        <f aca="false">D12*Hypothèses!$B$9</f>
        <v>3443.75</v>
      </c>
      <c r="E13" s="19" t="n">
        <f aca="false">E12*Hypothèses!$B$9</f>
        <v>4350</v>
      </c>
      <c r="F13" s="19" t="n">
        <f aca="false">F12*Hypothèses!$B$9</f>
        <v>5075</v>
      </c>
    </row>
    <row r="14" customFormat="false" ht="15" hidden="false" customHeight="false" outlineLevel="0" collapsed="false">
      <c r="A14" s="10" t="s">
        <v>29</v>
      </c>
      <c r="B14" s="13"/>
      <c r="C14" s="19" t="n">
        <f aca="false">C12*(1-Hypothèses!$B$9)</f>
        <v>1475.89285714286</v>
      </c>
      <c r="D14" s="19" t="n">
        <f aca="false">D12*(1-Hypothèses!$B$9)</f>
        <v>1475.89285714286</v>
      </c>
      <c r="E14" s="19" t="n">
        <f aca="false">E12*(1-Hypothèses!$B$9)</f>
        <v>1864.28571428571</v>
      </c>
      <c r="F14" s="19" t="n">
        <f aca="false">F12*(1-Hypothèses!$B$9)</f>
        <v>2175</v>
      </c>
    </row>
    <row r="15" customFormat="false" ht="15" hidden="false" customHeight="false" outlineLevel="0" collapsed="false">
      <c r="A15" s="7" t="s">
        <v>30</v>
      </c>
      <c r="B15" s="12"/>
      <c r="C15" s="12"/>
      <c r="D15" s="12"/>
      <c r="E15" s="12"/>
      <c r="F15" s="12"/>
    </row>
    <row r="16" customFormat="false" ht="15" hidden="false" customHeight="false" outlineLevel="0" collapsed="false">
      <c r="A16" s="10" t="s">
        <v>31</v>
      </c>
      <c r="B16" s="13"/>
      <c r="C16" s="14" t="n">
        <f aca="false">ROUNDUP(C5/Hypothèses!$B$26,0)</f>
        <v>3</v>
      </c>
      <c r="D16" s="14" t="n">
        <f aca="false">ROUNDUP(D5/Hypothèses!$B$26,0)</f>
        <v>3</v>
      </c>
      <c r="E16" s="14" t="n">
        <f aca="false">ROUNDUP(E5/Hypothèses!$B$26,0)</f>
        <v>3</v>
      </c>
      <c r="F16" s="14" t="n">
        <f aca="false">ROUNDUP(F5/Hypothèses!$B$26,0)</f>
        <v>4</v>
      </c>
    </row>
    <row r="17" customFormat="false" ht="15" hidden="false" customHeight="false" outlineLevel="0" collapsed="false">
      <c r="A17" s="10" t="s">
        <v>32</v>
      </c>
      <c r="B17" s="13"/>
      <c r="C17" s="14" t="n">
        <f aca="false">(C5&gt;=9)*1+(C5&gt;=41)*1</f>
        <v>1</v>
      </c>
      <c r="D17" s="14" t="n">
        <f aca="false">(D5&gt;=9)*1+(D5&gt;=41)*1</f>
        <v>1</v>
      </c>
      <c r="E17" s="14" t="n">
        <f aca="false">(E5&gt;=9)*1+(E5&gt;=41)*1</f>
        <v>1</v>
      </c>
      <c r="F17" s="14" t="n">
        <f aca="false">(F5&gt;=9)*1+(F5&gt;=41)*1</f>
        <v>1</v>
      </c>
    </row>
    <row r="18" customFormat="false" ht="15" hidden="false" customHeight="false" outlineLevel="0" collapsed="false">
      <c r="A18" s="10" t="s">
        <v>33</v>
      </c>
      <c r="B18" s="13"/>
      <c r="C18" s="14" t="n">
        <f aca="false">ROUNDUP(C5/Hypothèses!$B$25,0)</f>
        <v>4</v>
      </c>
      <c r="D18" s="14" t="n">
        <f aca="false">ROUNDUP(D5/Hypothèses!$B$25,0)</f>
        <v>4</v>
      </c>
      <c r="E18" s="14" t="n">
        <f aca="false">ROUNDUP(E5/Hypothèses!$B$25,0)</f>
        <v>5</v>
      </c>
      <c r="F18" s="14" t="n">
        <f aca="false">ROUNDUP(F5/Hypothèses!$B$25,0)</f>
        <v>5</v>
      </c>
    </row>
    <row r="19" customFormat="false" ht="15" hidden="false" customHeight="false" outlineLevel="0" collapsed="false">
      <c r="A19" s="10" t="s">
        <v>34</v>
      </c>
      <c r="B19" s="13"/>
      <c r="C19" s="14" t="n">
        <f aca="false">IF(C6="C1",0,1)</f>
        <v>1</v>
      </c>
      <c r="D19" s="14" t="n">
        <f aca="false">IF(D6="C1",0,1)</f>
        <v>0</v>
      </c>
      <c r="E19" s="14" t="n">
        <f aca="false">IF(E6="C1",0,1)</f>
        <v>0</v>
      </c>
      <c r="F19" s="14" t="n">
        <f aca="false">IF(F6="C1",0,1)</f>
        <v>0</v>
      </c>
    </row>
    <row r="20" customFormat="false" ht="15" hidden="false" customHeight="false" outlineLevel="0" collapsed="false">
      <c r="A20" s="10" t="s">
        <v>35</v>
      </c>
      <c r="B20" s="13"/>
      <c r="C20" s="14" t="n">
        <f aca="false">1</f>
        <v>1</v>
      </c>
      <c r="D20" s="14" t="n">
        <f aca="false">1</f>
        <v>1</v>
      </c>
      <c r="E20" s="14" t="n">
        <f aca="false">1</f>
        <v>1</v>
      </c>
      <c r="F20" s="14" t="n">
        <f aca="false">1</f>
        <v>1</v>
      </c>
    </row>
    <row r="21" customFormat="false" ht="15" hidden="false" customHeight="false" outlineLevel="0" collapsed="false">
      <c r="A21" s="10" t="s">
        <v>36</v>
      </c>
      <c r="B21" s="13"/>
      <c r="C21" s="14" t="n">
        <f aca="false">(C5&gt;=20)*1+(C5&gt;=41)*1</f>
        <v>1</v>
      </c>
      <c r="D21" s="14" t="n">
        <f aca="false">(D5&gt;=20)*1+(D5&gt;=41)*1</f>
        <v>1</v>
      </c>
      <c r="E21" s="14" t="n">
        <f aca="false">(E5&gt;=20)*1+(E5&gt;=41)*1</f>
        <v>1</v>
      </c>
      <c r="F21" s="14" t="n">
        <f aca="false">(F5&gt;=20)*1+(F5&gt;=41)*1</f>
        <v>1</v>
      </c>
    </row>
    <row r="22" customFormat="false" ht="15" hidden="false" customHeight="false" outlineLevel="0" collapsed="false">
      <c r="A22" s="10" t="s">
        <v>37</v>
      </c>
      <c r="B22" s="13"/>
      <c r="C22" s="14" t="n">
        <f aca="false">1+(C5&gt;=17)*1+(C5&gt;=41)*1</f>
        <v>2</v>
      </c>
      <c r="D22" s="14" t="n">
        <f aca="false">1+(D5&gt;=17)*1+(D5&gt;=41)*1</f>
        <v>2</v>
      </c>
      <c r="E22" s="14" t="n">
        <f aca="false">1+(E5&gt;=17)*1+(E5&gt;=41)*1</f>
        <v>2</v>
      </c>
      <c r="F22" s="14" t="n">
        <f aca="false">1+(F5&gt;=17)*1+(F5&gt;=41)*1</f>
        <v>2</v>
      </c>
    </row>
    <row r="23" customFormat="false" ht="22.35" hidden="false" customHeight="false" outlineLevel="0" collapsed="false">
      <c r="A23" s="10" t="s">
        <v>38</v>
      </c>
      <c r="B23" s="13" t="s">
        <v>39</v>
      </c>
      <c r="C23" s="14" t="n">
        <f aca="false">IF(C7="Pilote",2,1)</f>
        <v>2</v>
      </c>
      <c r="D23" s="14" t="n">
        <f aca="false">IF(D7="Pilote",2,1)</f>
        <v>1</v>
      </c>
      <c r="E23" s="14" t="n">
        <f aca="false">IF(E7="Pilote",2,1)</f>
        <v>1</v>
      </c>
      <c r="F23" s="14" t="n">
        <f aca="false">IF(F7="Pilote",2,1)</f>
        <v>1</v>
      </c>
    </row>
    <row r="24" customFormat="false" ht="15" hidden="false" customHeight="false" outlineLevel="0" collapsed="false">
      <c r="A24" s="16" t="s">
        <v>40</v>
      </c>
      <c r="B24" s="17"/>
      <c r="C24" s="20" t="n">
        <f aca="false">SUM(C16:C23)</f>
        <v>15</v>
      </c>
      <c r="D24" s="20" t="n">
        <f aca="false">SUM(D16:D23)</f>
        <v>13</v>
      </c>
      <c r="E24" s="20" t="n">
        <f aca="false">SUM(E16:E23)</f>
        <v>14</v>
      </c>
      <c r="F24" s="20" t="n">
        <f aca="false">SUM(F16:F23)</f>
        <v>15</v>
      </c>
    </row>
    <row r="25" customFormat="false" ht="15" hidden="false" customHeight="false" outlineLevel="0" collapsed="false">
      <c r="A25" s="7" t="s">
        <v>41</v>
      </c>
      <c r="B25" s="12"/>
      <c r="C25" s="12"/>
      <c r="D25" s="12"/>
      <c r="E25" s="12"/>
      <c r="F25" s="12"/>
    </row>
    <row r="26" customFormat="false" ht="15" hidden="false" customHeight="false" outlineLevel="0" collapsed="false">
      <c r="A26" s="10" t="s">
        <v>42</v>
      </c>
      <c r="B26" s="13"/>
      <c r="C26" s="19" t="n">
        <f aca="false">Hypothèses!$B$21</f>
        <v>1500</v>
      </c>
      <c r="D26" s="19" t="n">
        <f aca="false">Hypothèses!$B$21</f>
        <v>1500</v>
      </c>
      <c r="E26" s="19" t="n">
        <f aca="false">Hypothèses!$B$21</f>
        <v>1500</v>
      </c>
      <c r="F26" s="19" t="n">
        <f aca="false">Hypothèses!$B$21</f>
        <v>1500</v>
      </c>
    </row>
    <row r="27" customFormat="false" ht="15" hidden="false" customHeight="false" outlineLevel="0" collapsed="false">
      <c r="A27" s="10" t="s">
        <v>43</v>
      </c>
      <c r="B27" s="13"/>
      <c r="C27" s="19" t="n">
        <f aca="false">Hypothèses!$B$22</f>
        <v>950</v>
      </c>
      <c r="D27" s="19" t="n">
        <f aca="false">Hypothèses!$B$22</f>
        <v>950</v>
      </c>
      <c r="E27" s="19" t="n">
        <f aca="false">Hypothèses!$B$22</f>
        <v>950</v>
      </c>
      <c r="F27" s="19" t="n">
        <f aca="false">Hypothèses!$B$22</f>
        <v>950</v>
      </c>
    </row>
    <row r="28" customFormat="false" ht="15" hidden="false" customHeight="false" outlineLevel="0" collapsed="false">
      <c r="A28" s="10" t="s">
        <v>44</v>
      </c>
      <c r="B28" s="13"/>
      <c r="C28" s="19" t="n">
        <f aca="false">C10*Hypothèses!$B$14</f>
        <v>1045</v>
      </c>
      <c r="D28" s="19" t="n">
        <f aca="false">D10*Hypothèses!$B$14</f>
        <v>1045</v>
      </c>
      <c r="E28" s="19" t="n">
        <f aca="false">E10*Hypothèses!$B$14</f>
        <v>1320</v>
      </c>
      <c r="F28" s="19" t="n">
        <f aca="false">F10*Hypothèses!$B$14</f>
        <v>1540</v>
      </c>
    </row>
    <row r="29" customFormat="false" ht="15" hidden="false" customHeight="false" outlineLevel="0" collapsed="false">
      <c r="A29" s="10" t="s">
        <v>45</v>
      </c>
      <c r="B29" s="13"/>
      <c r="C29" s="19" t="n">
        <f aca="false">C10*Hypothèses!$B$16</f>
        <v>570</v>
      </c>
      <c r="D29" s="19" t="n">
        <f aca="false">D10*Hypothèses!$B$16</f>
        <v>570</v>
      </c>
      <c r="E29" s="19" t="n">
        <f aca="false">E10*Hypothèses!$B$16</f>
        <v>720</v>
      </c>
      <c r="F29" s="19" t="n">
        <f aca="false">F10*Hypothèses!$B$16</f>
        <v>840</v>
      </c>
    </row>
    <row r="30" customFormat="false" ht="15" hidden="false" customHeight="false" outlineLevel="0" collapsed="false">
      <c r="A30" s="10" t="s">
        <v>46</v>
      </c>
      <c r="B30" s="13"/>
      <c r="C30" s="19" t="n">
        <f aca="false">C16*Hypothèses!$B$27*Hypothèses!$B$28+C17*Hypothèses!$B$29*Hypothèses!$B$30+(C18+C19)*Hypothèses!$B$31*Hypothèses!$B$32+C20*Hypothèses!$B$31*Hypothèses!$B$33+C21*Hypothèses!$B$31*Hypothèses!$B$34+C22*Hypothèses!$B$31*Hypothèses!$B$35</f>
        <v>3846</v>
      </c>
      <c r="D30" s="19" t="n">
        <f aca="false">D16*Hypothèses!$B$27*Hypothèses!$B$28+D17*Hypothèses!$B$29*Hypothèses!$B$30+(D18+D19)*Hypothèses!$B$31*Hypothèses!$B$32+D20*Hypothèses!$B$31*Hypothèses!$B$33+D21*Hypothèses!$B$31*Hypothèses!$B$34+D22*Hypothèses!$B$31*Hypothèses!$B$35</f>
        <v>3601</v>
      </c>
      <c r="E30" s="19" t="n">
        <f aca="false">E16*Hypothèses!$B$27*Hypothèses!$B$28+E17*Hypothèses!$B$29*Hypothèses!$B$30+(E18+E19)*Hypothèses!$B$31*Hypothèses!$B$32+E20*Hypothèses!$B$31*Hypothèses!$B$33+E21*Hypothèses!$B$31*Hypothèses!$B$34+E22*Hypothèses!$B$31*Hypothèses!$B$35</f>
        <v>3846</v>
      </c>
      <c r="F30" s="19" t="n">
        <f aca="false">F16*Hypothèses!$B$27*Hypothèses!$B$28+F17*Hypothèses!$B$29*Hypothèses!$B$30+(F18+F19)*Hypothèses!$B$31*Hypothèses!$B$32+F20*Hypothèses!$B$31*Hypothèses!$B$33+F21*Hypothèses!$B$31*Hypothèses!$B$34+F22*Hypothèses!$B$31*Hypothèses!$B$35</f>
        <v>4231</v>
      </c>
    </row>
    <row r="31" customFormat="false" ht="15" hidden="false" customHeight="false" outlineLevel="0" collapsed="false">
      <c r="A31" s="10" t="s">
        <v>47</v>
      </c>
      <c r="B31" s="13" t="s">
        <v>48</v>
      </c>
      <c r="C31" s="19" t="n">
        <f aca="false">IF(C7="Pilote",0,(Hypothèses!$B$36+Hypothèses!$B$37)*Hypothèses!$B$38)</f>
        <v>0</v>
      </c>
      <c r="D31" s="19" t="n">
        <f aca="false">IF(D7="Pilote",0,(Hypothèses!$B$36+Hypothèses!$B$37)*Hypothèses!$B$38)</f>
        <v>1120</v>
      </c>
      <c r="E31" s="19" t="n">
        <f aca="false">IF(E7="Pilote",0,(Hypothèses!$B$36+Hypothèses!$B$37)*Hypothèses!$B$38)</f>
        <v>1120</v>
      </c>
      <c r="F31" s="19" t="n">
        <f aca="false">IF(F7="Pilote",0,(Hypothèses!$B$36+Hypothèses!$B$37)*Hypothèses!$B$38)</f>
        <v>1120</v>
      </c>
    </row>
    <row r="32" customFormat="false" ht="15" hidden="false" customHeight="false" outlineLevel="0" collapsed="false">
      <c r="A32" s="10" t="s">
        <v>49</v>
      </c>
      <c r="B32" s="13"/>
      <c r="C32" s="19" t="n">
        <f aca="false">Hypothèses!$B$23</f>
        <v>0</v>
      </c>
      <c r="D32" s="19" t="n">
        <f aca="false">Hypothèses!$B$23</f>
        <v>0</v>
      </c>
      <c r="E32" s="19" t="n">
        <f aca="false">Hypothèses!$B$23</f>
        <v>0</v>
      </c>
      <c r="F32" s="19" t="n">
        <f aca="false">Hypothèses!$B$23</f>
        <v>0</v>
      </c>
    </row>
    <row r="33" customFormat="false" ht="22.35" hidden="false" customHeight="false" outlineLevel="0" collapsed="false">
      <c r="A33" s="10" t="s">
        <v>50</v>
      </c>
      <c r="B33" s="13" t="s">
        <v>51</v>
      </c>
      <c r="C33" s="19" t="n">
        <f aca="false">C5*(Hypothèses!$B$17+Hypothèses!$B$18+1+Hypothèses!$B$17*Hypothèses!$B$43)*Hypothèses!$B$41+Hypothèses!$B$42</f>
        <v>0</v>
      </c>
      <c r="D33" s="19" t="n">
        <f aca="false">D5*(Hypothèses!$B$17+Hypothèses!$B$18+1+Hypothèses!$B$17*Hypothèses!$B$43)*Hypothèses!$B$41+Hypothèses!$B$42</f>
        <v>0</v>
      </c>
      <c r="E33" s="19" t="n">
        <f aca="false">E5*(Hypothèses!$B$17+Hypothèses!$B$18+1+Hypothèses!$B$17*Hypothèses!$B$43)*Hypothèses!$B$41+Hypothèses!$B$42</f>
        <v>0</v>
      </c>
      <c r="F33" s="19" t="n">
        <f aca="false">F5*(Hypothèses!$B$17+Hypothèses!$B$18+1+Hypothèses!$B$17*Hypothèses!$B$43)*Hypothèses!$B$41+Hypothèses!$B$42</f>
        <v>0</v>
      </c>
    </row>
    <row r="34" customFormat="false" ht="15" hidden="false" customHeight="false" outlineLevel="0" collapsed="false">
      <c r="A34" s="10" t="s">
        <v>52</v>
      </c>
      <c r="B34" s="13"/>
      <c r="C34" s="19" t="n">
        <f aca="false">Hypothèses!$B$45+Hypothèses!$B$46+Hypothèses!$B$47+Hypothèses!$B$48</f>
        <v>760</v>
      </c>
      <c r="D34" s="19" t="n">
        <f aca="false">Hypothèses!$B$45+Hypothèses!$B$46+Hypothèses!$B$47+Hypothèses!$B$48</f>
        <v>760</v>
      </c>
      <c r="E34" s="19" t="n">
        <f aca="false">Hypothèses!$B$45+Hypothèses!$B$46+Hypothèses!$B$47+Hypothèses!$B$48</f>
        <v>760</v>
      </c>
      <c r="F34" s="19" t="n">
        <f aca="false">Hypothèses!$B$45+Hypothèses!$B$46+Hypothèses!$B$47+Hypothèses!$B$48</f>
        <v>760</v>
      </c>
    </row>
    <row r="35" customFormat="false" ht="15" hidden="false" customHeight="false" outlineLevel="0" collapsed="false">
      <c r="A35" s="10" t="s">
        <v>53</v>
      </c>
      <c r="B35" s="13"/>
      <c r="C35" s="19" t="n">
        <f aca="false">C12*(Hypothèses!$B$10+Hypothèses!$B$11)</f>
        <v>324.696428571429</v>
      </c>
      <c r="D35" s="19" t="n">
        <f aca="false">D12*(Hypothèses!$B$10+Hypothèses!$B$11)</f>
        <v>324.696428571429</v>
      </c>
      <c r="E35" s="19" t="n">
        <f aca="false">E12*(Hypothèses!$B$10+Hypothèses!$B$11)</f>
        <v>410.142857142857</v>
      </c>
      <c r="F35" s="19" t="n">
        <f aca="false">F12*(Hypothèses!$B$10+Hypothèses!$B$11)</f>
        <v>478.5</v>
      </c>
    </row>
    <row r="36" customFormat="false" ht="15" hidden="false" customHeight="false" outlineLevel="0" collapsed="false">
      <c r="A36" s="16" t="s">
        <v>54</v>
      </c>
      <c r="B36" s="17"/>
      <c r="C36" s="18" t="n">
        <f aca="false">SUM(C26:C35)</f>
        <v>8995.69642857143</v>
      </c>
      <c r="D36" s="18" t="n">
        <f aca="false">SUM(D26:D35)</f>
        <v>9870.69642857143</v>
      </c>
      <c r="E36" s="18" t="n">
        <f aca="false">SUM(E26:E35)</f>
        <v>10626.1428571429</v>
      </c>
      <c r="F36" s="18" t="n">
        <f aca="false">SUM(F26:F35)</f>
        <v>11419.5</v>
      </c>
    </row>
    <row r="37" customFormat="false" ht="15" hidden="false" customHeight="false" outlineLevel="0" collapsed="false">
      <c r="A37" s="7" t="s">
        <v>55</v>
      </c>
      <c r="B37" s="12"/>
      <c r="C37" s="12"/>
      <c r="D37" s="12"/>
      <c r="E37" s="12"/>
      <c r="F37" s="12"/>
    </row>
    <row r="38" customFormat="false" ht="15" hidden="false" customHeight="false" outlineLevel="0" collapsed="false">
      <c r="A38" s="16" t="s">
        <v>56</v>
      </c>
      <c r="B38" s="17"/>
      <c r="C38" s="18" t="n">
        <f aca="false">C12-C36</f>
        <v>-4076.05357142857</v>
      </c>
      <c r="D38" s="18" t="n">
        <f aca="false">D12-D36</f>
        <v>-4951.05357142857</v>
      </c>
      <c r="E38" s="18" t="n">
        <f aca="false">E12-E36</f>
        <v>-4411.85714285714</v>
      </c>
      <c r="F38" s="18" t="n">
        <f aca="false">F12-F36</f>
        <v>-4169.5</v>
      </c>
    </row>
    <row r="39" customFormat="false" ht="15" hidden="false" customHeight="false" outlineLevel="0" collapsed="false">
      <c r="A39" s="10" t="s">
        <v>57</v>
      </c>
      <c r="B39" s="13"/>
      <c r="C39" s="21" t="n">
        <f aca="false">IF(C12&gt;0,C38/C12,0)</f>
        <v>-0.828526315789474</v>
      </c>
      <c r="D39" s="21" t="n">
        <f aca="false">IF(D12&gt;0,D38/D12,0)</f>
        <v>-1.00638475499093</v>
      </c>
      <c r="E39" s="21" t="n">
        <f aca="false">IF(E12&gt;0,E38/E12,0)</f>
        <v>-0.709954022988506</v>
      </c>
      <c r="F39" s="21" t="n">
        <f aca="false">IF(F12&gt;0,F38/F12,0)</f>
        <v>-0.575103448275862</v>
      </c>
    </row>
    <row r="40" customFormat="false" ht="15" hidden="false" customHeight="false" outlineLevel="0" collapsed="false">
      <c r="A40" s="10" t="s">
        <v>58</v>
      </c>
      <c r="B40" s="13"/>
      <c r="C40" s="21" t="n">
        <f aca="false">(C30+C31)/C12</f>
        <v>0.781764065335753</v>
      </c>
      <c r="D40" s="21" t="n">
        <f aca="false">(D30+D31)/D12</f>
        <v>0.959622504537205</v>
      </c>
      <c r="E40" s="21" t="n">
        <f aca="false">(E30+E31)/E12</f>
        <v>0.799126436781609</v>
      </c>
      <c r="F40" s="21" t="n">
        <f aca="false">(F30+F31)/F12</f>
        <v>0.738068965517241</v>
      </c>
    </row>
    <row r="41" customFormat="false" ht="15" hidden="false" customHeight="false" outlineLevel="0" collapsed="false">
      <c r="A41" s="10" t="s">
        <v>59</v>
      </c>
      <c r="B41" s="13"/>
      <c r="C41" s="22" t="n">
        <f aca="false">((SUM(C26:C34)-C28-C29)/(1-Hypothèses!$B$10-Hypothèses!$B$11)+C10*(Hypothèses!$B$14+Hypothèses!$B$16)/(1-Hypothèses!$B$10-Hypothèses!$B$11))/C10*(1+Hypothèses!$B$7)</f>
        <v>547.251211540629</v>
      </c>
      <c r="D41" s="22" t="n">
        <f aca="false">((SUM(D26:D34)-D28-D29)/(1-Hypothèses!$B$10-Hypothèses!$B$11)+D10*(Hypothèses!$B$14+Hypothèses!$B$16)/(1-Hypothèses!$B$10-Hypothèses!$B$11))/D10*(1+Hypothèses!$B$7)</f>
        <v>602.474923926519</v>
      </c>
      <c r="E41" s="22" t="n">
        <f aca="false">((SUM(E26:E34)-E28-E29)/(1-Hypothèses!$B$10-Hypothèses!$B$11)+E10*(Hypothèses!$B$14+Hypothèses!$B$16)/(1-Hypothèses!$B$10-Hypothèses!$B$11))/E10*(1+Hypothèses!$B$7)</f>
        <v>510.435403283369</v>
      </c>
      <c r="F41" s="22" t="n">
        <f aca="false">((SUM(F26:F34)-F28-F29)/(1-Hypothèses!$B$10-Hypothèses!$B$11)+F10*(Hypothèses!$B$14+Hypothèses!$B$16)/(1-Hypothèses!$B$10-Hypothèses!$B$11))/F10*(1+Hypothèses!$B$7)</f>
        <v>468.565310492505</v>
      </c>
    </row>
    <row r="42" customFormat="false" ht="22.35" hidden="false" customHeight="false" outlineLevel="0" collapsed="false">
      <c r="A42" s="10" t="s">
        <v>60</v>
      </c>
      <c r="B42" s="13" t="s">
        <v>61</v>
      </c>
      <c r="C42" s="21" t="n">
        <f aca="false">IF(C11*(1-Hypothèses!$B$10-Hypothèses!$B$11)-Hypothèses!$B$14-Hypothèses!$B$16&gt;0,(SUM(C26:C34)-C28-C29)/(C11*(1-Hypothèses!$B$10-Hypothèses!$B$11)-Hypothèses!$B$14-Hypothèses!$B$16)/C5,0)</f>
        <v>1.8745303427075</v>
      </c>
      <c r="D42" s="21" t="n">
        <f aca="false">IF(D11*(1-Hypothèses!$B$10-Hypothèses!$B$11)-Hypothèses!$B$14-Hypothèses!$B$16&gt;0,(SUM(D26:D34)-D28-D29)/(D11*(1-Hypothèses!$B$10-Hypothèses!$B$11)-Hypothèses!$B$14-Hypothèses!$B$16)/D5,0)</f>
        <v>2.10698698242818</v>
      </c>
      <c r="E42" s="21" t="n">
        <f aca="false">IF(E11*(1-Hypothèses!$B$10-Hypothèses!$B$11)-Hypothèses!$B$14-Hypothèses!$B$16&gt;0,(SUM(E26:E34)-E28-E29)/(E11*(1-Hypothèses!$B$10-Hypothèses!$B$11)-Hypothèses!$B$14-Hypothèses!$B$16)/E5,0)</f>
        <v>1.73765987323997</v>
      </c>
      <c r="F42" s="21" t="n">
        <f aca="false">IF(F11*(1-Hypothèses!$B$10-Hypothèses!$B$11)-Hypothèses!$B$14-Hypothèses!$B$16&gt;0,(SUM(F26:F34)-F28-F29)/(F11*(1-Hypothèses!$B$10-Hypothèses!$B$11)-Hypothèses!$B$14-Hypothèses!$B$16)/F5,0)</f>
        <v>1.55955823750427</v>
      </c>
    </row>
    <row r="43" customFormat="false" ht="15" hidden="false" customHeight="false" outlineLevel="0" collapsed="false">
      <c r="A43" s="7" t="s">
        <v>62</v>
      </c>
      <c r="B43" s="12"/>
      <c r="C43" s="12"/>
      <c r="D43" s="12"/>
      <c r="E43" s="12"/>
      <c r="F43" s="12"/>
    </row>
    <row r="44" customFormat="false" ht="15" hidden="false" customHeight="false" outlineLevel="0" collapsed="false">
      <c r="A44" s="10" t="s">
        <v>63</v>
      </c>
      <c r="B44" s="13" t="s">
        <v>64</v>
      </c>
      <c r="C44" s="21" t="n">
        <f aca="false">Hypothèses!$B$14/(C11*Hypothèses!$B$9)</f>
        <v>0.303448275862069</v>
      </c>
      <c r="D44" s="21" t="n">
        <f aca="false">Hypothèses!$B$14/(D11*Hypothèses!$B$9)</f>
        <v>0.303448275862069</v>
      </c>
      <c r="E44" s="21" t="n">
        <f aca="false">Hypothèses!$B$14/(E11*Hypothèses!$B$9)</f>
        <v>0.303448275862069</v>
      </c>
      <c r="F44" s="21" t="n">
        <f aca="false">Hypothèses!$B$14/(F11*Hypothèses!$B$9)</f>
        <v>0.303448275862069</v>
      </c>
    </row>
    <row r="45" customFormat="false" ht="15" hidden="false" customHeight="false" outlineLevel="0" collapsed="false">
      <c r="A45" s="10" t="s">
        <v>65</v>
      </c>
      <c r="B45" s="13"/>
      <c r="C45" s="15" t="n">
        <f aca="false">C11*Hypothèses!$B$9*Hypothèses!$B$13</f>
        <v>63.4375</v>
      </c>
      <c r="D45" s="15" t="n">
        <f aca="false">D11*Hypothèses!$B$9*Hypothèses!$B$13</f>
        <v>63.4375</v>
      </c>
      <c r="E45" s="15" t="n">
        <f aca="false">E11*Hypothèses!$B$9*Hypothèses!$B$13</f>
        <v>63.4375</v>
      </c>
      <c r="F45" s="15" t="n">
        <f aca="false">F11*Hypothèses!$B$9*Hypothèses!$B$13</f>
        <v>63.4375</v>
      </c>
    </row>
    <row r="46" customFormat="false" ht="15" hidden="false" customHeight="false" outlineLevel="0" collapsed="false">
      <c r="A46" s="10" t="s">
        <v>66</v>
      </c>
      <c r="B46" s="13" t="s">
        <v>67</v>
      </c>
      <c r="C46" s="23" t="n">
        <f aca="false">(C11*(1-Hypothèses!$B$9))/Hypothèses!$B$16</f>
        <v>2.58928571428571</v>
      </c>
      <c r="D46" s="23" t="n">
        <f aca="false">(D11*(1-Hypothèses!$B$9))/Hypothèses!$B$16</f>
        <v>2.58928571428571</v>
      </c>
      <c r="E46" s="23" t="n">
        <f aca="false">(E11*(1-Hypothèses!$B$9))/Hypothèses!$B$16</f>
        <v>2.58928571428571</v>
      </c>
      <c r="F46" s="23" t="n">
        <f aca="false">(F11*(1-Hypothèses!$B$9))/Hypothèses!$B$16</f>
        <v>2.58928571428571</v>
      </c>
    </row>
    <row r="47" customFormat="false" ht="15" hidden="false" customHeight="false" outlineLevel="0" collapsed="false">
      <c r="A47" s="10" t="s">
        <v>68</v>
      </c>
      <c r="B47" s="13"/>
      <c r="C47" s="15" t="n">
        <f aca="false">(C11*(1-Hypothèses!$B$9))/Hypothèses!$B$15</f>
        <v>19.4196428571429</v>
      </c>
      <c r="D47" s="15" t="n">
        <f aca="false">(D11*(1-Hypothèses!$B$9))/Hypothèses!$B$15</f>
        <v>19.4196428571429</v>
      </c>
      <c r="E47" s="15" t="n">
        <f aca="false">(E11*(1-Hypothèses!$B$9))/Hypothèses!$B$15</f>
        <v>19.4196428571429</v>
      </c>
      <c r="F47" s="15" t="n">
        <f aca="false">(F11*(1-Hypothèses!$B$9))/Hypothèses!$B$15</f>
        <v>19.4196428571429</v>
      </c>
    </row>
    <row r="48" customFormat="false" ht="15" hidden="false" customHeight="false" outlineLevel="0" collapsed="false">
      <c r="A48" s="9" t="s">
        <v>69</v>
      </c>
      <c r="B48" s="13"/>
      <c r="C48" s="24" t="n">
        <f aca="false">C38+C10*MAX(0,Hypothèses!$B$16-C47)</f>
        <v>-3875.02678571429</v>
      </c>
      <c r="D48" s="24" t="n">
        <f aca="false">D38+D10*MAX(0,Hypothèses!$B$16-D47)</f>
        <v>-4750.02678571429</v>
      </c>
      <c r="E48" s="24" t="n">
        <f aca="false">E38+E10*MAX(0,Hypothèses!$B$16-E47)</f>
        <v>-4157.92857142857</v>
      </c>
      <c r="F48" s="24" t="n">
        <f aca="false">F38+F10*MAX(0,Hypothèses!$B$16-F47)</f>
        <v>-3873.25</v>
      </c>
    </row>
    <row r="49" customFormat="false" ht="15" hidden="false" customHeight="false" outlineLevel="0" collapsed="false">
      <c r="A49" s="10" t="s">
        <v>70</v>
      </c>
      <c r="B49" s="13" t="s">
        <v>71</v>
      </c>
      <c r="C49" s="15" t="n">
        <f aca="false">C47/(Hypothèses!$B$18*Hypothèses!$B$19/75)</f>
        <v>36.4118303571429</v>
      </c>
      <c r="D49" s="15" t="n">
        <f aca="false">D47/(Hypothèses!$B$18*Hypothèses!$B$19/75)</f>
        <v>36.4118303571429</v>
      </c>
      <c r="E49" s="15" t="n">
        <f aca="false">E47/(Hypothèses!$B$18*Hypothèses!$B$19/75)</f>
        <v>36.4118303571429</v>
      </c>
      <c r="F49" s="15" t="n">
        <f aca="false">F47/(Hypothèses!$B$18*Hypothèses!$B$19/75)</f>
        <v>36.4118303571429</v>
      </c>
    </row>
    <row r="50" customFormat="false" ht="15" hidden="false" customHeight="false" outlineLevel="0" collapsed="false">
      <c r="A50" s="7" t="s">
        <v>72</v>
      </c>
      <c r="B50" s="12"/>
      <c r="C50" s="12"/>
      <c r="D50" s="12"/>
      <c r="E50" s="12"/>
      <c r="F50" s="12"/>
    </row>
    <row r="51" customFormat="false" ht="22.35" hidden="false" customHeight="false" outlineLevel="0" collapsed="false">
      <c r="A51" s="10" t="s">
        <v>73</v>
      </c>
      <c r="B51" s="13" t="s">
        <v>74</v>
      </c>
      <c r="C51" s="25" t="n">
        <f aca="false">C5*(Hypothèses!$B$17+Hypothèses!$B$18+1+Hypothèses!$B$17*Hypothèses!$B$43)</f>
        <v>552</v>
      </c>
      <c r="D51" s="25" t="n">
        <f aca="false">D5*(Hypothèses!$B$17+Hypothèses!$B$18+1+Hypothèses!$B$17*Hypothèses!$B$43)</f>
        <v>552</v>
      </c>
      <c r="E51" s="25" t="n">
        <f aca="false">E5*(Hypothèses!$B$17+Hypothèses!$B$18+1+Hypothèses!$B$17*Hypothèses!$B$43)</f>
        <v>690</v>
      </c>
      <c r="F51" s="25" t="n">
        <f aca="false">F5*(Hypothèses!$B$17+Hypothèses!$B$18+1+Hypothèses!$B$17*Hypothèses!$B$43)</f>
        <v>805</v>
      </c>
    </row>
    <row r="52" customFormat="false" ht="15" hidden="false" customHeight="false" outlineLevel="0" collapsed="false">
      <c r="A52" s="10" t="s">
        <v>75</v>
      </c>
      <c r="B52" s="13"/>
      <c r="C52" s="25" t="n">
        <f aca="false">IF(C7="Pilote",C23*Hypothèses!$B$39,0)</f>
        <v>80</v>
      </c>
      <c r="D52" s="25" t="n">
        <f aca="false">IF(D7="Pilote",D23*Hypothèses!$B$39,0)</f>
        <v>0</v>
      </c>
      <c r="E52" s="25" t="n">
        <f aca="false">IF(E7="Pilote",E23*Hypothèses!$B$39,0)</f>
        <v>0</v>
      </c>
      <c r="F52" s="25" t="n">
        <f aca="false">IF(F7="Pilote",F23*Hypothèses!$B$39,0)</f>
        <v>0</v>
      </c>
    </row>
  </sheetData>
  <conditionalFormatting sqref="C38:F38">
    <cfRule type="expression" priority="2" aboveAverage="0" equalAverage="0" bottom="0" percent="0" rank="0" text="" dxfId="0">
      <formula>C38&lt;0</formula>
    </cfRule>
  </conditionalFormatting>
  <conditionalFormatting sqref="C44:F44">
    <cfRule type="expression" priority="3" aboveAverage="0" equalAverage="0" bottom="0" percent="0" rank="0" text="" dxfId="0">
      <formula>C44&gt;Hypothèses!$B$13</formula>
    </cfRule>
  </conditionalFormatting>
  <conditionalFormatting sqref="C46:F46">
    <cfRule type="expression" priority="4" aboveAverage="0" equalAverage="0" bottom="0" percent="0" rank="0" text="" dxfId="0">
      <formula>C46&lt;Hypothèses!$B$15</formula>
    </cfRule>
  </conditionalFormatting>
  <dataValidations count="2">
    <dataValidation allowBlank="false" errorStyle="stop" operator="between" showDropDown="false" showErrorMessage="false" showInputMessage="false" sqref="C6:F6" type="list">
      <formula1>"C1,C2,C3"</formula1>
      <formula2>0</formula2>
    </dataValidation>
    <dataValidation allowBlank="false" errorStyle="stop" operator="between" showDropDown="false" showErrorMessage="false" showInputMessage="false" sqref="C7:F7" type="list">
      <formula1>"Pilote,Récurrent"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5" t="s">
        <v>76</v>
      </c>
    </row>
    <row r="2" customFormat="false" ht="15" hidden="false" customHeight="false" outlineLevel="0" collapsed="false">
      <c r="A2" s="6" t="s">
        <v>77</v>
      </c>
    </row>
    <row r="4" customFormat="false" ht="15" hidden="false" customHeight="false" outlineLevel="0" collapsed="false">
      <c r="A4" s="8" t="s">
        <v>78</v>
      </c>
      <c r="B4" s="8" t="s">
        <v>79</v>
      </c>
      <c r="C4" s="8" t="s">
        <v>80</v>
      </c>
      <c r="D4" s="8" t="s">
        <v>81</v>
      </c>
      <c r="E4" s="8" t="s">
        <v>82</v>
      </c>
    </row>
    <row r="5" customFormat="false" ht="15" hidden="false" customHeight="false" outlineLevel="0" collapsed="false">
      <c r="A5" s="26" t="s">
        <v>83</v>
      </c>
      <c r="B5" s="27"/>
      <c r="C5" s="27"/>
      <c r="D5" s="27"/>
      <c r="E5" s="27"/>
    </row>
    <row r="6" customFormat="false" ht="15" hidden="false" customHeight="false" outlineLevel="0" collapsed="false">
      <c r="A6" s="28" t="s">
        <v>84</v>
      </c>
      <c r="B6" s="11" t="n">
        <v>290</v>
      </c>
      <c r="C6" s="13" t="s">
        <v>85</v>
      </c>
      <c r="D6" s="14" t="s">
        <v>86</v>
      </c>
      <c r="E6" s="28" t="s">
        <v>87</v>
      </c>
    </row>
    <row r="7" customFormat="false" ht="23.85" hidden="false" customHeight="false" outlineLevel="0" collapsed="false">
      <c r="A7" s="28" t="s">
        <v>88</v>
      </c>
      <c r="B7" s="29" t="n">
        <v>0.12</v>
      </c>
      <c r="C7" s="13" t="s">
        <v>89</v>
      </c>
      <c r="D7" s="14" t="s">
        <v>90</v>
      </c>
      <c r="E7" s="28" t="s">
        <v>91</v>
      </c>
    </row>
    <row r="8" customFormat="false" ht="15" hidden="false" customHeight="false" outlineLevel="0" collapsed="false">
      <c r="A8" s="28" t="s">
        <v>92</v>
      </c>
      <c r="B8" s="29" t="n">
        <v>0.8</v>
      </c>
      <c r="C8" s="13" t="s">
        <v>93</v>
      </c>
      <c r="D8" s="14" t="s">
        <v>90</v>
      </c>
      <c r="E8" s="28" t="s">
        <v>94</v>
      </c>
    </row>
    <row r="9" customFormat="false" ht="23.85" hidden="false" customHeight="false" outlineLevel="0" collapsed="false">
      <c r="A9" s="28" t="s">
        <v>95</v>
      </c>
      <c r="B9" s="29" t="n">
        <v>0.7</v>
      </c>
      <c r="C9" s="13" t="s">
        <v>89</v>
      </c>
      <c r="D9" s="14" t="s">
        <v>90</v>
      </c>
      <c r="E9" s="28" t="s">
        <v>96</v>
      </c>
    </row>
    <row r="10" customFormat="false" ht="15" hidden="false" customHeight="false" outlineLevel="0" collapsed="false">
      <c r="A10" s="28" t="s">
        <v>97</v>
      </c>
      <c r="B10" s="29" t="n">
        <v>0.016</v>
      </c>
      <c r="C10" s="13" t="s">
        <v>98</v>
      </c>
      <c r="D10" s="14" t="s">
        <v>90</v>
      </c>
      <c r="E10" s="28" t="s">
        <v>99</v>
      </c>
    </row>
    <row r="11" customFormat="false" ht="15" hidden="false" customHeight="false" outlineLevel="0" collapsed="false">
      <c r="A11" s="28" t="s">
        <v>100</v>
      </c>
      <c r="B11" s="29" t="n">
        <v>0.05</v>
      </c>
      <c r="C11" s="13" t="s">
        <v>98</v>
      </c>
      <c r="D11" s="14" t="s">
        <v>90</v>
      </c>
      <c r="E11" s="28" t="s">
        <v>101</v>
      </c>
    </row>
    <row r="12" customFormat="false" ht="15" hidden="false" customHeight="false" outlineLevel="0" collapsed="false">
      <c r="A12" s="26" t="s">
        <v>102</v>
      </c>
      <c r="B12" s="27"/>
      <c r="C12" s="27"/>
      <c r="D12" s="27"/>
      <c r="E12" s="27"/>
    </row>
    <row r="13" customFormat="false" ht="23.85" hidden="false" customHeight="false" outlineLevel="0" collapsed="false">
      <c r="A13" s="28" t="s">
        <v>103</v>
      </c>
      <c r="B13" s="29" t="n">
        <v>0.35</v>
      </c>
      <c r="C13" s="13" t="s">
        <v>104</v>
      </c>
      <c r="D13" s="14" t="s">
        <v>86</v>
      </c>
      <c r="E13" s="28" t="s">
        <v>105</v>
      </c>
    </row>
    <row r="14" customFormat="false" ht="15" hidden="false" customHeight="false" outlineLevel="0" collapsed="false">
      <c r="A14" s="28" t="s">
        <v>106</v>
      </c>
      <c r="B14" s="30" t="n">
        <v>55</v>
      </c>
      <c r="C14" s="13" t="s">
        <v>107</v>
      </c>
      <c r="D14" s="14" t="s">
        <v>90</v>
      </c>
      <c r="E14" s="28" t="s">
        <v>108</v>
      </c>
    </row>
    <row r="15" customFormat="false" ht="23.85" hidden="false" customHeight="false" outlineLevel="0" collapsed="false">
      <c r="A15" s="28" t="s">
        <v>109</v>
      </c>
      <c r="B15" s="11" t="n">
        <v>4</v>
      </c>
      <c r="C15" s="13" t="s">
        <v>110</v>
      </c>
      <c r="D15" s="14" t="s">
        <v>86</v>
      </c>
      <c r="E15" s="28" t="s">
        <v>111</v>
      </c>
    </row>
    <row r="16" customFormat="false" ht="15" hidden="false" customHeight="false" outlineLevel="0" collapsed="false">
      <c r="A16" s="28" t="s">
        <v>112</v>
      </c>
      <c r="B16" s="30" t="n">
        <v>30</v>
      </c>
      <c r="C16" s="13" t="s">
        <v>107</v>
      </c>
      <c r="D16" s="14" t="s">
        <v>90</v>
      </c>
      <c r="E16" s="28" t="s">
        <v>113</v>
      </c>
    </row>
    <row r="17" customFormat="false" ht="15" hidden="false" customHeight="false" outlineLevel="0" collapsed="false">
      <c r="A17" s="28" t="s">
        <v>114</v>
      </c>
      <c r="B17" s="11" t="n">
        <v>6</v>
      </c>
      <c r="C17" s="13" t="s">
        <v>115</v>
      </c>
      <c r="D17" s="14" t="s">
        <v>86</v>
      </c>
      <c r="E17" s="28" t="s">
        <v>116</v>
      </c>
    </row>
    <row r="18" customFormat="false" ht="15" hidden="false" customHeight="false" outlineLevel="0" collapsed="false">
      <c r="A18" s="28" t="s">
        <v>117</v>
      </c>
      <c r="B18" s="11" t="n">
        <v>4</v>
      </c>
      <c r="C18" s="13" t="s">
        <v>118</v>
      </c>
      <c r="D18" s="14" t="s">
        <v>86</v>
      </c>
      <c r="E18" s="28" t="s">
        <v>119</v>
      </c>
    </row>
    <row r="19" customFormat="false" ht="15" hidden="false" customHeight="false" outlineLevel="0" collapsed="false">
      <c r="A19" s="28" t="s">
        <v>120</v>
      </c>
      <c r="B19" s="11" t="n">
        <v>10</v>
      </c>
      <c r="C19" s="13" t="s">
        <v>121</v>
      </c>
      <c r="D19" s="14" t="s">
        <v>90</v>
      </c>
      <c r="E19" s="28" t="s">
        <v>122</v>
      </c>
    </row>
    <row r="20" customFormat="false" ht="15" hidden="false" customHeight="false" outlineLevel="0" collapsed="false">
      <c r="A20" s="26" t="s">
        <v>123</v>
      </c>
      <c r="B20" s="27"/>
      <c r="C20" s="27"/>
      <c r="D20" s="27"/>
      <c r="E20" s="27"/>
    </row>
    <row r="21" customFormat="false" ht="15" hidden="false" customHeight="false" outlineLevel="0" collapsed="false">
      <c r="A21" s="28" t="s">
        <v>124</v>
      </c>
      <c r="B21" s="30" t="n">
        <v>1500</v>
      </c>
      <c r="C21" s="13" t="s">
        <v>107</v>
      </c>
      <c r="D21" s="14" t="s">
        <v>90</v>
      </c>
      <c r="E21" s="28" t="s">
        <v>125</v>
      </c>
    </row>
    <row r="22" customFormat="false" ht="23.85" hidden="false" customHeight="false" outlineLevel="0" collapsed="false">
      <c r="A22" s="28" t="s">
        <v>126</v>
      </c>
      <c r="B22" s="30" t="n">
        <v>950</v>
      </c>
      <c r="C22" s="13" t="s">
        <v>107</v>
      </c>
      <c r="D22" s="14" t="s">
        <v>90</v>
      </c>
      <c r="E22" s="28" t="s">
        <v>127</v>
      </c>
    </row>
    <row r="23" customFormat="false" ht="23.85" hidden="false" customHeight="false" outlineLevel="0" collapsed="false">
      <c r="A23" s="28" t="s">
        <v>128</v>
      </c>
      <c r="B23" s="30" t="n">
        <v>0</v>
      </c>
      <c r="C23" s="13" t="s">
        <v>107</v>
      </c>
      <c r="D23" s="14" t="s">
        <v>86</v>
      </c>
      <c r="E23" s="28" t="s">
        <v>129</v>
      </c>
    </row>
    <row r="24" customFormat="false" ht="15" hidden="false" customHeight="false" outlineLevel="0" collapsed="false">
      <c r="A24" s="26" t="s">
        <v>130</v>
      </c>
      <c r="B24" s="27"/>
      <c r="C24" s="27"/>
      <c r="D24" s="27"/>
      <c r="E24" s="27"/>
    </row>
    <row r="25" customFormat="false" ht="15" hidden="false" customHeight="false" outlineLevel="0" collapsed="false">
      <c r="A25" s="28" t="s">
        <v>131</v>
      </c>
      <c r="B25" s="11" t="n">
        <v>7</v>
      </c>
      <c r="C25" s="13" t="s">
        <v>132</v>
      </c>
      <c r="D25" s="14" t="s">
        <v>86</v>
      </c>
      <c r="E25" s="28" t="s">
        <v>133</v>
      </c>
    </row>
    <row r="26" customFormat="false" ht="15" hidden="false" customHeight="false" outlineLevel="0" collapsed="false">
      <c r="A26" s="28" t="s">
        <v>134</v>
      </c>
      <c r="B26" s="11" t="n">
        <v>10</v>
      </c>
      <c r="C26" s="13" t="s">
        <v>132</v>
      </c>
      <c r="D26" s="14" t="s">
        <v>86</v>
      </c>
      <c r="E26" s="28" t="s">
        <v>135</v>
      </c>
    </row>
    <row r="27" customFormat="false" ht="23.85" hidden="false" customHeight="false" outlineLevel="0" collapsed="false">
      <c r="A27" s="28" t="s">
        <v>136</v>
      </c>
      <c r="B27" s="11" t="n">
        <v>11</v>
      </c>
      <c r="C27" s="13" t="s">
        <v>137</v>
      </c>
      <c r="D27" s="14" t="s">
        <v>86</v>
      </c>
      <c r="E27" s="28" t="s">
        <v>138</v>
      </c>
    </row>
    <row r="28" customFormat="false" ht="15" hidden="false" customHeight="false" outlineLevel="0" collapsed="false">
      <c r="A28" s="28" t="s">
        <v>139</v>
      </c>
      <c r="B28" s="30" t="n">
        <v>35</v>
      </c>
      <c r="C28" s="13" t="s">
        <v>140</v>
      </c>
      <c r="D28" s="14" t="s">
        <v>90</v>
      </c>
      <c r="E28" s="28" t="s">
        <v>141</v>
      </c>
    </row>
    <row r="29" customFormat="false" ht="15" hidden="false" customHeight="false" outlineLevel="0" collapsed="false">
      <c r="A29" s="28" t="s">
        <v>142</v>
      </c>
      <c r="B29" s="11" t="n">
        <v>8</v>
      </c>
      <c r="C29" s="13" t="s">
        <v>137</v>
      </c>
      <c r="D29" s="14" t="s">
        <v>90</v>
      </c>
      <c r="E29" s="28" t="s">
        <v>141</v>
      </c>
    </row>
    <row r="30" customFormat="false" ht="15" hidden="false" customHeight="false" outlineLevel="0" collapsed="false">
      <c r="A30" s="28" t="s">
        <v>143</v>
      </c>
      <c r="B30" s="30" t="n">
        <v>45</v>
      </c>
      <c r="C30" s="13" t="s">
        <v>140</v>
      </c>
      <c r="D30" s="14" t="s">
        <v>90</v>
      </c>
      <c r="E30" s="28" t="s">
        <v>141</v>
      </c>
    </row>
    <row r="31" customFormat="false" ht="15" hidden="false" customHeight="false" outlineLevel="0" collapsed="false">
      <c r="A31" s="28" t="s">
        <v>144</v>
      </c>
      <c r="B31" s="11" t="n">
        <v>7</v>
      </c>
      <c r="C31" s="13" t="s">
        <v>137</v>
      </c>
      <c r="D31" s="14" t="s">
        <v>90</v>
      </c>
      <c r="E31" s="28" t="s">
        <v>141</v>
      </c>
    </row>
    <row r="32" customFormat="false" ht="15" hidden="false" customHeight="false" outlineLevel="0" collapsed="false">
      <c r="A32" s="28" t="s">
        <v>145</v>
      </c>
      <c r="B32" s="30" t="n">
        <v>35</v>
      </c>
      <c r="C32" s="13" t="s">
        <v>140</v>
      </c>
      <c r="D32" s="14" t="s">
        <v>90</v>
      </c>
      <c r="E32" s="28" t="s">
        <v>141</v>
      </c>
    </row>
    <row r="33" customFormat="false" ht="15" hidden="false" customHeight="false" outlineLevel="0" collapsed="false">
      <c r="A33" s="28" t="s">
        <v>146</v>
      </c>
      <c r="B33" s="30" t="n">
        <v>60</v>
      </c>
      <c r="C33" s="13" t="s">
        <v>140</v>
      </c>
      <c r="D33" s="14" t="s">
        <v>90</v>
      </c>
      <c r="E33" s="28" t="s">
        <v>141</v>
      </c>
    </row>
    <row r="34" customFormat="false" ht="15" hidden="false" customHeight="false" outlineLevel="0" collapsed="false">
      <c r="A34" s="28" t="s">
        <v>147</v>
      </c>
      <c r="B34" s="30" t="n">
        <v>38</v>
      </c>
      <c r="C34" s="13" t="s">
        <v>140</v>
      </c>
      <c r="D34" s="14" t="s">
        <v>90</v>
      </c>
      <c r="E34" s="28" t="s">
        <v>141</v>
      </c>
    </row>
    <row r="35" customFormat="false" ht="15" hidden="false" customHeight="false" outlineLevel="0" collapsed="false">
      <c r="A35" s="28" t="s">
        <v>148</v>
      </c>
      <c r="B35" s="30" t="n">
        <v>30</v>
      </c>
      <c r="C35" s="13" t="s">
        <v>140</v>
      </c>
      <c r="D35" s="14" t="s">
        <v>90</v>
      </c>
      <c r="E35" s="28" t="s">
        <v>141</v>
      </c>
    </row>
    <row r="36" customFormat="false" ht="23.85" hidden="false" customHeight="false" outlineLevel="0" collapsed="false">
      <c r="A36" s="28" t="s">
        <v>149</v>
      </c>
      <c r="B36" s="11" t="n">
        <v>12</v>
      </c>
      <c r="C36" s="13" t="s">
        <v>137</v>
      </c>
      <c r="D36" s="14" t="s">
        <v>90</v>
      </c>
      <c r="E36" s="28" t="s">
        <v>150</v>
      </c>
    </row>
    <row r="37" customFormat="false" ht="23.85" hidden="false" customHeight="false" outlineLevel="0" collapsed="false">
      <c r="A37" s="28" t="s">
        <v>151</v>
      </c>
      <c r="B37" s="11" t="n">
        <v>20</v>
      </c>
      <c r="C37" s="13" t="s">
        <v>137</v>
      </c>
      <c r="D37" s="14" t="s">
        <v>90</v>
      </c>
      <c r="E37" s="28" t="s">
        <v>152</v>
      </c>
    </row>
    <row r="38" customFormat="false" ht="15" hidden="false" customHeight="false" outlineLevel="0" collapsed="false">
      <c r="A38" s="28" t="s">
        <v>153</v>
      </c>
      <c r="B38" s="30" t="n">
        <v>35</v>
      </c>
      <c r="C38" s="13" t="s">
        <v>140</v>
      </c>
      <c r="D38" s="14" t="s">
        <v>90</v>
      </c>
      <c r="E38" s="28" t="s">
        <v>154</v>
      </c>
    </row>
    <row r="39" customFormat="false" ht="23.85" hidden="false" customHeight="false" outlineLevel="0" collapsed="false">
      <c r="A39" s="28" t="s">
        <v>155</v>
      </c>
      <c r="B39" s="11" t="n">
        <v>40</v>
      </c>
      <c r="C39" s="13" t="s">
        <v>137</v>
      </c>
      <c r="D39" s="14" t="s">
        <v>90</v>
      </c>
      <c r="E39" s="28" t="s">
        <v>156</v>
      </c>
    </row>
    <row r="40" customFormat="false" ht="15" hidden="false" customHeight="false" outlineLevel="0" collapsed="false">
      <c r="A40" s="26" t="s">
        <v>157</v>
      </c>
      <c r="B40" s="27"/>
      <c r="C40" s="27"/>
      <c r="D40" s="27"/>
      <c r="E40" s="27"/>
    </row>
    <row r="41" customFormat="false" ht="23.85" hidden="false" customHeight="false" outlineLevel="0" collapsed="false">
      <c r="A41" s="28" t="s">
        <v>158</v>
      </c>
      <c r="B41" s="31" t="n">
        <v>0</v>
      </c>
      <c r="C41" s="13" t="s">
        <v>107</v>
      </c>
      <c r="D41" s="14" t="s">
        <v>90</v>
      </c>
      <c r="E41" s="28" t="s">
        <v>159</v>
      </c>
    </row>
    <row r="42" customFormat="false" ht="15" hidden="false" customHeight="false" outlineLevel="0" collapsed="false">
      <c r="A42" s="28" t="s">
        <v>160</v>
      </c>
      <c r="B42" s="30" t="n">
        <v>0</v>
      </c>
      <c r="C42" s="13" t="s">
        <v>107</v>
      </c>
      <c r="D42" s="14" t="s">
        <v>90</v>
      </c>
      <c r="E42" s="28" t="s">
        <v>161</v>
      </c>
    </row>
    <row r="43" customFormat="false" ht="15" hidden="false" customHeight="false" outlineLevel="0" collapsed="false">
      <c r="A43" s="28" t="s">
        <v>162</v>
      </c>
      <c r="B43" s="11" t="n">
        <v>2</v>
      </c>
      <c r="C43" s="13" t="s">
        <v>163</v>
      </c>
      <c r="D43" s="14" t="s">
        <v>90</v>
      </c>
      <c r="E43" s="28" t="s">
        <v>164</v>
      </c>
    </row>
    <row r="44" customFormat="false" ht="15" hidden="false" customHeight="false" outlineLevel="0" collapsed="false">
      <c r="A44" s="26" t="s">
        <v>165</v>
      </c>
      <c r="B44" s="27"/>
      <c r="C44" s="27"/>
      <c r="D44" s="27"/>
      <c r="E44" s="27"/>
    </row>
    <row r="45" customFormat="false" ht="15" hidden="false" customHeight="false" outlineLevel="0" collapsed="false">
      <c r="A45" s="28" t="s">
        <v>166</v>
      </c>
      <c r="B45" s="30" t="n">
        <v>150</v>
      </c>
      <c r="C45" s="13" t="s">
        <v>107</v>
      </c>
      <c r="D45" s="14" t="s">
        <v>90</v>
      </c>
      <c r="E45" s="28" t="s">
        <v>167</v>
      </c>
    </row>
    <row r="46" customFormat="false" ht="15" hidden="false" customHeight="false" outlineLevel="0" collapsed="false">
      <c r="A46" s="28" t="s">
        <v>168</v>
      </c>
      <c r="B46" s="30" t="n">
        <v>150</v>
      </c>
      <c r="C46" s="13" t="s">
        <v>107</v>
      </c>
      <c r="D46" s="14" t="s">
        <v>90</v>
      </c>
      <c r="E46" s="28" t="s">
        <v>169</v>
      </c>
    </row>
    <row r="47" customFormat="false" ht="15" hidden="false" customHeight="false" outlineLevel="0" collapsed="false">
      <c r="A47" s="28" t="s">
        <v>170</v>
      </c>
      <c r="B47" s="30" t="n">
        <v>200</v>
      </c>
      <c r="C47" s="13" t="s">
        <v>107</v>
      </c>
      <c r="D47" s="14" t="s">
        <v>90</v>
      </c>
      <c r="E47" s="28" t="s">
        <v>171</v>
      </c>
    </row>
    <row r="48" customFormat="false" ht="15" hidden="false" customHeight="false" outlineLevel="0" collapsed="false">
      <c r="A48" s="28" t="s">
        <v>172</v>
      </c>
      <c r="B48" s="30" t="n">
        <v>260</v>
      </c>
      <c r="C48" s="13" t="s">
        <v>107</v>
      </c>
      <c r="D48" s="14" t="s">
        <v>90</v>
      </c>
      <c r="E48" s="2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  <col collapsed="false" customWidth="true" hidden="false" outlineLevel="0" max="3" min="3" style="0" width="30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5" t="s">
        <v>174</v>
      </c>
    </row>
    <row r="2" customFormat="false" ht="15" hidden="false" customHeight="false" outlineLevel="0" collapsed="false">
      <c r="A2" s="6" t="s">
        <v>175</v>
      </c>
    </row>
    <row r="4" customFormat="false" ht="15" hidden="false" customHeight="false" outlineLevel="0" collapsed="false">
      <c r="A4" s="8" t="s">
        <v>176</v>
      </c>
      <c r="B4" s="8" t="s">
        <v>177</v>
      </c>
      <c r="C4" s="8" t="s">
        <v>178</v>
      </c>
      <c r="D4" s="8" t="s">
        <v>179</v>
      </c>
    </row>
    <row r="5" customFormat="false" ht="23.85" hidden="false" customHeight="false" outlineLevel="0" collapsed="false">
      <c r="A5" s="28" t="s">
        <v>180</v>
      </c>
      <c r="B5" s="28" t="s">
        <v>181</v>
      </c>
      <c r="C5" s="28" t="s">
        <v>182</v>
      </c>
      <c r="D5" s="28" t="s">
        <v>183</v>
      </c>
    </row>
    <row r="6" customFormat="false" ht="15" hidden="false" customHeight="false" outlineLevel="0" collapsed="false">
      <c r="A6" s="28" t="s">
        <v>184</v>
      </c>
      <c r="B6" s="28" t="s">
        <v>185</v>
      </c>
      <c r="C6" s="28" t="s">
        <v>183</v>
      </c>
      <c r="D6" s="28" t="s">
        <v>183</v>
      </c>
    </row>
    <row r="7" customFormat="false" ht="15" hidden="false" customHeight="false" outlineLevel="0" collapsed="false">
      <c r="A7" s="28" t="s">
        <v>186</v>
      </c>
      <c r="B7" s="28" t="s">
        <v>187</v>
      </c>
      <c r="C7" s="28" t="s">
        <v>188</v>
      </c>
      <c r="D7" s="28" t="s">
        <v>189</v>
      </c>
    </row>
    <row r="8" customFormat="false" ht="15" hidden="false" customHeight="false" outlineLevel="0" collapsed="false">
      <c r="A8" s="28" t="s">
        <v>190</v>
      </c>
      <c r="B8" s="28" t="s">
        <v>191</v>
      </c>
      <c r="C8" s="28" t="s">
        <v>183</v>
      </c>
      <c r="D8" s="28" t="s">
        <v>192</v>
      </c>
    </row>
    <row r="9" customFormat="false" ht="23.85" hidden="false" customHeight="false" outlineLevel="0" collapsed="false">
      <c r="A9" s="28" t="s">
        <v>193</v>
      </c>
      <c r="B9" s="28" t="s">
        <v>194</v>
      </c>
      <c r="C9" s="28" t="s">
        <v>195</v>
      </c>
      <c r="D9" s="28" t="s">
        <v>196</v>
      </c>
    </row>
    <row r="10" customFormat="false" ht="15" hidden="false" customHeight="false" outlineLevel="0" collapsed="false">
      <c r="A10" s="28" t="s">
        <v>197</v>
      </c>
      <c r="B10" s="28" t="s">
        <v>198</v>
      </c>
      <c r="C10" s="28" t="s">
        <v>199</v>
      </c>
      <c r="D10" s="28" t="s">
        <v>200</v>
      </c>
    </row>
    <row r="11" customFormat="false" ht="15" hidden="false" customHeight="false" outlineLevel="0" collapsed="false">
      <c r="A11" s="28" t="s">
        <v>201</v>
      </c>
      <c r="B11" s="28" t="s">
        <v>202</v>
      </c>
      <c r="C11" s="28" t="s">
        <v>32</v>
      </c>
      <c r="D11" s="28" t="s">
        <v>200</v>
      </c>
    </row>
    <row r="12" customFormat="false" ht="15" hidden="false" customHeight="false" outlineLevel="0" collapsed="false">
      <c r="A12" s="28" t="s">
        <v>203</v>
      </c>
      <c r="B12" s="28" t="s">
        <v>204</v>
      </c>
      <c r="C12" s="28" t="s">
        <v>32</v>
      </c>
      <c r="D12" s="28" t="s">
        <v>200</v>
      </c>
    </row>
    <row r="13" customFormat="false" ht="15" hidden="false" customHeight="false" outlineLevel="0" collapsed="false">
      <c r="A13" s="28" t="s">
        <v>205</v>
      </c>
      <c r="B13" s="28" t="s">
        <v>206</v>
      </c>
      <c r="C13" s="28" t="s">
        <v>188</v>
      </c>
      <c r="D13" s="28" t="s">
        <v>200</v>
      </c>
    </row>
    <row r="14" customFormat="false" ht="15" hidden="false" customHeight="false" outlineLevel="0" collapsed="false">
      <c r="A14" s="28" t="s">
        <v>207</v>
      </c>
      <c r="B14" s="28" t="s">
        <v>208</v>
      </c>
      <c r="C14" s="28" t="s">
        <v>209</v>
      </c>
      <c r="D14" s="28" t="s">
        <v>200</v>
      </c>
    </row>
    <row r="15" customFormat="false" ht="15" hidden="false" customHeight="false" outlineLevel="0" collapsed="false">
      <c r="A15" s="28" t="s">
        <v>210</v>
      </c>
      <c r="B15" s="28" t="s">
        <v>211</v>
      </c>
      <c r="C15" s="28" t="s">
        <v>188</v>
      </c>
      <c r="D15" s="28" t="s">
        <v>200</v>
      </c>
    </row>
    <row r="16" customFormat="false" ht="15" hidden="false" customHeight="false" outlineLevel="0" collapsed="false">
      <c r="A16" s="28" t="s">
        <v>212</v>
      </c>
      <c r="B16" s="28" t="s">
        <v>213</v>
      </c>
      <c r="C16" s="28" t="s">
        <v>32</v>
      </c>
      <c r="D16" s="28" t="s">
        <v>214</v>
      </c>
    </row>
    <row r="17" customFormat="false" ht="15" hidden="false" customHeight="false" outlineLevel="0" collapsed="false">
      <c r="A17" s="28" t="s">
        <v>215</v>
      </c>
      <c r="B17" s="28" t="s">
        <v>216</v>
      </c>
      <c r="C17" s="28" t="s">
        <v>183</v>
      </c>
      <c r="D17" s="28" t="s">
        <v>217</v>
      </c>
    </row>
    <row r="18" customFormat="false" ht="15" hidden="false" customHeight="false" outlineLevel="0" collapsed="false">
      <c r="A18" s="28" t="s">
        <v>218</v>
      </c>
      <c r="B18" s="28" t="s">
        <v>219</v>
      </c>
      <c r="C18" s="28" t="s">
        <v>183</v>
      </c>
      <c r="D18" s="28" t="s">
        <v>183</v>
      </c>
    </row>
    <row r="19" customFormat="false" ht="15" hidden="false" customHeight="false" outlineLevel="0" collapsed="false">
      <c r="A19" s="28" t="s">
        <v>220</v>
      </c>
      <c r="B19" s="28" t="s">
        <v>221</v>
      </c>
      <c r="C19" s="28" t="s">
        <v>183</v>
      </c>
      <c r="D19" s="28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2026-10-28T09:51:10Z</dcterms:created>
  <dc:creator>openpyxl</dc:creator>
  <dc:description/>
  <dc:language>en-US</dc:language>
  <cp:lastModifiedBy/>
  <dcterms:modified xsi:type="dcterms:W3CDTF">2026-10-28T09:51:10Z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