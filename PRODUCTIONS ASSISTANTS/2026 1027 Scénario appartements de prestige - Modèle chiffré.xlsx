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<sst xmlns="http://schemas.openxmlformats.org/spreadsheetml/2006/main" count="46" uniqueCount="46">
  <si>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Comparaison des modèles — économie d'une réservation (Paris) — 27/10/2026</t>
  </si>
  <si>
    <t xml:space="preserve">Cellules bleues = hypothèses modifiables (jaune = hypothèses clés). Toutes les autres cellules sont calculées. Source ou statut de chaque hypothèse en colonne D.</t>
  </si>
  <si>
    <t xml:space="preserve">Hypothèse</t>
  </si>
  <si>
    <t xml:space="preserve">A. Modèle initial (lieux détournés : cantines, écoles, salles)</t>
  </si>
  <si>
    <t xml:space="preserve">B. Appartements privés de prestige</t>
  </si>
  <si>
    <t xml:space="preserve">Source / statut</t>
  </si>
  <si>
    <t xml:space="preserve">Durée type d'une réservation (h)</t>
  </si>
  <si>
    <t xml:space="preserve">Hypothèse. Durée minimale de 4 h observée sur les annonces d'appartements Giggster Paris (consulté 27/10/2026)</t>
  </si>
  <si>
    <t xml:space="preserve">Prix du lieu payé par l'usager (€/h)</t>
  </si>
  <si>
    <t xml:space="preserve">A : hypothèse, sous le prix moyen d'une salle communautaire bon marché à Londres (55 £/h, Tagvenue, oct. 2026) et sous le bas de fourchette des restaurants Paris sur Giggster (35 €/h). B : appartements haussmanniens Paris sur Giggster de 100 à 375 €/h, 250 €/h retenu (consulté 27/10/2026)</t>
  </si>
  <si>
    <t xml:space="preserve">Forfait services clé en main facturé à l'usager (€)</t>
  </si>
  <si>
    <t xml:space="preserve">Hypothèse : couvre ménage, assurance, accueil ; B inclut un régisseur présent pendant tout l'événement</t>
  </si>
  <si>
    <t xml:space="preserve">Part du prix du lieu reversée au propriétaire</t>
  </si>
  <si>
    <t xml:space="preserve">Hypothèse. Repères : Sharesy prélève 16 % (soit 84 % au lieu) ; Giggster affiche une commission de 19 % (consulté 27/10/2026)</t>
  </si>
  <si>
    <t xml:space="preserve">Coût du ménage (€)</t>
  </si>
  <si>
    <t xml:space="preserve">A : 2 h à 30 €/h (tarif ménage affiché sur une annonce Giggster). B : forfait Paris 3 chambres 148 € (Houst, grille de l'entreprise)</t>
  </si>
  <si>
    <t xml:space="preserve">Coût de l'assurance par événement (€)</t>
  </si>
  <si>
    <t xml:space="preserve">Assurance événementielle ponctuelle de 20 à 150 € (Assurland, 20/04/2026) ; B au plafond vu la valeur du bien</t>
  </si>
  <si>
    <t xml:space="preserve">Heures de présence d'un agent sur place (h)</t>
  </si>
  <si>
    <t xml:space="preserve">Hypothèse : A = remise des clés et contrôle ; B = toute la durée + 1 h</t>
  </si>
  <si>
    <t xml:space="preserve">Coût horaire d'un agent sur place (€/h)</t>
  </si>
  <si>
    <t xml:space="preserve">Hypothèse non sourcée, à faire chiffrer par devis (pôle Opérations)</t>
  </si>
  <si>
    <t xml:space="preserve">Frais de paiement (% du montant encaissé)</t>
  </si>
  <si>
    <t xml:space="preserve">Hypothèse à vérifier auprès du prestataire de paiement</t>
  </si>
  <si>
    <t xml:space="preserve">Provision dommages (% du prix du lieu)</t>
  </si>
  <si>
    <t xml:space="preserve">Hypothèse : risque plus élevé dans un logement meublé de valeur</t>
  </si>
  <si>
    <t xml:space="preserve">Coûts fixes mensuels du pilote (€)</t>
  </si>
  <si>
    <t xml:space="preserve">Hypothèse : coordination, outils, communication ; B ajoute photos professionnelles et marketing premium</t>
  </si>
  <si>
    <t xml:space="preserve">Économie d'une réservation (€)</t>
  </si>
  <si>
    <t xml:space="preserve">Prix du lieu (durée × prix horaire)</t>
  </si>
  <si>
    <t xml:space="preserve">Chiffre d'affaires encaissé (lieu + forfait)</t>
  </si>
  <si>
    <t xml:space="preserve">Reversé au propriétaire</t>
  </si>
  <si>
    <t xml:space="preserve">Ménage</t>
  </si>
  <si>
    <t xml:space="preserve">Assurance</t>
  </si>
  <si>
    <t xml:space="preserve">Agent sur place</t>
  </si>
  <si>
    <t xml:space="preserve">Frais de paiement</t>
  </si>
  <si>
    <t xml:space="preserve">Provision dommages</t>
  </si>
  <si>
    <t xml:space="preserve">Marge contributive par réservation</t>
  </si>
  <si>
    <t xml:space="preserve">Taux de marge contributive</t>
  </si>
  <si>
    <t xml:space="preserve">Réservations par mois pour couvrir les coûts fixes</t>
  </si>
  <si>
    <t xml:space="preserve">Prix total payé par l'usager par heure</t>
  </si>
  <si>
    <t xml:space="preserve">Taux de marge contributive visé (hypothèse)</t>
  </si>
  <si>
    <t xml:space="preserve">Hypothèse de travail pour la sensibilité, à fixer par le pôle Finance</t>
  </si>
  <si>
    <t xml:space="preserve">Forfait services nécessaire pour atteindre ce taux (€)</t>
  </si>
  <si>
    <t xml:space="preserve">Prix total horaire pour l'usager à ce forfait (€/h)</t>
  </si>
  <si>
    <t xml:space="preserve">Lecture : la marge contributive = chiffre d'affaires encaissé − reversement au propriétaire − coûts directs. Le seuil indique combien de réservations par mois couvrent les coûts fixes du pilote. Ces chiffres sont des ordres de grandeur à faire valider par les pôles Finance et Opérations.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</si>
</sst>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&quot; €&quot;;\(#,##0&quot; €)&quot;;\-"/>
    <numFmt numFmtId="167" formatCode="0.0%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6"/>
    <col collapsed="false" customWidth="true" hidden="false" outlineLevel="0" max="4" min="4" style="0" width="90"/>
  </cols>
  <sheetData>
    <row r="1" customFormat="false" ht="26.85" hidden="false" customHeight="false" outlineLevel="0" collapsed="false">
      <c r="A1" s="1" t="s">
        <v>0</v>
      </c>
      <c r="B1" s="2"/>
      <c r="C1" s="2"/>
      <c r="D1" s="2"/>
    </row>
    <row r="2" customFormat="false" ht="52.2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9.5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26.85" hidden="false" customHeight="false" outlineLevel="0" collapsed="false">
      <c r="A5" s="5" t="s">
        <v>6</v>
      </c>
      <c r="B5" s="6" t="n">
        <v>4</v>
      </c>
      <c r="C5" s="6" t="n">
        <v>5</v>
      </c>
      <c r="D5" s="5" t="s">
        <v>7</v>
      </c>
    </row>
    <row r="6" customFormat="false" ht="52.2" hidden="false" customHeight="false" outlineLevel="0" collapsed="false">
      <c r="A6" s="5" t="s">
        <v>8</v>
      </c>
      <c r="B6" s="7" t="n">
        <v>45</v>
      </c>
      <c r="C6" s="7" t="n">
        <v>250</v>
      </c>
      <c r="D6" s="5" t="s">
        <v>9</v>
      </c>
    </row>
    <row r="7" customFormat="false" ht="26.85" hidden="false" customHeight="false" outlineLevel="0" collapsed="false">
      <c r="A7" s="5" t="s">
        <v>10</v>
      </c>
      <c r="B7" s="7" t="n">
        <v>60</v>
      </c>
      <c r="C7" s="7" t="n">
        <v>350</v>
      </c>
      <c r="D7" s="5" t="s">
        <v>11</v>
      </c>
    </row>
    <row r="8" customFormat="false" ht="26.85" hidden="false" customHeight="false" outlineLevel="0" collapsed="false">
      <c r="A8" s="5" t="s">
        <v>12</v>
      </c>
      <c r="B8" s="8" t="n">
        <v>0.7</v>
      </c>
      <c r="C8" s="8" t="n">
        <v>0.8</v>
      </c>
      <c r="D8" s="5" t="s">
        <v>13</v>
      </c>
    </row>
    <row r="9" customFormat="false" ht="26.85" hidden="false" customHeight="false" outlineLevel="0" collapsed="false">
      <c r="A9" s="5" t="s">
        <v>14</v>
      </c>
      <c r="B9" s="9" t="n">
        <v>60</v>
      </c>
      <c r="C9" s="9" t="n">
        <v>150</v>
      </c>
      <c r="D9" s="5" t="s">
        <v>15</v>
      </c>
    </row>
    <row r="10" customFormat="false" ht="26.85" hidden="false" customHeight="false" outlineLevel="0" collapsed="false">
      <c r="A10" s="5" t="s">
        <v>16</v>
      </c>
      <c r="B10" s="9" t="n">
        <v>30</v>
      </c>
      <c r="C10" s="9" t="n">
        <v>150</v>
      </c>
      <c r="D10" s="5" t="s">
        <v>17</v>
      </c>
    </row>
    <row r="11" customFormat="false" ht="15" hidden="false" customHeight="false" outlineLevel="0" collapsed="false">
      <c r="A11" s="5" t="s">
        <v>18</v>
      </c>
      <c r="B11" s="10" t="n">
        <v>1</v>
      </c>
      <c r="C11" s="10" t="n">
        <v>6</v>
      </c>
      <c r="D11" s="5" t="s">
        <v>19</v>
      </c>
    </row>
    <row r="12" customFormat="false" ht="15" hidden="false" customHeight="false" outlineLevel="0" collapsed="false">
      <c r="A12" s="5" t="s">
        <v>20</v>
      </c>
      <c r="B12" s="7" t="n">
        <v>25</v>
      </c>
      <c r="C12" s="7" t="n">
        <v>35</v>
      </c>
      <c r="D12" s="5" t="s">
        <v>21</v>
      </c>
    </row>
    <row r="13" customFormat="false" ht="15" hidden="false" customHeight="false" outlineLevel="0" collapsed="false">
      <c r="A13" s="5" t="s">
        <v>22</v>
      </c>
      <c r="B13" s="11" t="n">
        <v>0.02</v>
      </c>
      <c r="C13" s="11" t="n">
        <v>0.02</v>
      </c>
      <c r="D13" s="5" t="s">
        <v>23</v>
      </c>
    </row>
    <row r="14" customFormat="false" ht="15" hidden="false" customHeight="false" outlineLevel="0" collapsed="false">
      <c r="A14" s="5" t="s">
        <v>24</v>
      </c>
      <c r="B14" s="11" t="n">
        <v>0.01</v>
      </c>
      <c r="C14" s="11" t="n">
        <v>0.03</v>
      </c>
      <c r="D14" s="5" t="s">
        <v>25</v>
      </c>
    </row>
    <row r="15" customFormat="false" ht="26.85" hidden="false" customHeight="false" outlineLevel="0" collapsed="false">
      <c r="A15" s="5" t="s">
        <v>26</v>
      </c>
      <c r="B15" s="7" t="n">
        <v>3000</v>
      </c>
      <c r="C15" s="7" t="n">
        <v>4500</v>
      </c>
      <c r="D15" s="5" t="s">
        <v>27</v>
      </c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4" t="s">
        <v>28</v>
      </c>
      <c r="B18" s="2"/>
      <c r="C18" s="2"/>
      <c r="D18" s="2"/>
    </row>
    <row r="19" customFormat="false" ht="15" hidden="false" customHeight="false" outlineLevel="0" collapsed="false">
      <c r="A19" s="5" t="s">
        <v>29</v>
      </c>
      <c r="B19" s="12" t="n">
        <f aca="false">B5*B6</f>
        <v>180</v>
      </c>
      <c r="C19" s="12" t="n">
        <f aca="false">C5*C6</f>
        <v>1250</v>
      </c>
      <c r="D19" s="2"/>
    </row>
    <row r="20" customFormat="false" ht="15" hidden="false" customHeight="false" outlineLevel="0" collapsed="false">
      <c r="A20" s="5" t="s">
        <v>30</v>
      </c>
      <c r="B20" s="12" t="n">
        <f aca="false">B19+B7</f>
        <v>240</v>
      </c>
      <c r="C20" s="12" t="n">
        <f aca="false">C19+C7</f>
        <v>1600</v>
      </c>
      <c r="D20" s="2"/>
    </row>
    <row r="21" customFormat="false" ht="15" hidden="false" customHeight="false" outlineLevel="0" collapsed="false">
      <c r="A21" s="5" t="s">
        <v>31</v>
      </c>
      <c r="B21" s="12" t="n">
        <f aca="false">B19*B8</f>
        <v>126</v>
      </c>
      <c r="C21" s="12" t="n">
        <f aca="false">C19*C8</f>
        <v>1000</v>
      </c>
      <c r="D21" s="2"/>
    </row>
    <row r="22" customFormat="false" ht="15" hidden="false" customHeight="false" outlineLevel="0" collapsed="false">
      <c r="A22" s="5" t="s">
        <v>32</v>
      </c>
      <c r="B22" s="12" t="n">
        <f aca="false">B9</f>
        <v>60</v>
      </c>
      <c r="C22" s="12" t="n">
        <f aca="false">C9</f>
        <v>150</v>
      </c>
      <c r="D22" s="2"/>
    </row>
    <row r="23" customFormat="false" ht="15" hidden="false" customHeight="false" outlineLevel="0" collapsed="false">
      <c r="A23" s="5" t="s">
        <v>33</v>
      </c>
      <c r="B23" s="12" t="n">
        <f aca="false">B10</f>
        <v>30</v>
      </c>
      <c r="C23" s="12" t="n">
        <f aca="false">C10</f>
        <v>150</v>
      </c>
      <c r="D23" s="2"/>
    </row>
    <row r="24" customFormat="false" ht="15" hidden="false" customHeight="false" outlineLevel="0" collapsed="false">
      <c r="A24" s="5" t="s">
        <v>34</v>
      </c>
      <c r="B24" s="12" t="n">
        <f aca="false">B11*B12</f>
        <v>25</v>
      </c>
      <c r="C24" s="12" t="n">
        <f aca="false">C11*C12</f>
        <v>210</v>
      </c>
      <c r="D24" s="2"/>
    </row>
    <row r="25" customFormat="false" ht="15" hidden="false" customHeight="false" outlineLevel="0" collapsed="false">
      <c r="A25" s="5" t="s">
        <v>35</v>
      </c>
      <c r="B25" s="12" t="n">
        <f aca="false">B20*B13</f>
        <v>4.8</v>
      </c>
      <c r="C25" s="12" t="n">
        <f aca="false">C20*C13</f>
        <v>32</v>
      </c>
      <c r="D25" s="2"/>
    </row>
    <row r="26" customFormat="false" ht="15" hidden="false" customHeight="false" outlineLevel="0" collapsed="false">
      <c r="A26" s="5" t="s">
        <v>36</v>
      </c>
      <c r="B26" s="12" t="n">
        <f aca="false">B19*B14</f>
        <v>1.8</v>
      </c>
      <c r="C26" s="12" t="n">
        <f aca="false">C19*C14</f>
        <v>37.5</v>
      </c>
      <c r="D26" s="2"/>
    </row>
    <row r="27" customFormat="false" ht="15" hidden="false" customHeight="false" outlineLevel="0" collapsed="false">
      <c r="A27" s="4" t="s">
        <v>37</v>
      </c>
      <c r="B27" s="13" t="n">
        <f aca="false">B20-SUM(B21:B26)</f>
        <v>-7.59999999999999</v>
      </c>
      <c r="C27" s="13" t="n">
        <f aca="false">C20-SUM(C21:C26)</f>
        <v>20.5</v>
      </c>
      <c r="D27" s="2"/>
    </row>
    <row r="28" customFormat="false" ht="15" hidden="false" customHeight="false" outlineLevel="0" collapsed="false">
      <c r="A28" s="5" t="s">
        <v>38</v>
      </c>
      <c r="B28" s="14" t="n">
        <f aca="false">IF(B20=0,0,B27/B20)</f>
        <v>-0.0316666666666666</v>
      </c>
      <c r="C28" s="14" t="n">
        <f aca="false">IF(C20=0,0,C27/C20)</f>
        <v>0.0128125</v>
      </c>
      <c r="D28" s="2"/>
    </row>
    <row r="29" customFormat="false" ht="26.85" hidden="false" customHeight="false" outlineLevel="0" collapsed="false">
      <c r="A29" s="4" t="s">
        <v>39</v>
      </c>
      <c r="B29" s="15" t="str">
        <f aca="false">IF(B27&lt;=0,"non atteignable",ROUNDUP(B15/B27,0))</f>
        <v>non atteignable</v>
      </c>
      <c r="C29" s="15" t="n">
        <f aca="false">IF(C27&lt;=0,"non atteignable",ROUNDUP(C15/C27,0))</f>
        <v>220</v>
      </c>
      <c r="D29" s="2"/>
    </row>
    <row r="30" customFormat="false" ht="15" hidden="false" customHeight="false" outlineLevel="0" collapsed="false">
      <c r="A30" s="5" t="s">
        <v>40</v>
      </c>
      <c r="B30" s="12" t="n">
        <f aca="false">IF(B5=0,0,B20/B5)</f>
        <v>60</v>
      </c>
      <c r="C30" s="12" t="n">
        <f aca="false">IF(C5=0,0,C20/C5)</f>
        <v>320</v>
      </c>
      <c r="D30" s="2"/>
    </row>
    <row r="31" customFormat="false" ht="15" hidden="false" customHeight="false" outlineLevel="0" collapsed="false">
      <c r="A31" s="5" t="s">
        <v>41</v>
      </c>
      <c r="B31" s="8" t="n">
        <v>0.2</v>
      </c>
      <c r="C31" s="8" t="n">
        <v>0.2</v>
      </c>
      <c r="D31" s="5" t="s">
        <v>42</v>
      </c>
    </row>
    <row r="32" customFormat="false" ht="26.85" hidden="false" customHeight="false" outlineLevel="0" collapsed="false">
      <c r="A32" s="5" t="s">
        <v>43</v>
      </c>
      <c r="B32" s="12" t="n">
        <f aca="false">IF((1-B13-B31)&lt;=0,"impossible",(B9+B10+B11*B12-B19*(1-B8-B13-B14-B31))/(1-B13-B31))</f>
        <v>131.282051282051</v>
      </c>
      <c r="C32" s="12" t="n">
        <f aca="false">IF((1-C13-C31)&lt;=0,"impossible",(C9+C10+C11*C12-C19*(1-C8-C13-C14-C31))/(1-C13-C31))</f>
        <v>733.974358974359</v>
      </c>
      <c r="D32" s="2"/>
    </row>
    <row r="33" customFormat="false" ht="15" hidden="false" customHeight="false" outlineLevel="0" collapsed="false">
      <c r="A33" s="5" t="s">
        <v>44</v>
      </c>
      <c r="B33" s="12" t="n">
        <f aca="false">IF(B5=0,0,(B19+B32)/B5)</f>
        <v>77.8205128205128</v>
      </c>
      <c r="C33" s="12" t="n">
        <f aca="false">IF(C5=0,0,(C19+C32)/C5)</f>
        <v>396.794871794872</v>
      </c>
      <c r="D33" s="2"/>
    </row>
    <row r="34" customFormat="false" ht="15" hidden="false" customHeight="false" outlineLevel="0" collapsed="false">
      <c r="A34" s="2"/>
      <c r="B34" s="2"/>
      <c r="C34" s="2"/>
      <c r="D34" s="2"/>
    </row>
    <row r="35" customFormat="false" ht="77.6" hidden="false" customHeight="false" outlineLevel="0" collapsed="false">
      <c r="A35" s="3" t="s">
        <v>45</v>
      </c>
      <c r="B35" s="2"/>
      <c r="C35" s="2"/>
      <c r="D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2026-10-27T10:19:53Z</dcterms:created>
  <dc:creator>openpyxl</dc:creator>
  <dc:description/>
  <dc:language>en-US</dc:language>
  <cp:lastModifiedBy/>
  <dcterms:modified xsi:type="dcterms:W3CDTF">2026-10-27T10:19:53Z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